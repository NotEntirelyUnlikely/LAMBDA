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MBest\Downloads\"/>
    </mc:Choice>
  </mc:AlternateContent>
  <xr:revisionPtr revIDLastSave="0" documentId="13_ncr:1_{C458D586-6780-4F5A-9142-5C3618871298}" xr6:coauthVersionLast="47" xr6:coauthVersionMax="47" xr10:uidLastSave="{00000000-0000-0000-0000-000000000000}"/>
  <bookViews>
    <workbookView xWindow="-120" yWindow="-120" windowWidth="57840" windowHeight="23520" tabRatio="792" activeTab="1" xr2:uid="{63243981-7F12-4C05-BC61-9C7C2C674601}"/>
  </bookViews>
  <sheets>
    <sheet name="Table of Contents" sheetId="9" r:id="rId1"/>
    <sheet name="Work in Progress" sheetId="16" r:id="rId2"/>
    <sheet name="CONTROL_CHART" sheetId="11" r:id="rId3"/>
    <sheet name="MOVING_RANGE" sheetId="35"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C_MA">_xlfn.LAMBDA(_xlpm.y,_xlpm.avg_mode,_xlpm.p,_xlpm.lambda,_xlpm.trim,_xlfn.LET(_xlpm.n, ROWS(_xlpm.y), _xlpm.window, _xlfn.LAMBDA(_xlpm.row, _xlfn.TAKE(_xlfn.TAKE(_xlpm.y, _xlpm.row), -MIN(_xlpm.row, _xlpm.p))), _xlpm.avg_trim, _xlfn.LAMBDA(_xlpm.arr, _xlfn.LET(_xlpm.mu, AVERAGE(_xlpm.arr), _xlpm.idx, _xlfn.SEQUENCE(ROWS(_xlpm.arr)), AVERAGE(_xlfn.DROP(_xlfn.SORTBY(_xlpm.arr, ABS(_xlpm.arr - _xlpm.mu), 1, _xlpm.idx, -1), -_xlpm.trim)))), _xlfn.SWITCH(_xlpm.avg_mode, "avg", _xlfn.MAKEARRAY(_xlpm.n, 1, _xlfn.LAMBDA(_xlpm.r,_xlpm.c, AVERAGE(_xlpm.y))), "cma", _xlfn.LET(_xlpm.rsum, _xlfn.SCAN(0, _xlpm.y, _xlfn.LAMBDA(_xlpm.a,_xlpm.v, _xlpm.a + _xlpm.v)), _xlpm.rsum / _xlfn.SEQUENCE(_xlpm.n)), "sma", _xlfn.MAKEARRAY(_xlpm.n, 1, _xlfn.LAMBDA(_xlpm.r,_xlpm.c, AVERAGE(_xlpm.window(_xlpm.r)))), "med", _xlfn.MAKEARRAY(_xlpm.n, 1, _xlfn.LAMBDA(_xlpm.r,_xlpm.c, MEDIAN(_xlpm.window(_xlpm.r)))), "wma", _xlfn.MAKEARRAY(_xlpm.n, 1, _xlfn.LAMBDA(_xlpm.r,_xlpm.c, _xlfn.LET(_xlpm.wv, _xlpm.window(_xlpm.r), _xlpm.w, _xlfn.SEQUENCE(ROWS(_xlpm.wv)), SUMPRODUCT(_xlpm.wv, _xlpm.w) / SUM(_xlpm.w)))), "trim", _xlfn.MAKEARRAY(_xlpm.n, 1, _xlfn.LAMBDA(_xlpm.r,_xlpm.c, _xlfn.LET(_xlpm.wnd, _xlpm.window(_xlpm.r), IF(ROWS(_xlpm.wnd) &lt;= _xlpm.trim, AVERAGE(_xlpm.wnd), _xlpm.avg_trim(_xlpm.wnd))))), "ema", _xlfn.SCAN(INDEX(_xlpm.y, 1), _xlpm.y, _xlfn.LAMBDA(_xlpm.prev,_xlpm.v, _xlfn.LET(_xlpm.k, 2 / (_xlpm.p + 1), _xlpm.prev * (1 - _xlpm.k) + _xlpm.v * _xlpm.k))), "emal", _xlfn.SCAN(INDEX(_xlpm.y, 1), _xlpm.y, _xlfn.LAMBDA(_xlpm.prev,_xlpm.v, _xlpm.prev * (1 - _xlpm.lambda) + _xlpm.v * _xlpm.lambda)))))</definedName>
    <definedName name="CC_RULES">_xlfn.LAMBDA(_xlpm.z,_xlfn.LET(_xlpm.f, 7, _xlpm.pt_3s, _xlfn.LAMBDA(_xlpm.z, --(ABS(_xlpm.z) &gt; 3)), _xlpm.run_7, _xlfn.LAMBDA(_xlpm.z, _xlfn.LET(_xlpm.s, SIGN(_xlpm.z), _xlpm.run, ABS(_xlfn.SCAN(0, _xlpm.s, _xlfn.LAMBDA(_xlpm.a,_xlpm.b, IF(SIGN(_xlpm.a) = SIGN(_xlpm.b), _xlpm.a + _xlpm.b, _xlpm.b)))), --(_xlpm.run &gt;= _xlpm.f))), _xlpm.trend_7, _xlfn.LAMBDA(_xlpm.z, _xlfn.LET(_xlpm.diff, IFERROR(_xlpm.z - _xlfn.DROP(_xlfn.VSTACK("", _xlpm.z), -1), 0), _xlpm.s, SIGN(_xlpm.diff), _xlpm.run, ABS(_xlfn.SCAN(0, _xlpm.s, _xlfn.LAMBDA(_xlpm.a,_xlpm.b, IF(_xlpm.b = 0, 0, IF(SIGN(_xlpm.a) = SIGN(_xlpm.b), _xlpm.a + _xlpm.b, _xlpm.b))))), --(_xlpm.run &gt;= _xlpm.f))), _xlpm.sub_2of3_2s, _xlfn.LAMBDA(_xlpm.z, _xlfn.LET(_xlpm.s, SIGN(IF(_xlpm.z &gt;= 2, 1, IF(_xlpm.z &lt;= -2, -1, 0))), _xlfn.MAP(_xlfn.SEQUENCE(ROWS(_xlpm.z)), _xlfn.LAMBDA(_xlpm.r, _xlfn.LET(_xlpm.win, _xlfn.TAKE(_xlfn.TAKE(_xlpm.s, _xlpm.r), -MIN(_xlpm.r, 3)), _xlpm.lo, SUM(--(_xlpm.win = -1)), _xlpm.hi, SUM(--(_xlpm.win = 1)), --(OR(_xlpm.lo &gt;= 2, _xlpm.hi &gt;= 2))))))), _xlpm.labels, {"3σ","Run7","Trd7","2/3 2σ"}, _xlpm.r_mat, _xlfn.HSTACK(_xlpm.pt_3s(_xlpm.z), _xlpm.run_7(_xlpm.z), _xlpm.trend_7(_xlpm.z), _xlpm.sub_2of3_2s(_xlpm.z)), _xlpm.r_txt, _xlfn.BYROW(_xlpm.r_mat, _xlfn.LAMBDA(_xlpm.r, _xlfn.TEXTJOIN(", ", TRUE, _xlfn._xlws.FILTER(_xlpm.labels, _xlpm.r, "")))), _xlfn.HSTACK(_xlpm.r_mat, _xlpm.r_txt)))</definedName>
    <definedName name="CC_STD">_xlfn.LAMBDA(_xlpm.y,_xlpm.ma,_xlpm.avg_mode,_xlpm.p,_xlpm.lambda,_xlpm.trim,_xlfn.LET(_xlpm.n, ROWS(_xlpm.y), _xlpm.window, _xlfn.LAMBDA(_xlpm.row, _xlfn.TAKE(_xlfn.TAKE(_xlpm.y, _xlpm.row), -MIN(_xlpm.row, _xlpm.p))), _xlpm.residual, _xlpm.y - _xlpm.ma, _xlfn.SWITCH(_xlpm.avg_mode, "avg", _xlfn.MAKEARRAY(_xlpm.n, 1, _xlfn.LAMBDA(_xlpm.r,_xlpm.c, _xlfn.STDEV.S(_xlpm.y))), "cma", _xlfn.MAKEARRAY(_xlpm.n, 1, _xlfn.LAMBDA(_xlpm.r,_xlpm.c, IF(_xlpm.r &lt;= 1, NA(), _xlfn.STDEV.S(_xlfn.TAKE(_xlpm.y, _xlpm.r))))), "sma", _xlfn.MAKEARRAY(_xlpm.n, 1, _xlfn.LAMBDA(_xlpm.r,_xlpm.c, _xlfn.LET(_xlpm.wv, _xlpm.window(_xlpm.r), IF(ROWS(_xlpm.wv) &lt;= 1, NA(), _xlfn.STDEV.S(_xlpm.wv))))), "wma", _xlfn.MAKEARRAY(_xlpm.n, 1, _xlfn.LAMBDA(_xlpm.r,_xlpm.c, _xlfn.LET(_xlpm.wv, _xlpm.window(_xlpm.r), _xlpm.w, _xlfn.SEQUENCE(ROWS(_xlpm.wv)), _xlpm.mu, SUMPRODUCT(_xlpm.wv, _xlpm.w) / SUM(_xlpm.w), IF(ROWS(_xlpm.wv) &lt;= 1, NA(), SQRT(SUMPRODUCT(_xlpm.w, (_xlpm.wv - _xlpm.mu) ^ 2) / SUM(_xlpm.w)))))), "ema", SQRT(_xlfn.SCAN(INDEX(_xlpm.residual, 1) ^ 2, _xlpm.residual, _xlfn.LAMBDA(_xlpm.prev,_xlpm.e, _xlfn.LET(_xlpm.k, 2 / (_xlpm.p + 1), _xlpm.k * _xlpm.e ^ 2 + (1 - _xlpm.k) * _xlpm.prev)))), "emal", SQRT(_xlfn.SCAN(INDEX(_xlpm.residual, 1) ^ 2, _xlpm.residual, _xlfn.LAMBDA(_xlpm.prev,_xlpm.e, _xlpm.lambda * _xlpm.e ^ 2 + (1 - _xlpm.lambda) * _xlpm.prev))), "med", _xlfn.MAKEARRAY(_xlpm.n, 1, _xlfn.LAMBDA(_xlpm.r,_xlpm.c, _xlfn.LET(_xlpm.wv, _xlpm.window(_xlpm.r), _xlpm.med, MEDIAN(_xlpm.wv), 1.4826 * MEDIAN(ABS(_xlpm.wv - _xlpm.med))))), "trim", _xlfn.MAKEARRAY(_xlpm.n, 1, _xlfn.LAMBDA(_xlpm.r,_xlpm.c, _xlfn.LET(_xlpm.wv, _xlpm.window(_xlpm.r), _xlpm.t, MIN(_xlpm.trim, ROWS(_xlpm.wv) - 1), _xlpm.mu, AVERAGE(_xlpm.wv), _xlpm.idx, _xlfn.SEQUENCE(ROWS(_xlpm.wv)), _xlpm.tw, IF(_xlpm.t &lt;= 0, _xlpm.wv, _xlfn.DROP(_xlfn.SORTBY(_xlpm.wv, ABS(_xlpm.wv - _xlpm.mu), 1, _xlpm.idx, -1), -_xlpm.t)), IF(ROWS(_xlpm.tw) &lt;= 1, NA(), _xlfn.STDEV.S(_xlpm.tw))))))))</definedName>
    <definedName name="CONTROL_CHART">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TROL_CHART_NEW">_xlfn.LAMBDA(_xlpm.y,_xlop.x,_xlop.options,_xlop.control_limits,_xlfn.LET(_xlpm.opt_default, {"avg_mode","ema";"p",7;"lambda",0.2;"trim",1;"output_mode","raw";"headers",TRUE;"show_y",TRUE;"show_x",TRUE;"show_avg",TRUE;"show_cl",TRUE;"rules",FALSE;"rules_concate",TRUE}, _xlpm.opts, IF(_xlfn.ISOMITTED(_xlpm.options), _xlpm.opt_default, _xlpm.options), _xlpm.opts_clean, GET_OPTIONS(_xlpm.opts, _xlpm.opt_default, TRUE), _xlpm.get_val, _xlfn.LAMBDA(_xlpm.key, _xlfn.LET(_xlpm.keys, _xlfn.TAKE(_xlpm.opts_clean, , 1), _xlpm.vals, _xlfn.TAKE(_xlpm.opts_clean, , -1), _xlpm.val, _xlfn.XLOOKUP(_xlpm.key, _xlpm.keys, _xlpm.vals, ""), _xlpm.val)), _xlpm.avg_mode, _xlpm.get_val("avg_mode"), _xlpm.p, _xlpm.get_val("p"), _xlpm.lambda, _xlpm.get_val("lambda"), _xlpm.trim, _xlpm.get_val("trim"), _xlpm.output_mode, _xlpm.get_val("output_mode"), _xlpm.headers, _xlpm.get_val("headers"), _xlpm.show_y, _xlpm.get_val("show_y"), _xlpm.show_x, _xlpm.get_val("show_x"), _xlpm.show_avg, _xlpm.get_val("show_avg"), _xlpm.show_cl, _xlpm.get_val("show_cl"), _xlpm.rules, _xlpm.get_val("rules"), _xlpm.rules_concate, _xlpm.get_val("rules_concate"), _xlpm.ctrl_tbl, IF(_xlfn.ISOMITTED(_xlpm.control_limits), {"UCL",3;"LCL",-3}, _xlpm.control_limits), _xlpm.err_arr, _xlfn.LET(_xlpm.err, _xlfn.LAMBDA(_xlpm.check,_xlpm.msg, IF(_xlpm.check, _xlpm.check, _xlpm.msg)), _xlpm.is_type, _xlfn.LAMBDA(_xlpm.x,_xlpm.type_num,_xlop.allow_blank, _xlfn.LET(_xlpm.let_blk, IF(_xlfn.ISOMITTED(_xlpm.allow_blank), FALSE, _xlpm.allow_blank), _xlpm.type, TYPE(_xlpm.x) = _xlpm.type_num, IF(_xlpm.let_blk, _xlpm.type, IF(_xlpm.x &lt;&gt; "", _xlpm.type)))), _xlpm.is_opt_clean, _xlpm.err(_xlpm.is_type(_xlpm.opts_clean, 64, TRUE), _xlpm.opts_clean), _xlpm.is_amode, _xlpm.err(ISNUMBER(_xlfn.XMATCH(_xlpm.avg_mode, {"avg";"cma";"sma";"wma";"ema";"emal";"trim";"med"}, 0)), "#AVG MODE!"), _xlpm.is_p_NaN, _xlpm.err(_xlpm.is_type(_xlpm.p, 1), "#P NaN!"), _xlpm.is_p_pos, _xlpm.err(_xlpm.p &gt; 0, "#P&lt;0!"), _xlpm.is_l, _xlpm.err(_xlpm.is_type(_xlpm.lambda, 1, TRUE), "#LAMBDA NaN!"), _xlpm.is_l_pos, _xlpm.err(_xlpm.lambda &gt;= 0, "#LAMBDA&lt;0!"), _xlpm.is_trim, _xlpm.err(_xlpm.is_type(_xlpm.trim, 1, TRUE), "#TRIM NaN!"), _xlpm.is_t_rng, _xlpm.err(OR(_xlpm.avg_mode &lt;&gt; "trim", _xlpm.trim &lt; _xlpm.p), "#TRIM&gt;P!"), _xlpm.is_omode, _xlpm.err(ISNUMBER(_xlfn.XMATCH(_xlpm.output_mode, {"raw","zscore"}, 0)), "#OUT MODE!"), _xlpm.is_hdr, _xlpm.err(_xlpm.is_type(_xlpm.headers, 4), "#HDR!"), _xlpm.is_y, _xlpm.err(_xlpm.is_type(_xlpm.show_y, 4), "#SHOW Y!"), _xlpm.is_x, _xlpm.err(_xlpm.is_type(_xlpm.show_x, 4), "#SHOW X!"), _xlpm.is_avg, _xlpm.err(_xlpm.is_type(_xlpm.show_avg, 4), "#SHOW AVG!"), _xlpm.is_cl, _xlpm.err(_xlpm.is_type(_xlpm.show_cl, 4), "#SHOW CL!"), _xlpm.is_r, _xlpm.err(_xlpm.is_type(_xlpm.rules, 4), "#RULES!"), _xlpm.is_rc, _xlpm.err(_xlpm.is_type(_xlpm.rules_concate, 4), "#RULES CONCATE!"), _xlfn.VSTACK(_xlpm.is_opt_clean, _xlpm.is_amode, _xlpm.is_p_NaN, _xlpm.is_p_pos, _xlpm.is_l, _xlpm.is_l_pos, _xlpm.is_trim, _xlpm.is_t_rng, _xlpm.is_omode, _xlpm.is_hdr, _xlpm.is_y, _xlpm.is_x, _xlpm.is_avg, _xlpm.is_cl, _xlpm.is_r, _xlpm.is_rc)), _xlpm.is_err, ISTEXT(_xlpm.err_arr), _xlpm.err_list, _xlfn.TEXTJOIN("; ", TRUE, _xlfn._xlws.FILTER(_xlpm.err_arr, _xlpm.is_err, "")), _xlpm.n, ROWS(_xlpm.y), _xlpm.x, IF(_xlfn.ISOMITTED(_xlpm.x), _xlfn.SEQUENCE(_xlpm.n, _xlpm.x)), _xlpm.ma, CC_MA(_xlpm.y, _xlpm.avg_mode, _xlpm.p, _xlpm.lambda, _xlpm.trim), _xlpm.std, CC_STD(_xlpm.y, _xlpm.ma, _xlpm.avg_mode, _xlpm.p, _xlpm.lambda, _xlpm.trim), _xlpm.z, IFERROR((_xlpm.y - _xlpm.ma) / _xlpm.std, NA()), _xlpm.ma_out, _xlfn.SWITCH(_xlpm.output_mode, "raw", _xlpm.ma, "zscore", _xlpm.z), _xlpm.cl, _xlfn.LET(_xlpm.k, _xlfn.TOROW(_xlfn.TAKE(_xlpm.ctrl_tbl, , -1)), _xlfn.SWITCH(_xlpm.output_mode, "raw", _xlpm.ma + _xlpm.std * _xlpm.k, "zscore", _xlfn.MAKEARRAY(_xlpm.n, COLUMNS(_xlpm.k), _xlfn.LAMBDA(_xlpm.r,_xlpm.c, INDEX(_xlpm.k, _xlpm.c))))), _xlpm.z_r, _xlfn.IFNA(_xlpm.z, 0), _xlpm.r, CC_RULES(_xlpm.z_r), _xlpm.hdr_avg, IF(_xlpm.output_mode = "zscore", "z " &amp; _xlpm.avg_mode, _xlpm.avg_mode), _xlpm.hdr_ctrl, _xlfn.TOROW(INDEX(_xlpm.ctrl_tbl, , 1)), _xlpm.hdr_rules, {"3σ","Run 7","Trd 7","2/3 2σ"}, _xlpm.hdrs, _xlfn.HSTACK("x", "y", _xlpm.hdr_avg, _xlpm.hdr_ctrl, _xlpm.hdr_rules, "Rules"), _xlpm.out_mask, _xlfn.HSTACK(_xlpm.show_x, _xlpm.show_y, _xlpm.show_avg, IF(_xlfn.SEQUENCE(, COLUMNS(_xlpm.hdr_ctrl)), _xlpm.show_cl), IF(_xlfn.SEQUENCE(, COLUMNS(_xlpm.hdr_rules)), _xlpm.rules), _xlpm.rules_concate), _xlpm.data, _xlfn.HSTACK(_xlpm.x, _xlpm.y, _xlpm.ma_out, _xlpm.cl, _xlpm.r), _xlpm.tbl, _xlfn.VSTACK(_xlpm.hdrs, _xlpm.data), _xlpm.tbl_out, _xlfn.LET(_xlpm.j, _xlfn.SEQUENCE(, COLUMNS(_xlpm.out_mask)), _xlpm.f, _xlfn._xlws.FILTER(_xlpm.j, _xlpm.out_mask), _xlpm.select, _xlfn.CHOOSECOLS(_xlpm.tbl, _xlpm.f), _xlpm.select), _xlpm.return, IF(_xlpm.err_list &lt;&gt; "", _xlpm.err_list, _xlpm.tbl_out),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MOVING_RANGE">_xlfn.LAMBDA(_xlpm.y,_xlop.x,_xlop.normalize,_xlfn.LET(_xlpm.is_norm, IF(_xlfn.ISOMITTED(_xlpm.normalize), FALSE, _xlpm.normalize), _xlpm.is_x, IF(_xlfn.ISOMITTED(_xlpm.x), FALSE, TRUE), _xlpm.get_rng, _xlfn.LAMBDA(_xlpm.data,_xlop.mode, _xlfn.LET(_xlpm.m, IF(_xlfn.ISOMITTED(_xlpm.mode), ""), _xlpm.offset, _xlfn.VSTACK(_xlfn.TAKE(_xlpm.data, 1), _xlfn.DROP(_xlpm.data, -1)), _xlpm.return, ABS(_xlpm.data - _xlpm.offset), _xlpm.return)), _xlpm.rept_arr, _xlfn.LAMBDA(_xlpm.val,_xlpm.number_times, IF(_xlfn.SEQUENCE(_xlpm.number_times), _xlpm.val)), _xlpm.n, ROWS(_xlpm.y), _xlpm.mov_rng, IF(_xlpm.is_norm, SCALE_ARRAY(_xlpm.get_rng(_xlpm.y), "sc_rng"), _xlpm.get_rng(_xlpm.y)), _xlpm.avg_rng, SUM(_xlpm.mov_rng) / (_xlpm.n - 1), _xlpm.ucl, _xlpm.avg_rng + (3 * (_xlpm.avg_rng / SQRT(2))), _xlpm.data, IF(_xlpm.is_x, _xlfn.HSTACK(_xlpm.x, _xlpm.mov_rng, _xlpm.rept_arr(_xlpm.avg_rng, _xlpm.n), _xlpm.rept_arr(_xlpm.ucl, _xlpm.n)), _xlfn.HSTACK(_xlpm.mov_rng, _xlpm.rept_arr(_xlpm.avg_rng, _xlpm.n), _xlpm.rept_arr(_xlpm.ucl, _xlpm.n))), _xlpm.hrd, IF(_xlpm.is_x, {"x","Ri","Ravg","UCL"}, {"Ri","Ravg","UCL"}), _xlpm.tbl, _xlfn.VSTACK(_xlpm.hrd, _xlpm.data), _xlpm.return, _xlpm.tbl,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{"wave_type","sine";"cycles",1;"amplitude",1;"frequency",1;"damping",0;"damping",0;"noise_percent",0;"phase_shift",0;"vertical_offset",0;"duty_cycle",0.5;"seed",TRUE},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_xlpm.sd, _xlfn.SWITCH(TYPE(_xlpm.sd_val), 1, _xlpm.sd_val, 4, IF(_xlpm.sd_val, 1, NA()), NA()), _xlpm.has_seed, NOT(ISNA(_xlpm.sd)),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4" i="16" l="1" a="1"/>
  <c r="F4" i="16" s="1"/>
  <c r="A4" i="16" a="1"/>
  <c r="A4" i="16" s="1"/>
  <c r="D18" i="16" l="1" a="1"/>
  <c r="D18" i="16" s="1"/>
  <c r="A163" i="7" a="1"/>
  <c r="A163" i="7" s="1"/>
  <c r="A45" i="35" a="1"/>
  <c r="A45" i="35" s="1"/>
  <c r="A292" i="11" a="1"/>
  <c r="A292" i="11" s="1"/>
  <c r="C220" i="8" l="1" a="1"/>
  <c r="C220" i="8" s="1"/>
  <c r="A41" i="35" a="1"/>
  <c r="A41" i="35" s="1"/>
  <c r="P44" i="35" l="1" a="1"/>
  <c r="P41" i="35" s="1" a="1"/>
  <c r="P41" i="35" s="1"/>
  <c r="D44" i="35" a="1"/>
  <c r="D44" i="35" l="1"/>
  <c r="P44" i="35"/>
  <c r="B144" i="21" l="1" a="1"/>
  <c r="B144" i="21" s="1"/>
  <c r="M288" i="11" a="1"/>
  <c r="M288"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A288" i="11" l="1" a="1"/>
  <c r="A288" i="11" s="1"/>
  <c r="M291" i="11" a="1"/>
  <c r="M291" i="11" s="1"/>
  <c r="D291" i="11" a="1"/>
  <c r="D291" i="11" s="1"/>
  <c r="F114" i="19" a="1"/>
  <c r="F114" i="19" s="1"/>
  <c r="F113" i="19" a="1"/>
  <c r="F113" i="19" s="1"/>
  <c r="F112" i="19" a="1"/>
  <c r="F112" i="19" s="1"/>
  <c r="I70" i="15" l="1"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<sst xmlns="http://schemas.openxmlformats.org/spreadsheetml/2006/main" count="3132" uniqueCount="2096">
  <si>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</si>
  <si>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</si>
  <si>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</si>
  <si>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</si>
  <si>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</si>
  <si>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</si>
  <si>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</si>
  <si>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</si>
  <si>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</si>
  <si>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</si>
  <si>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</si>
  <si>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</si>
  <si>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</si>
  <si>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</si>
  <si>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</si>
  <si>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</si>
  <si>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</si>
  <si>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</si>
  <si>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</si>
  <si>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</si>
  <si>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</si>
  <si>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</si>
  <si>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</si>
  <si>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</si>
  <si>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</si>
  <si>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</si>
  <si>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</si>
  <si>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</si>
  <si>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</si>
  <si>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</si>
  <si>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</si>
  <si>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</si>
  <si>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</si>
  <si>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</si>
  <si>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</si>
  <si>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</si>
  <si>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</si>
  <si>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</si>
  <si>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</si>
  <si>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</si>
  <si>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</si>
  <si>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</si>
  <si>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</si>
  <si>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</si>
  <si>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</si>
  <si>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</si>
  <si>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</si>
  <si>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</si>
  <si>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</si>
  <si>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</si>
  <si>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</si>
  <si>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</si>
  <si>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</si>
  <si>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</si>
  <si>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</si>
  <si>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</si>
  <si>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</si>
  <si>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</si>
  <si>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</si>
  <si>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</si>
  <si>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</si>
  <si>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</si>
  <si>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</si>
  <si>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</si>
  <si>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</si>
  <si>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</si>
  <si>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</si>
  <si>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</si>
  <si>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</si>
  <si>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</si>
  <si>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</si>
  <si>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</si>
  <si>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</si>
  <si>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</si>
  <si>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</si>
  <si>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</si>
  <si>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</si>
  <si>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</si>
  <si>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</si>
  <si>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</si>
  <si>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</si>
  <si>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</si>
  <si>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</si>
  <si>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</si>
  <si>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</si>
  <si>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</si>
  <si>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</si>
  <si>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</si>
  <si>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</si>
  <si>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</si>
  <si>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</si>
  <si>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</si>
  <si>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</si>
  <si>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</si>
  <si>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</si>
  <si>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</si>
  <si>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</si>
  <si>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</si>
  <si>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</si>
  <si>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</si>
  <si>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</si>
  <si>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</si>
  <si>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</si>
  <si>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</si>
  <si>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</si>
  <si>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</si>
  <si>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</si>
  <si>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</si>
  <si>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</si>
  <si>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</si>
  <si>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</si>
  <si>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</si>
  <si>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</si>
  <si>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</si>
  <si>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</si>
  <si>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</si>
  <si>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</si>
  <si>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</si>
  <si>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</si>
  <si>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</si>
  <si>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</si>
  <si>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</si>
  <si>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</si>
  <si>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</si>
  <si>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</si>
  <si>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</si>
  <si>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</si>
  <si>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</si>
  <si>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</si>
  <si>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</si>
  <si>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</si>
  <si>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</si>
  <si>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</si>
  <si>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</si>
  <si>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</si>
  <si>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</si>
  <si>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</si>
  <si>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</si>
  <si>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</si>
  <si>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</si>
  <si>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</si>
  <si>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</si>
  <si>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</si>
  <si>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</si>
  <si>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</si>
  <si>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</si>
  <si>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</si>
  <si>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</si>
  <si>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</si>
  <si>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</si>
  <si>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</si>
  <si>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</si>
  <si>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</si>
  <si>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</si>
  <si>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</si>
  <si>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</si>
  <si>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</si>
  <si>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</si>
  <si>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</si>
  <si>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</si>
  <si>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</si>
  <si>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</si>
  <si>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</si>
  <si>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</si>
  <si>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</si>
  <si>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</si>
  <si>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</si>
  <si>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</si>
  <si>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</si>
  <si>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</si>
  <si>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</si>
  <si>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</si>
  <si>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</si>
  <si>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</si>
  <si>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</si>
  <si>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</si>
  <si>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</si>
  <si>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</si>
  <si>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</si>
  <si>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</si>
  <si>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</si>
  <si>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</si>
  <si>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</si>
  <si>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</si>
  <si>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</si>
  <si>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</si>
  <si>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</si>
  <si>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</si>
  <si>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</si>
  <si>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</si>
  <si>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</si>
  <si>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</si>
  <si>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</si>
  <si>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</si>
  <si>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</si>
  <si>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</si>
  <si>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</si>
  <si>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</si>
  <si>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</si>
  <si>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</si>
  <si>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</si>
  <si>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</si>
  <si>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</si>
  <si>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</si>
  <si>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</si>
  <si>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</si>
  <si>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</si>
  <si>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</si>
  <si>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</si>
  <si>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</si>
  <si>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</si>
  <si>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</si>
  <si>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</si>
  <si>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</si>
  <si>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</si>
  <si>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</si>
  <si>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</si>
  <si>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</si>
  <si>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</si>
  <si>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</si>
  <si>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</si>
  <si>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</si>
  <si>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</si>
  <si>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</si>
  <si>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</si>
  <si>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</si>
  <si>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</si>
  <si>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</si>
  <si>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</si>
  <si>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</si>
  <si>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</si>
  <si>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</si>
  <si>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</si>
  <si>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</si>
  <si>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</si>
  <si>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</si>
  <si>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</si>
  <si>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</si>
  <si>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</si>
  <si>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</si>
  <si>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</si>
  <si>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</si>
  <si>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</si>
  <si>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</si>
  <si>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</si>
  <si>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</si>
  <si>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</si>
  <si>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</si>
  <si>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</si>
  <si>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</si>
  <si>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</si>
  <si>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</si>
  <si>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</si>
  <si>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</si>
  <si>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</si>
  <si>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</si>
  <si>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</si>
  <si>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</si>
  <si>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</si>
  <si>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</si>
  <si>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</si>
  <si>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</si>
  <si>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</si>
  <si>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</si>
  <si>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</si>
  <si>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</si>
  <si>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</si>
  <si>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</si>
  <si>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</si>
  <si>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</si>
  <si>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</si>
  <si>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</si>
  <si>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</si>
  <si>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</si>
  <si>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</si>
  <si>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</si>
  <si>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</si>
  <si>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</si>
  <si>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</si>
  <si>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</si>
  <si>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</si>
  <si>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</si>
  <si>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</si>
  <si>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</si>
  <si>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</si>
  <si>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</si>
  <si>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</si>
  <si>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</si>
  <si>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</si>
  <si>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</si>
  <si>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</si>
  <si>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</si>
  <si>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</si>
  <si>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</si>
  <si>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</si>
  <si>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</si>
  <si>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</si>
  <si>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</si>
  <si>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</si>
  <si>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</si>
  <si>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</si>
  <si>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</si>
  <si>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</si>
  <si>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</si>
  <si>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</si>
  <si>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</si>
  <si>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</si>
  <si>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</si>
  <si>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</si>
  <si>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</si>
  <si>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</si>
  <si>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</si>
  <si>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</si>
  <si>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</si>
  <si>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</si>
  <si>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</si>
  <si>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</si>
  <si>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</si>
  <si>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</si>
  <si>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</si>
  <si>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</si>
  <si>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</si>
  <si>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</si>
  <si>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</si>
  <si>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</si>
  <si>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</si>
  <si>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</si>
  <si>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</si>
  <si>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</si>
  <si>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</si>
  <si>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</si>
  <si>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</si>
  <si>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</si>
  <si>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</si>
  <si>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</si>
  <si>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</si>
  <si>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</si>
  <si>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</si>
  <si>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</si>
  <si>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</si>
  <si>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</si>
  <si>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</si>
  <si>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</si>
  <si>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</si>
  <si>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</si>
  <si>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</si>
  <si>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</si>
  <si>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</si>
  <si>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</si>
  <si>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</si>
  <si>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</si>
  <si>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</si>
  <si>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</si>
  <si>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</si>
  <si>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</si>
  <si>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</si>
  <si>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</si>
  <si>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</si>
  <si>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</si>
  <si>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</si>
  <si>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</si>
  <si>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</si>
  <si>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</si>
  <si>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</si>
  <si>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</si>
  <si>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</si>
  <si>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</si>
  <si>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</si>
  <si>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</si>
  <si>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</si>
  <si>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</si>
  <si>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</si>
  <si>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</si>
  <si>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</si>
  <si>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</si>
  <si>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</si>
  <si>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</si>
  <si>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</si>
  <si>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</si>
  <si>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</si>
  <si>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</si>
  <si>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</si>
  <si>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</si>
  <si>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</si>
  <si>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</si>
  <si>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</si>
  <si>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</si>
  <si>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</si>
  <si>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</si>
  <si>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</si>
  <si>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</si>
  <si>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</si>
  <si>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</si>
  <si>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</si>
  <si>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</si>
  <si>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</si>
  <si>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</si>
  <si>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</si>
  <si>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</si>
  <si>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</si>
  <si>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</si>
  <si>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</si>
  <si>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</si>
  <si>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</si>
  <si>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</si>
  <si>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</si>
  <si>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</si>
  <si>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</si>
  <si>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</si>
  <si>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</si>
  <si>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</si>
  <si>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</si>
  <si>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</si>
  <si>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</si>
  <si>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</si>
  <si>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</si>
  <si>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</si>
  <si>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</si>
  <si>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</si>
  <si>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</si>
  <si>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</si>
  <si>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</si>
  <si>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</si>
  <si>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</si>
  <si>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</si>
  <si>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</si>
  <si>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</si>
  <si>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</si>
  <si>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</si>
  <si>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</si>
  <si>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</si>
  <si>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</si>
  <si>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</si>
  <si>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</si>
  <si>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</si>
  <si>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</si>
  <si>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</si>
  <si>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</si>
  <si>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</si>
  <si>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</si>
  <si>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</si>
  <si>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</si>
  <si>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</si>
  <si>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</si>
  <si>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</si>
  <si>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</si>
  <si>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</si>
  <si>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</si>
  <si>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</si>
  <si>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</si>
  <si>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</si>
  <si>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</si>
  <si>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</si>
  <si>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</si>
  <si>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</si>
  <si>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</si>
  <si>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</si>
  <si>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</si>
  <si>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</si>
  <si>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</si>
  <si>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</si>
  <si>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</si>
  <si>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</si>
  <si>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</si>
  <si>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</si>
  <si>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</si>
  <si>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</si>
  <si>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</si>
  <si>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</si>
  <si>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</si>
  <si>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</si>
  <si>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</si>
  <si>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</si>
  <si>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</si>
  <si>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</si>
  <si>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</si>
  <si>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</si>
  <si>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</si>
  <si>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</si>
  <si>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</si>
  <si>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</si>
  <si>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</si>
  <si>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</si>
  <si>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</si>
  <si>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</si>
  <si>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</si>
  <si>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</si>
  <si>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</si>
  <si>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</si>
  <si>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</si>
  <si>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</si>
  <si>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</si>
  <si>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</si>
  <si>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</si>
  <si>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</si>
  <si>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</si>
  <si>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</si>
  <si>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</si>
  <si>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</si>
  <si>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</si>
  <si>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</si>
  <si>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</si>
  <si>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</si>
  <si>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</si>
  <si>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</si>
  <si>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</si>
  <si>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</si>
  <si>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</si>
  <si>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</si>
  <si>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</si>
  <si>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</si>
  <si>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</si>
  <si>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</si>
  <si>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</si>
  <si>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</si>
  <si>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</si>
  <si>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</si>
  <si>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</si>
  <si>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</si>
  <si>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</si>
  <si>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</si>
  <si>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</si>
  <si>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</si>
  <si>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</si>
  <si>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</si>
  <si>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</si>
  <si>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</si>
  <si>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</si>
  <si>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</si>
  <si>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</si>
  <si>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</si>
  <si>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</si>
  <si>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</si>
  <si>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</si>
  <si>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</si>
  <si>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</si>
  <si>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</si>
  <si>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</si>
  <si>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</si>
  <si>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</si>
  <si>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</si>
  <si>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</si>
  <si>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</si>
  <si>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</si>
  <si>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</si>
  <si>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</si>
  <si>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</si>
  <si>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</si>
  <si>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</si>
  <si>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</si>
  <si>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</si>
  <si>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</si>
  <si>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</si>
  <si>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</si>
  <si>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</si>
  <si>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</si>
  <si>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</si>
  <si>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</si>
  <si>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</si>
  <si>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</si>
  <si>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</si>
  <si>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</si>
  <si>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</si>
  <si>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</si>
  <si>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</si>
  <si>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</si>
  <si>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</si>
  <si>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</si>
  <si>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</si>
  <si>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</si>
  <si>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</si>
  <si>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</si>
  <si>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</si>
  <si>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</si>
  <si>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</si>
  <si>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</si>
  <si>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</si>
  <si>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</si>
  <si>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</si>
  <si>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</si>
  <si>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</si>
  <si>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</si>
  <si>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</si>
  <si>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</si>
  <si>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</si>
  <si>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</si>
  <si>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</si>
  <si>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</si>
  <si>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</si>
  <si>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</si>
  <si>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</si>
  <si>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</si>
  <si>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</si>
  <si>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</si>
  <si>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</si>
  <si>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</si>
  <si>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</si>
  <si>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</si>
  <si>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</si>
  <si>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</si>
  <si>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</si>
  <si>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</si>
  <si>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</si>
  <si>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</si>
  <si>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</si>
  <si>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</si>
  <si>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</si>
  <si>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</si>
  <si>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</si>
  <si>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</si>
  <si>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</si>
  <si>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</si>
  <si>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</si>
  <si>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</si>
  <si>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</si>
  <si>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</si>
  <si>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</si>
  <si>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</si>
  <si>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</si>
  <si>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</si>
  <si>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</si>
  <si>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</si>
  <si>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</si>
  <si>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</si>
  <si>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</si>
  <si>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</si>
  <si>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</si>
  <si>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</si>
  <si>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</si>
  <si>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</si>
  <si>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</si>
  <si>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</si>
  <si>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</si>
  <si>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</si>
  <si>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</si>
  <si>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</si>
  <si>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</si>
  <si>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</si>
  <si>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</si>
  <si>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</si>
  <si>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</si>
  <si>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</si>
  <si>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</si>
  <si>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</si>
  <si>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</si>
  <si>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</si>
  <si>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</si>
  <si>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</si>
  <si>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</si>
  <si>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</si>
  <si>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</si>
  <si>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</si>
  <si>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</si>
  <si>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</si>
  <si>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</si>
  <si>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</si>
  <si>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</si>
  <si>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</si>
  <si>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</si>
  <si>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</si>
  <si>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</si>
  <si>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</si>
  <si>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</si>
  <si>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</si>
  <si>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</si>
  <si>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</si>
  <si>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</si>
  <si>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</si>
  <si>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</si>
  <si>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</si>
  <si>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</si>
  <si>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</si>
  <si>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</si>
  <si>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</si>
  <si>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</si>
  <si>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</si>
  <si>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</si>
  <si>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</si>
  <si>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</si>
  <si>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</si>
  <si>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</si>
  <si>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</si>
  <si>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</si>
  <si>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</si>
  <si>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</si>
  <si>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</si>
  <si>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</si>
  <si>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</si>
  <si>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</si>
  <si>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</si>
  <si>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</si>
  <si>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</si>
  <si>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</si>
  <si>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</si>
  <si>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</si>
  <si>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</si>
  <si>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</si>
  <si>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</si>
  <si>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</si>
  <si>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</si>
  <si>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</si>
  <si>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</si>
  <si>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</si>
  <si>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</si>
  <si>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</si>
  <si>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</si>
  <si>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</si>
  <si>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</si>
  <si>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</si>
  <si>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</si>
  <si>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</si>
  <si>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</si>
  <si>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</si>
  <si>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</si>
  <si>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</si>
  <si>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</si>
  <si>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</si>
  <si>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</si>
  <si>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</si>
  <si>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</si>
  <si>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</si>
  <si>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</si>
  <si>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</si>
  <si>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</si>
  <si>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</si>
  <si>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</si>
  <si>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</si>
  <si>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</si>
  <si>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</si>
  <si>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</si>
  <si>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</si>
  <si>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</si>
  <si>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</si>
  <si>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</si>
  <si>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</si>
  <si>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</si>
  <si>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</si>
  <si>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</si>
  <si>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</si>
  <si>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</si>
  <si>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</si>
  <si>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</si>
  <si>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</si>
  <si>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</si>
  <si>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</si>
  <si>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</si>
  <si>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</si>
  <si>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</si>
  <si>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</si>
  <si>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</si>
  <si>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</si>
  <si>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</si>
  <si>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</si>
  <si>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</si>
  <si>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</si>
  <si>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</si>
  <si>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</si>
  <si>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</si>
  <si>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</si>
  <si>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</si>
  <si>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</si>
  <si>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</si>
  <si>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</si>
  <si>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</si>
  <si>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</si>
  <si>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</si>
  <si>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</si>
  <si>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</si>
  <si>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</si>
  <si>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</si>
  <si>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</si>
  <si>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</si>
  <si>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</si>
  <si>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</si>
  <si>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</si>
  <si>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</si>
  <si>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</si>
  <si>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</si>
  <si>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</si>
  <si>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</si>
  <si>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</si>
  <si>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</si>
  <si>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</si>
  <si>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</si>
  <si>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</si>
  <si>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</si>
  <si>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</si>
  <si>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</si>
  <si>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</si>
  <si>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</si>
  <si>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</si>
  <si>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</si>
  <si>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</si>
  <si>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</si>
  <si>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</si>
  <si>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</si>
  <si>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</si>
  <si>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</si>
  <si>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</si>
  <si>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</si>
  <si>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</si>
  <si>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</si>
  <si>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</si>
  <si>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</si>
  <si>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</si>
  <si>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</si>
  <si>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</si>
  <si>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</si>
  <si>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</si>
  <si>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</si>
  <si>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</si>
  <si>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</si>
  <si>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</si>
  <si>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</si>
  <si>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</si>
  <si>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</si>
  <si>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</si>
  <si>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</si>
  <si>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</si>
  <si>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</si>
  <si>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</si>
  <si>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</si>
  <si>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</si>
  <si>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</si>
  <si>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</si>
  <si>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</si>
  <si>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</si>
  <si>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</si>
  <si>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</si>
  <si>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</si>
  <si>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</si>
  <si>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</si>
  <si>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</si>
  <si>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</si>
  <si>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</si>
  <si>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</si>
  <si>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</si>
  <si>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</si>
  <si>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</si>
  <si>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</si>
  <si>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</si>
  <si>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</si>
  <si>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</si>
  <si>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</si>
  <si>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</si>
  <si>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</si>
  <si>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</si>
  <si>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</si>
  <si>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</si>
  <si>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</si>
  <si>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</si>
  <si>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</si>
  <si>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</si>
  <si>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</si>
  <si>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</si>
  <si>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</si>
  <si>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</si>
  <si>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</si>
  <si>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</si>
  <si>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</si>
  <si>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</si>
  <si>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</si>
  <si>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</si>
  <si>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</si>
  <si>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</si>
  <si>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</si>
  <si>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</si>
  <si>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</si>
  <si>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</si>
  <si>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</si>
  <si>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</si>
  <si>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</si>
  <si>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</si>
  <si>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</si>
  <si>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</si>
  <si>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</si>
  <si>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</si>
  <si>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</si>
  <si>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</si>
  <si>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</si>
  <si>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</si>
  <si>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</si>
  <si>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</si>
  <si>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</si>
  <si>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</si>
  <si>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</si>
  <si>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</si>
  <si>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</si>
  <si>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</si>
  <si>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</si>
  <si>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</si>
  <si>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</si>
  <si>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</si>
  <si>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</si>
  <si>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</si>
  <si>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</si>
  <si>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</si>
  <si>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</si>
  <si>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</si>
  <si>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</si>
  <si>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</si>
  <si>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</si>
  <si>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</si>
  <si>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</si>
  <si>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</si>
  <si>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</si>
  <si>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</si>
  <si>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</si>
  <si>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</si>
  <si>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</si>
  <si>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</si>
  <si>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</si>
  <si>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</si>
  <si>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</si>
  <si>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</si>
  <si>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</si>
  <si>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</si>
  <si>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</si>
  <si>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</si>
  <si>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</si>
  <si>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</si>
  <si>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</si>
  <si>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</si>
  <si>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</si>
  <si>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</si>
  <si>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</si>
  <si>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</si>
  <si>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</si>
  <si>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</si>
  <si>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</si>
  <si>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</si>
  <si>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</si>
  <si>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</si>
  <si>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</si>
  <si>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</si>
  <si>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</si>
  <si>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</si>
  <si>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</si>
  <si>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</si>
  <si>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</si>
  <si>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</si>
  <si>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</si>
  <si>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</si>
  <si>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</si>
  <si>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</si>
  <si>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</si>
  <si>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</si>
  <si>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</si>
  <si>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</si>
  <si>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</si>
  <si>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</si>
  <si>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</si>
  <si>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</si>
  <si>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</si>
  <si>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</si>
  <si>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</si>
  <si>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</si>
  <si>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</si>
  <si>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</si>
  <si>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</si>
  <si>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</si>
  <si>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</si>
  <si>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</si>
  <si>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</si>
  <si>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</si>
  <si>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</si>
  <si>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</si>
  <si>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</si>
  <si>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</si>
  <si>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</si>
  <si>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</si>
  <si>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</si>
  <si>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</si>
  <si>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</si>
  <si>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</si>
  <si>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</si>
  <si>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</si>
  <si>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</si>
  <si>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</si>
  <si>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</si>
  <si>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</si>
  <si>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</si>
  <si>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</si>
  <si>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</si>
  <si>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</si>
  <si>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</si>
  <si>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</si>
  <si>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</si>
  <si>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</si>
  <si>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</si>
  <si>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</si>
  <si>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</si>
  <si>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</si>
  <si>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</si>
  <si>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</si>
  <si>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</si>
  <si>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</si>
  <si>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</si>
  <si>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</si>
  <si>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</si>
  <si>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</si>
  <si>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</si>
  <si>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</si>
  <si>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</si>
  <si>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</si>
  <si>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</si>
  <si>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</si>
  <si>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</si>
  <si>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</si>
  <si>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</si>
  <si>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</si>
  <si>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</si>
  <si>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</si>
  <si>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</si>
  <si>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</si>
  <si>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</si>
  <si>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</si>
  <si>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</si>
  <si>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</si>
  <si>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</si>
  <si>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</si>
  <si>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</si>
  <si>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</si>
  <si>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</si>
  <si>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</si>
  <si>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</si>
  <si>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</si>
  <si>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</si>
  <si>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</si>
  <si>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</si>
  <si>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</si>
  <si>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</si>
  <si>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</si>
  <si>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</si>
  <si>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</si>
  <si>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</si>
  <si>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</si>
  <si>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</si>
  <si>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</si>
  <si>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</si>
  <si>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</si>
  <si>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</si>
  <si>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</si>
  <si>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</si>
  <si>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</si>
  <si>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</si>
  <si>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</si>
  <si>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</si>
  <si>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</si>
  <si>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</si>
  <si>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</si>
  <si>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</si>
  <si>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</si>
  <si>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</si>
  <si>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</si>
  <si>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</si>
  <si>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</si>
  <si>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</si>
  <si>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</si>
  <si>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</si>
  <si>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</si>
  <si>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</si>
  <si>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</si>
  <si>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</si>
  <si>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</si>
  <si>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</si>
  <si>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</si>
  <si>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</si>
  <si>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</si>
  <si>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</si>
  <si>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</si>
  <si>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</si>
  <si>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</si>
  <si>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</si>
  <si>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</si>
  <si>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</si>
  <si>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</si>
  <si>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</si>
  <si>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</si>
  <si>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</si>
  <si>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</si>
  <si>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</si>
  <si>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</si>
  <si>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</si>
  <si>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</si>
  <si>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</si>
  <si>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</si>
  <si>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</si>
  <si>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</si>
  <si>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</si>
  <si>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</si>
  <si>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</si>
  <si>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</si>
  <si>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</si>
  <si>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</si>
  <si>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</si>
  <si>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</si>
  <si>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</si>
  <si>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</si>
  <si>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</si>
  <si>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</si>
  <si>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</si>
  <si>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</si>
  <si>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</si>
  <si>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</si>
  <si>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</si>
  <si>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</si>
  <si>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</si>
  <si>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</si>
  <si>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</si>
  <si>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</si>
  <si>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</si>
  <si>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</si>
  <si>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</si>
  <si>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</si>
  <si>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</si>
  <si>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</si>
  <si>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</si>
  <si>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</si>
  <si>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</si>
  <si>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</si>
  <si>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</si>
  <si>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</si>
  <si>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</si>
  <si>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</si>
  <si>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</si>
  <si>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</si>
  <si>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</si>
  <si>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</si>
  <si>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</si>
  <si>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</si>
  <si>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</si>
  <si>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</si>
  <si>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</si>
  <si>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</si>
  <si>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</si>
  <si>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</si>
  <si>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</si>
  <si>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</si>
  <si>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</si>
  <si>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</si>
  <si>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</si>
  <si>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</si>
  <si>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</si>
  <si>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</si>
  <si>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</si>
  <si>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</si>
  <si>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</si>
  <si>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</si>
  <si>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</si>
  <si>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</si>
  <si>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</si>
  <si>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</si>
  <si>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</si>
  <si>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</si>
  <si>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</si>
  <si>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</si>
  <si>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</si>
  <si>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</si>
  <si>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</si>
  <si>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</si>
  <si>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</si>
  <si>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</si>
  <si>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</si>
  <si>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</si>
  <si>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</si>
  <si>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</si>
  <si>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</si>
  <si>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</si>
  <si>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</si>
  <si>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</si>
  <si>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</si>
  <si>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</si>
  <si>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</si>
  <si>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</si>
  <si>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</si>
  <si>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</si>
  <si>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</si>
  <si>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</si>
  <si>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</si>
  <si>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</si>
  <si>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</si>
  <si>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</si>
  <si>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</si>
  <si>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</si>
  <si>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</si>
  <si>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</si>
  <si>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</si>
  <si>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</si>
  <si>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</si>
  <si>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</si>
  <si>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</si>
  <si>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</si>
  <si>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</si>
  <si>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</si>
  <si>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</si>
  <si>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</si>
  <si>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</si>
  <si>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</si>
  <si>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</si>
  <si>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</si>
  <si>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</si>
  <si>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</si>
  <si>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</si>
  <si>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</si>
  <si>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</si>
  <si>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</si>
  <si>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</si>
  <si>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</si>
  <si>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</si>
  <si>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</si>
  <si>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</si>
  <si>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</si>
  <si>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</si>
  <si>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</si>
  <si>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</si>
  <si>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</si>
  <si>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</si>
  <si>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</si>
  <si>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</si>
  <si>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</si>
  <si>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</si>
  <si>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</si>
  <si>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</si>
  <si>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</si>
  <si>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</si>
  <si>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</si>
  <si>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</si>
  <si>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</si>
  <si>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</si>
  <si>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</si>
  <si>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</si>
  <si>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</si>
  <si>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</si>
  <si>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</si>
  <si>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</si>
  <si>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</si>
  <si>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</si>
  <si>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</si>
  <si>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</si>
  <si>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</si>
  <si>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</si>
  <si>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</si>
  <si>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</si>
  <si>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</si>
  <si>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</si>
  <si>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</si>
  <si>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</si>
  <si>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</si>
  <si>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</si>
  <si>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</si>
  <si>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</si>
  <si>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</si>
  <si>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</si>
  <si>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</si>
  <si>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</si>
  <si>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</si>
  <si>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</si>
  <si>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</si>
  <si>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</si>
  <si>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</si>
  <si>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</si>
  <si>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</si>
  <si>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</si>
  <si>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</si>
  <si>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</si>
  <si>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</si>
  <si>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</si>
  <si>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</si>
  <si>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</si>
  <si>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</si>
  <si>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</si>
  <si>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</si>
  <si>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</si>
  <si>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</si>
  <si>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</si>
  <si>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</si>
  <si>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</si>
  <si>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</si>
  <si>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</si>
  <si>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</si>
  <si>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</si>
  <si>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</si>
  <si>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</si>
  <si>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</si>
  <si>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</si>
  <si>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</si>
  <si>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</si>
  <si>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</si>
  <si>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</si>
  <si>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</si>
  <si>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</si>
  <si>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</si>
  <si>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</si>
  <si>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</si>
  <si>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</si>
  <si>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</si>
  <si>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</si>
  <si>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</si>
  <si>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</si>
  <si>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</si>
  <si>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</si>
  <si>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</si>
  <si>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</si>
  <si>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</si>
  <si>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</si>
  <si>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</si>
  <si>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</si>
  <si>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</si>
  <si>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</si>
  <si>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</si>
  <si>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</si>
  <si>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</si>
  <si>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</si>
  <si>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</si>
  <si>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</si>
  <si>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</si>
  <si>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</si>
  <si>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</si>
  <si>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</si>
  <si>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</si>
  <si>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</si>
  <si>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</si>
  <si>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</si>
  <si>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</si>
  <si>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</si>
  <si>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</si>
  <si>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</si>
  <si>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</si>
  <si>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</si>
  <si>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</si>
  <si>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</si>
  <si>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</si>
  <si>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</si>
  <si>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</si>
  <si>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</si>
  <si>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</si>
  <si>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</si>
  <si>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</si>
  <si>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</si>
  <si>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</si>
  <si>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</si>
  <si>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</si>
  <si>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</si>
  <si>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</si>
  <si>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</si>
  <si>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</si>
  <si>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</si>
  <si>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</si>
  <si>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</si>
  <si>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</si>
  <si>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</si>
  <si>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</si>
  <si>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</si>
  <si>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</si>
  <si>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</si>
  <si>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</si>
  <si>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</si>
  <si>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</si>
  <si>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</si>
  <si>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</si>
  <si>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</si>
  <si>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</si>
  <si>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</si>
  <si>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</si>
  <si>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</si>
  <si>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</si>
  <si>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</si>
  <si>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</si>
  <si>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</si>
  <si>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</si>
  <si>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</si>
  <si>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</si>
  <si>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</si>
  <si>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</si>
  <si>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</si>
  <si>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</si>
  <si>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</si>
  <si>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</si>
  <si>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</si>
  <si>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</si>
  <si>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</si>
  <si>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</si>
  <si>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</si>
  <si>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</si>
  <si>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</si>
  <si>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</si>
  <si>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</si>
  <si>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</si>
  <si>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</si>
  <si>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</si>
  <si>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</si>
  <si>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</si>
  <si>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</si>
  <si>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</si>
  <si>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</si>
  <si>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</si>
  <si>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</si>
  <si>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</si>
  <si>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</si>
  <si>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</si>
  <si>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</si>
  <si>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</si>
  <si>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</si>
  <si>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</si>
  <si>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</si>
  <si>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</si>
  <si>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</si>
  <si>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</si>
  <si>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</si>
  <si>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</si>
  <si>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</si>
  <si>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</si>
  <si>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</si>
  <si>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</si>
  <si>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</si>
  <si>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</si>
  <si>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</si>
  <si>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</si>
  <si>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</si>
  <si>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</si>
  <si>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</si>
  <si>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</si>
  <si>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</si>
  <si>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</si>
  <si>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</si>
  <si>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</si>
  <si>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</si>
  <si>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</si>
  <si>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</si>
  <si>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</si>
  <si>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</si>
  <si>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</si>
  <si>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</si>
  <si>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</si>
  <si>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</si>
  <si>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</si>
  <si>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</si>
  <si>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</si>
  <si>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</si>
  <si>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</si>
  <si>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</si>
  <si>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</si>
  <si>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</si>
  <si>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</si>
  <si>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</si>
  <si>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</si>
  <si>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</si>
  <si>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</si>
  <si>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</si>
  <si>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</si>
  <si>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</si>
  <si>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</si>
  <si>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</si>
  <si>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</si>
  <si>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</si>
  <si>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</si>
  <si>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</si>
  <si>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</si>
  <si>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</si>
  <si>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</si>
  <si>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</si>
  <si>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</si>
  <si>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</si>
  <si>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</si>
  <si>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</si>
  <si>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</si>
  <si>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</si>
  <si>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</si>
  <si>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</si>
  <si>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</si>
  <si>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</si>
  <si>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</si>
  <si>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</si>
  <si>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</si>
  <si>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</si>
  <si>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</si>
  <si>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</si>
  <si>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</si>
  <si>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</si>
  <si>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</si>
  <si>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</si>
  <si>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</si>
  <si>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</si>
  <si>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</si>
  <si>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</si>
  <si>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</si>
  <si>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</si>
  <si>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</si>
  <si>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</si>
  <si>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</si>
  <si>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</si>
  <si>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</si>
  <si>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</si>
  <si>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</si>
  <si>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</si>
  <si>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</si>
  <si>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</si>
  <si>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</si>
  <si>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</si>
  <si>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</si>
  <si>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</si>
  <si>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</si>
  <si>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</si>
  <si>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</si>
  <si>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</si>
  <si>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</si>
  <si>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</si>
  <si>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</si>
  <si>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</si>
  <si>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</si>
  <si>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</si>
  <si>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</si>
  <si>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</si>
  <si>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</si>
  <si>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</si>
  <si>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</si>
  <si>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</si>
  <si>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</si>
  <si>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</si>
  <si>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</si>
  <si>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</si>
  <si>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</si>
  <si>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</si>
  <si>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</si>
  <si>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</si>
  <si>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</si>
  <si>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</si>
  <si>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</si>
  <si>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</si>
  <si>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</si>
  <si>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</si>
  <si>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</si>
  <si>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</si>
  <si>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</si>
  <si>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</si>
  <si>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</si>
  <si>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</si>
  <si>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</si>
  <si>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</si>
  <si>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</si>
  <si>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</si>
  <si>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</si>
  <si>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</si>
  <si>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</si>
  <si>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</si>
  <si>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</si>
  <si>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</si>
  <si>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</si>
  <si>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</si>
  <si>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</si>
  <si>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</si>
  <si>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</si>
  <si>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</si>
  <si>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</si>
  <si>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</si>
  <si>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</si>
  <si>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</si>
  <si>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</si>
  <si>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</si>
  <si>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</si>
  <si>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</si>
  <si>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</si>
  <si>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</si>
  <si>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</si>
  <si>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</si>
  <si>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</si>
  <si>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</si>
  <si>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</si>
  <si>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</si>
  <si>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</si>
  <si>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</si>
  <si>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</si>
  <si>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</si>
  <si>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</si>
  <si>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</si>
  <si>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</si>
  <si>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</si>
  <si>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</si>
  <si>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</si>
  <si>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</si>
  <si>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</si>
  <si>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</si>
  <si>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</si>
  <si>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</si>
  <si>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</si>
  <si>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</si>
  <si>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</si>
  <si>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</si>
  <si>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</si>
  <si>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</si>
  <si>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</si>
  <si>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</si>
  <si>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</si>
  <si>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</si>
  <si>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</si>
  <si>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</si>
  <si>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</si>
  <si>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</si>
  <si>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</si>
  <si>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</si>
  <si>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</si>
  <si>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</si>
  <si>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</si>
  <si>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</si>
  <si>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</si>
  <si>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</si>
  <si>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</si>
  <si>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</si>
  <si>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</si>
  <si>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</si>
  <si>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</si>
  <si>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</si>
  <si>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</si>
  <si>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</si>
  <si>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</si>
  <si>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</si>
  <si>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</si>
  <si>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</si>
  <si>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</si>
  <si>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</si>
  <si>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</si>
  <si>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</si>
  <si>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</si>
  <si>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</si>
  <si>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</si>
  <si>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</si>
  <si>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</si>
  <si>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</si>
  <si>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</si>
  <si>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</si>
  <si>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</si>
  <si>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</si>
  <si>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</si>
  <si>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</si>
  <si>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</si>
  <si>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</si>
  <si>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</si>
  <si>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</si>
  <si>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</si>
  <si>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</si>
  <si>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</si>
  <si>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</si>
  <si>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</si>
  <si>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</si>
  <si>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</si>
  <si>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</si>
  <si>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</si>
  <si>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</si>
  <si>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</si>
  <si>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</si>
  <si>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</si>
  <si>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</si>
  <si>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</si>
  <si>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</si>
  <si>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</si>
  <si>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</si>
  <si>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</si>
  <si>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</si>
  <si>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</si>
  <si>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</si>
  <si>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</si>
  <si>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</si>
  <si>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</si>
  <si>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</si>
  <si>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</si>
  <si>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</si>
  <si>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</si>
  <si>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</si>
  <si>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</si>
  <si>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</si>
  <si>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</si>
  <si>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</si>
  <si>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</si>
  <si>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</si>
  <si>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</si>
  <si>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</si>
  <si>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</si>
  <si>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</si>
  <si>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</si>
  <si>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</si>
  <si>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</si>
  <si>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</si>
  <si>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</si>
  <si>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</si>
  <si>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</si>
  <si>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</si>
  <si>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</si>
  <si>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</si>
  <si>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</si>
  <si>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</si>
  <si>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</si>
  <si>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</si>
  <si>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</si>
  <si>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</si>
  <si>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</si>
  <si>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</si>
  <si>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</si>
  <si>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</si>
  <si>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</si>
  <si>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</si>
  <si>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</si>
  <si>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</si>
  <si>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</si>
  <si>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</si>
  <si>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</si>
  <si>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</si>
  <si>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</si>
  <si>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</si>
  <si>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</si>
  <si>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</si>
  <si>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</si>
  <si>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</si>
  <si>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</si>
  <si>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</si>
  <si>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</si>
  <si>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</si>
  <si>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</si>
  <si>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</si>
  <si>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</si>
  <si>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</si>
  <si>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</si>
  <si>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</si>
  <si>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</si>
  <si>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</si>
  <si>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</si>
  <si>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</si>
  <si>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</si>
  <si>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</si>
  <si>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</si>
  <si>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</si>
  <si>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</si>
  <si>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</si>
  <si>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</si>
  <si>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</si>
  <si>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</si>
  <si>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</si>
  <si>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</si>
  <si>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</si>
  <si>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</si>
  <si>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</si>
  <si>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</si>
  <si>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</si>
  <si>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</si>
  <si>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</si>
  <si>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</si>
  <si>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</si>
  <si>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</si>
  <si>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</si>
  <si>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</si>
  <si>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</si>
  <si>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</si>
  <si>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</si>
  <si>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</si>
  <si>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</si>
  <si>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</si>
  <si>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</si>
  <si>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</si>
  <si>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</si>
  <si>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</si>
  <si>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</si>
  <si>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</si>
  <si>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</si>
  <si>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</si>
  <si>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</si>
  <si>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</si>
  <si>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</si>
  <si>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</si>
  <si>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</si>
  <si>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</si>
  <si>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</si>
  <si>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</si>
  <si>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</si>
  <si>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</si>
  <si>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</si>
  <si>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</si>
  <si>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</si>
  <si>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</si>
  <si>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</si>
  <si>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</si>
  <si>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</si>
  <si>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</si>
  <si>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</si>
  <si>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</si>
  <si>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</si>
  <si>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</si>
  <si>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</si>
  <si>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</si>
  <si>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</si>
  <si>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</si>
  <si>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</si>
  <si>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</si>
  <si>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</si>
  <si>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</si>
  <si>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</si>
  <si>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</si>
  <si>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</si>
  <si>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</si>
  <si>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</si>
  <si>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</si>
  <si>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</si>
  <si>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</si>
  <si>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</si>
  <si>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</si>
  <si>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</si>
  <si>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</si>
  <si>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</si>
  <si>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</si>
  <si>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</si>
  <si>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</si>
  <si>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</si>
  <si>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</si>
  <si>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</si>
  <si>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</si>
  <si>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</si>
  <si>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</si>
  <si>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</si>
  <si>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</si>
  <si>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</si>
  <si>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</si>
  <si>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</si>
  <si>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</si>
  <si>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</si>
  <si>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</si>
  <si>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</si>
  <si>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</si>
  <si>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</si>
  <si>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</si>
  <si>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</si>
  <si>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</si>
  <si>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</si>
  <si>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</si>
  <si>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</si>
  <si>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Moving Range</t>
  </si>
  <si>
    <t>avg</t>
  </si>
  <si>
    <t>https://www.6sigmatool.com/blackbeltarticles/individual-moving-range-(i-mr)-chart</t>
  </si>
  <si>
    <t>Contrl Chart Output (Raw)</t>
  </si>
  <si>
    <t>Contrl Chart Output (Z Score)</t>
  </si>
  <si>
    <t>MOVING_RANGE</t>
  </si>
  <si>
    <t>Work in Progress</t>
  </si>
  <si>
    <t>Moving Range Output</t>
  </si>
  <si>
    <t>cma</t>
  </si>
  <si>
    <t>sma</t>
  </si>
  <si>
    <t>wma</t>
  </si>
  <si>
    <t>med</t>
  </si>
  <si>
    <t>need to fix the column output options</t>
  </si>
  <si>
    <t>Add warnings?</t>
  </si>
  <si>
    <t>show_x</t>
  </si>
  <si>
    <t>emal</t>
  </si>
  <si>
    <t>zscore</t>
  </si>
  <si>
    <t>rules_concate</t>
  </si>
  <si>
    <r>
      <t>=</t>
    </r>
    <r>
      <rPr>
        <sz val="11"/>
        <color rgb="FFC4432B"/>
        <rFont val="Consolas"/>
        <family val="3"/>
      </rPr>
      <t>LET</t>
    </r>
    <r>
      <rPr>
        <sz val="11"/>
        <color rgb="FF000000"/>
        <rFont val="Consolas"/>
        <family val="3"/>
      </rPr>
      <t>(</t>
    </r>
  </si>
  <si>
    <r>
      <t xml:space="preserve">    </t>
    </r>
    <r>
      <rPr>
        <sz val="11"/>
        <color rgb="FF0969DA"/>
        <rFont val="Consolas"/>
        <family val="3"/>
      </rPr>
      <t>pnt</t>
    </r>
    <r>
      <rPr>
        <sz val="11"/>
        <color rgb="FF000000"/>
        <rFont val="Consolas"/>
        <family val="3"/>
      </rPr>
      <t xml:space="preserve">, </t>
    </r>
    <r>
      <rPr>
        <sz val="11"/>
        <color rgb="FF0969DA"/>
        <rFont val="Consolas"/>
        <family val="3"/>
      </rPr>
      <t>points</t>
    </r>
    <r>
      <rPr>
        <sz val="11"/>
        <color rgb="FF000000"/>
        <rFont val="Consolas"/>
        <family val="3"/>
      </rPr>
      <t>,</t>
    </r>
  </si>
  <si>
    <r>
      <t xml:space="preserve">    </t>
    </r>
    <r>
      <rPr>
        <sz val="11"/>
        <color rgb="FF0969DA"/>
        <rFont val="Consolas"/>
        <family val="3"/>
      </rPr>
      <t>opt_default</t>
    </r>
    <r>
      <rPr>
        <sz val="11"/>
        <color rgb="FF000000"/>
        <rFont val="Consolas"/>
        <family val="3"/>
      </rPr>
      <t>, {</t>
    </r>
  </si>
  <si>
    <r>
      <t xml:space="preserve">        </t>
    </r>
    <r>
      <rPr>
        <sz val="11"/>
        <color rgb="FFA31515"/>
        <rFont val="Consolas"/>
        <family val="3"/>
      </rPr>
      <t>"wave_type"</t>
    </r>
    <r>
      <rPr>
        <sz val="11"/>
        <color rgb="FF000000"/>
        <rFont val="Consolas"/>
        <family val="3"/>
      </rPr>
      <t xml:space="preserve">, </t>
    </r>
    <r>
      <rPr>
        <sz val="11"/>
        <color rgb="FFA31515"/>
        <rFont val="Consolas"/>
        <family val="3"/>
      </rPr>
      <t>"sine"</t>
    </r>
    <r>
      <rPr>
        <sz val="11"/>
        <color rgb="FF000000"/>
        <rFont val="Consolas"/>
        <family val="3"/>
      </rPr>
      <t>;</t>
    </r>
  </si>
  <si>
    <r>
      <t xml:space="preserve">        </t>
    </r>
    <r>
      <rPr>
        <sz val="11"/>
        <color rgb="FFA31515"/>
        <rFont val="Consolas"/>
        <family val="3"/>
      </rPr>
      <t>"cycles"</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</si>
  <si>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"amplitude"</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</si>
  <si>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"frequency"</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</si>
  <si>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"damping"</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</si>
  <si>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"noise_percent"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</si>
  <si>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"phase_shift"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</si>
  <si>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"vertical_offset"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</si>
  <si>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A31515"/>
        <rFont val="Consolas"/>
        <family val="3"/>
      </rPr>
      <t>"duty_cycle"</t>
    </r>
    <r>
      <rPr>
        <sz val="11"/>
        <color rgb="FF000000"/>
        <rFont val="Consolas"/>
        <family val="3"/>
      </rPr>
      <t xml:space="preserve">, </t>
    </r>
    <r>
      <rPr>
        <sz val="11"/>
        <color rgb="FF098658"/>
        <rFont val="Consolas"/>
        <family val="3"/>
      </rPr>
      <t>0.5</t>
    </r>
    <r>
      <rPr>
        <sz val="11"/>
        <color rgb="FF000000"/>
        <rFont val="Consolas"/>
        <family val="3"/>
      </rPr>
      <t>;</t>
    </r>
  </si>
  <si>
    <r>
      <t xml:space="preserve">        </t>
    </r>
    <r>
      <rPr>
        <sz val="11"/>
        <color rgb="FFA31515"/>
        <rFont val="Consolas"/>
        <family val="3"/>
      </rPr>
      <t>"seed"</t>
    </r>
    <r>
      <rPr>
        <sz val="11"/>
        <color rgb="FF000000"/>
        <rFont val="Consolas"/>
        <family val="3"/>
      </rPr>
      <t xml:space="preserve">, </t>
    </r>
    <r>
      <rPr>
        <sz val="11"/>
        <color rgb="FF0000FF"/>
        <rFont val="Consolas"/>
        <family val="3"/>
      </rPr>
      <t>TRUE</t>
    </r>
  </si>
  <si>
    <t>    },</t>
  </si>
  <si>
    <r>
      <t xml:space="preserve">    </t>
    </r>
    <r>
      <rPr>
        <sz val="11"/>
        <color rgb="FF0969DA"/>
        <rFont val="Consolas"/>
        <family val="3"/>
      </rPr>
      <t>opts</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options</t>
    </r>
    <r>
      <rPr>
        <sz val="11"/>
        <color rgb="FF000000"/>
        <rFont val="Consolas"/>
        <family val="3"/>
      </rPr>
      <t xml:space="preserve">), </t>
    </r>
    <r>
      <rPr>
        <sz val="11"/>
        <color rgb="FF0969DA"/>
        <rFont val="Consolas"/>
        <family val="3"/>
      </rPr>
      <t>opt_default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</si>
  <si>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opts_clean</t>
    </r>
    <r>
      <rPr>
        <sz val="11"/>
        <color rgb="FF000000"/>
        <rFont val="Consolas"/>
        <family val="3"/>
      </rPr>
      <t xml:space="preserve">, </t>
    </r>
    <r>
      <rPr>
        <sz val="11"/>
        <color rgb="FF8250DF"/>
        <rFont val="Consolas"/>
        <family val="3"/>
      </rPr>
      <t>GET_OPTIONS</t>
    </r>
    <r>
      <rPr>
        <sz val="11"/>
        <color rgb="FF000000"/>
        <rFont val="Consolas"/>
        <family val="3"/>
      </rPr>
      <t>(</t>
    </r>
    <r>
      <rPr>
        <sz val="11"/>
        <color rgb="FF0969DA"/>
        <rFont val="Consolas"/>
        <family val="3"/>
      </rPr>
      <t>opts</t>
    </r>
    <r>
      <rPr>
        <sz val="11"/>
        <color rgb="FF000000"/>
        <rFont val="Consolas"/>
        <family val="3"/>
      </rPr>
      <t xml:space="preserve">, </t>
    </r>
    <r>
      <rPr>
        <sz val="11"/>
        <color rgb="FF0969DA"/>
        <rFont val="Consolas"/>
        <family val="3"/>
      </rPr>
      <t>opt_default</t>
    </r>
    <r>
      <rPr>
        <sz val="11"/>
        <color rgb="FF000000"/>
        <rFont val="Consolas"/>
        <family val="3"/>
      </rPr>
      <t>),</t>
    </r>
  </si>
  <si>
    <r>
      <t xml:space="preserve">    </t>
    </r>
    <r>
      <rPr>
        <sz val="11"/>
        <color rgb="FF0969DA"/>
        <rFont val="Consolas"/>
        <family val="3"/>
      </rPr>
      <t>keys</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</si>
  <si>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</si>
  <si>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get_val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name</t>
    </r>
    <r>
      <rPr>
        <sz val="11"/>
        <color rgb="FF000000"/>
        <rFont val="Consolas"/>
        <family val="3"/>
      </rPr>
      <t xml:space="preserve">, </t>
    </r>
    <r>
      <rPr>
        <sz val="11"/>
        <color rgb="FF033D8B"/>
        <rFont val="Consolas"/>
        <family val="3"/>
      </rPr>
      <t>XLOOKUP</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keys</t>
    </r>
    <r>
      <rPr>
        <sz val="11"/>
        <color rgb="FF000000"/>
        <rFont val="Consolas"/>
        <family val="3"/>
      </rPr>
      <t xml:space="preserve">, </t>
    </r>
    <r>
      <rPr>
        <sz val="11"/>
        <color rgb="FF0969DA"/>
        <rFont val="Consolas"/>
        <family val="3"/>
      </rPr>
      <t>vals</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</si>
  <si>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wvt</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"wave_type"</t>
    </r>
    <r>
      <rPr>
        <sz val="11"/>
        <color rgb="FF000000"/>
        <rFont val="Consolas"/>
        <family val="3"/>
      </rPr>
      <t>)),</t>
    </r>
  </si>
  <si>
    <r>
      <t xml:space="preserve">    </t>
    </r>
    <r>
      <rPr>
        <sz val="11"/>
        <color rgb="FF0969DA"/>
        <rFont val="Consolas"/>
        <family val="3"/>
      </rPr>
      <t>cyc</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"cycles"</t>
    </r>
    <r>
      <rPr>
        <sz val="11"/>
        <color rgb="FF000000"/>
        <rFont val="Consolas"/>
        <family val="3"/>
      </rPr>
      <t>),</t>
    </r>
  </si>
  <si>
    <r>
      <t xml:space="preserve">    </t>
    </r>
    <r>
      <rPr>
        <sz val="11"/>
        <color rgb="FF0969DA"/>
        <rFont val="Consolas"/>
        <family val="3"/>
      </rPr>
      <t>amp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"amplitude"</t>
    </r>
    <r>
      <rPr>
        <sz val="11"/>
        <color rgb="FF000000"/>
        <rFont val="Consolas"/>
        <family val="3"/>
      </rPr>
      <t>),</t>
    </r>
  </si>
  <si>
    <r>
      <t xml:space="preserve">    </t>
    </r>
    <r>
      <rPr>
        <sz val="11"/>
        <color rgb="FF0969DA"/>
        <rFont val="Consolas"/>
        <family val="3"/>
      </rPr>
      <t>freq</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"frequency"</t>
    </r>
    <r>
      <rPr>
        <sz val="11"/>
        <color rgb="FF000000"/>
        <rFont val="Consolas"/>
        <family val="3"/>
      </rPr>
      <t>),</t>
    </r>
  </si>
  <si>
    <r>
      <t xml:space="preserve">    </t>
    </r>
    <r>
      <rPr>
        <sz val="11"/>
        <color rgb="FF0969DA"/>
        <rFont val="Consolas"/>
        <family val="3"/>
      </rPr>
      <t>dmp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"damping"</t>
    </r>
    <r>
      <rPr>
        <sz val="11"/>
        <color rgb="FF000000"/>
        <rFont val="Consolas"/>
        <family val="3"/>
      </rPr>
      <t>),</t>
    </r>
  </si>
  <si>
    <r>
      <t xml:space="preserve">    </t>
    </r>
    <r>
      <rPr>
        <sz val="11"/>
        <color rgb="FF0969DA"/>
        <rFont val="Consolas"/>
        <family val="3"/>
      </rPr>
      <t>nos</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"noise_percent"</t>
    </r>
    <r>
      <rPr>
        <sz val="11"/>
        <color rgb="FF000000"/>
        <rFont val="Consolas"/>
        <family val="3"/>
      </rPr>
      <t>),</t>
    </r>
  </si>
  <si>
    <r>
      <t xml:space="preserve">    </t>
    </r>
    <r>
      <rPr>
        <sz val="11"/>
        <color rgb="FF0969DA"/>
        <rFont val="Consolas"/>
        <family val="3"/>
      </rPr>
      <t>off_x</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"phase_shift"</t>
    </r>
    <r>
      <rPr>
        <sz val="11"/>
        <color rgb="FF000000"/>
        <rFont val="Consolas"/>
        <family val="3"/>
      </rPr>
      <t>),</t>
    </r>
  </si>
  <si>
    <r>
      <t xml:space="preserve">    </t>
    </r>
    <r>
      <rPr>
        <sz val="11"/>
        <color rgb="FF0969DA"/>
        <rFont val="Consolas"/>
        <family val="3"/>
      </rPr>
      <t>off_y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"vertical_offset"</t>
    </r>
    <r>
      <rPr>
        <sz val="11"/>
        <color rgb="FF000000"/>
        <rFont val="Consolas"/>
        <family val="3"/>
      </rPr>
      <t>),</t>
    </r>
  </si>
  <si>
    <r>
      <t xml:space="preserve">    </t>
    </r>
    <r>
      <rPr>
        <sz val="11"/>
        <color rgb="FF0969DA"/>
        <rFont val="Consolas"/>
        <family val="3"/>
      </rPr>
      <t>duty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"duty_cycle"</t>
    </r>
    <r>
      <rPr>
        <sz val="11"/>
        <color rgb="FF000000"/>
        <rFont val="Consolas"/>
        <family val="3"/>
      </rPr>
      <t>),</t>
    </r>
  </si>
  <si>
    <r>
      <t xml:space="preserve">    </t>
    </r>
    <r>
      <rPr>
        <sz val="11"/>
        <color rgb="FF0969DA"/>
        <rFont val="Consolas"/>
        <family val="3"/>
      </rPr>
      <t>sd_val</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"seed"</t>
    </r>
    <r>
      <rPr>
        <sz val="11"/>
        <color rgb="FF000000"/>
        <rFont val="Consolas"/>
        <family val="3"/>
      </rPr>
      <t>),</t>
    </r>
  </si>
  <si>
    <r>
      <t xml:space="preserve">    </t>
    </r>
    <r>
      <rPr>
        <sz val="11"/>
        <color rgb="FF0969DA"/>
        <rFont val="Consolas"/>
        <family val="3"/>
      </rPr>
      <t>sd</t>
    </r>
    <r>
      <rPr>
        <sz val="11"/>
        <color rgb="FF000000"/>
        <rFont val="Consolas"/>
        <family val="3"/>
      </rPr>
      <t xml:space="preserve">, </t>
    </r>
    <r>
      <rPr>
        <sz val="11"/>
        <color rgb="FF033D8B"/>
        <rFont val="Consolas"/>
        <family val="3"/>
      </rPr>
      <t>SWITCH</t>
    </r>
    <r>
      <rPr>
        <sz val="11"/>
        <color rgb="FF000000"/>
        <rFont val="Consolas"/>
        <family val="3"/>
      </rPr>
      <t>(</t>
    </r>
    <r>
      <rPr>
        <sz val="11"/>
        <color rgb="FF033D8B"/>
        <rFont val="Consolas"/>
        <family val="3"/>
      </rPr>
      <t>TYPE</t>
    </r>
    <r>
      <rPr>
        <sz val="11"/>
        <color rgb="FF000000"/>
        <rFont val="Consolas"/>
        <family val="3"/>
      </rPr>
      <t>(</t>
    </r>
    <r>
      <rPr>
        <sz val="11"/>
        <color rgb="FF0969DA"/>
        <rFont val="Consolas"/>
        <family val="3"/>
      </rPr>
      <t>sd_val</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sd_val</t>
    </r>
    <r>
      <rPr>
        <sz val="11"/>
        <color rgb="FF000000"/>
        <rFont val="Consolas"/>
        <family val="3"/>
      </rPr>
      <t xml:space="preserve">, </t>
    </r>
    <r>
      <rPr>
        <sz val="11"/>
        <color rgb="FF098658"/>
        <rFont val="Consolas"/>
        <family val="3"/>
      </rPr>
      <t>4</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sd_val</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33D8B"/>
        <rFont val="Consolas"/>
        <family val="3"/>
      </rPr>
      <t>NA</t>
    </r>
    <r>
      <rPr>
        <sz val="11"/>
        <color rgb="FF000000"/>
        <rFont val="Consolas"/>
        <family val="3"/>
      </rPr>
      <t xml:space="preserve">()), </t>
    </r>
    <r>
      <rPr>
        <sz val="11"/>
        <color rgb="FF033D8B"/>
        <rFont val="Consolas"/>
        <family val="3"/>
      </rPr>
      <t>NA</t>
    </r>
    <r>
      <rPr>
        <sz val="11"/>
        <color rgb="FF000000"/>
        <rFont val="Consolas"/>
        <family val="3"/>
      </rPr>
      <t>()),</t>
    </r>
  </si>
  <si>
    <r>
      <t xml:space="preserve">    </t>
    </r>
    <r>
      <rPr>
        <sz val="11"/>
        <color rgb="FF0969DA"/>
        <rFont val="Consolas"/>
        <family val="3"/>
      </rPr>
      <t>has_seed</t>
    </r>
    <r>
      <rPr>
        <sz val="11"/>
        <color rgb="FF000000"/>
        <rFont val="Consolas"/>
        <family val="3"/>
      </rPr>
      <t xml:space="preserve">, </t>
    </r>
    <r>
      <rPr>
        <sz val="11"/>
        <color rgb="FF033D8B"/>
        <rFont val="Consolas"/>
        <family val="3"/>
      </rPr>
      <t>NOT</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sd</t>
    </r>
    <r>
      <rPr>
        <sz val="11"/>
        <color rgb="FF000000"/>
        <rFont val="Consolas"/>
        <family val="3"/>
      </rPr>
      <t>)),</t>
    </r>
  </si>
  <si>
    <r>
      <t xml:space="preserve">    </t>
    </r>
    <r>
      <rPr>
        <sz val="11"/>
        <color rgb="FF0969DA"/>
        <rFont val="Consolas"/>
        <family val="3"/>
      </rPr>
      <t>data</t>
    </r>
    <r>
      <rPr>
        <sz val="11"/>
        <color rgb="FF000000"/>
        <rFont val="Consolas"/>
        <family val="3"/>
      </rPr>
      <t xml:space="preserve">, </t>
    </r>
    <r>
      <rPr>
        <sz val="11"/>
        <color rgb="FFC4432B"/>
        <rFont val="Consolas"/>
        <family val="3"/>
      </rPr>
      <t>LET</t>
    </r>
    <r>
      <rPr>
        <sz val="11"/>
        <color rgb="FF000000"/>
        <rFont val="Consolas"/>
        <family val="3"/>
      </rPr>
      <t>(</t>
    </r>
  </si>
  <si>
    <r>
      <t xml:space="preserve">        </t>
    </r>
    <r>
      <rPr>
        <sz val="11"/>
        <color rgb="FF0969DA"/>
        <rFont val="Consolas"/>
        <family val="3"/>
      </rPr>
      <t>x_max</t>
    </r>
    <r>
      <rPr>
        <sz val="11"/>
        <color rgb="FF000000"/>
        <rFont val="Consolas"/>
        <family val="3"/>
      </rPr>
      <t xml:space="preserve">, </t>
    </r>
    <r>
      <rPr>
        <sz val="11"/>
        <color rgb="FF0969DA"/>
        <rFont val="Consolas"/>
        <family val="3"/>
      </rPr>
      <t>cyc</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freq</t>
    </r>
    <r>
      <rPr>
        <sz val="11"/>
        <color rgb="FF000000"/>
        <rFont val="Consolas"/>
        <family val="3"/>
      </rPr>
      <t>),</t>
    </r>
  </si>
  <si>
    <r>
      <t xml:space="preserve">        </t>
    </r>
    <r>
      <rPr>
        <sz val="11"/>
        <color rgb="FF0969DA"/>
        <rFont val="Consolas"/>
        <family val="3"/>
      </rPr>
      <t>x</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969DA"/>
        <rFont val="Consolas"/>
        <family val="3"/>
      </rPr>
      <t>x_max</t>
    </r>
    <r>
      <rPr>
        <sz val="11"/>
        <color rgb="FF000000"/>
        <rFont val="Consolas"/>
        <family val="3"/>
      </rPr>
      <t xml:space="preserve"> / (</t>
    </r>
    <r>
      <rPr>
        <sz val="11"/>
        <color rgb="FF0969DA"/>
        <rFont val="Consolas"/>
        <family val="3"/>
      </rPr>
      <t>pnt</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</si>
  <si>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theta</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33D8B"/>
        <rFont val="Consolas"/>
        <family val="3"/>
      </rPr>
      <t>PI</t>
    </r>
    <r>
      <rPr>
        <sz val="11"/>
        <color rgb="FF000000"/>
        <rFont val="Consolas"/>
        <family val="3"/>
      </rPr>
      <t xml:space="preserve">() * </t>
    </r>
    <r>
      <rPr>
        <sz val="11"/>
        <color rgb="FF0969DA"/>
        <rFont val="Consolas"/>
        <family val="3"/>
      </rPr>
      <t>freq</t>
    </r>
    <r>
      <rPr>
        <sz val="11"/>
        <color rgb="FF000000"/>
        <rFont val="Consolas"/>
        <family val="3"/>
      </rPr>
      <t xml:space="preserve"> * </t>
    </r>
    <r>
      <rPr>
        <sz val="11"/>
        <color rgb="FF0969DA"/>
        <rFont val="Consolas"/>
        <family val="3"/>
      </rPr>
      <t>x</t>
    </r>
    <r>
      <rPr>
        <sz val="11"/>
        <color rgb="FF000000"/>
        <rFont val="Consolas"/>
        <family val="3"/>
      </rPr>
      <t xml:space="preserve"> + </t>
    </r>
    <r>
      <rPr>
        <sz val="11"/>
        <color rgb="FF0969DA"/>
        <rFont val="Consolas"/>
        <family val="3"/>
      </rPr>
      <t>off_x</t>
    </r>
    <r>
      <rPr>
        <sz val="11"/>
        <color rgb="FF000000"/>
        <rFont val="Consolas"/>
        <family val="3"/>
      </rPr>
      <t>,</t>
    </r>
  </si>
  <si>
    <r>
      <t xml:space="preserve">        </t>
    </r>
    <r>
      <rPr>
        <sz val="11"/>
        <color rgb="FF0969DA"/>
        <rFont val="Consolas"/>
        <family val="3"/>
      </rPr>
      <t>cyc_pos</t>
    </r>
    <r>
      <rPr>
        <sz val="11"/>
        <color rgb="FF000000"/>
        <rFont val="Consolas"/>
        <family val="3"/>
      </rPr>
      <t xml:space="preserve">, </t>
    </r>
    <r>
      <rPr>
        <sz val="11"/>
        <color rgb="FF033D8B"/>
        <rFont val="Consolas"/>
        <family val="3"/>
      </rPr>
      <t>MOD</t>
    </r>
    <r>
      <rPr>
        <sz val="11"/>
        <color rgb="FF000000"/>
        <rFont val="Consolas"/>
        <family val="3"/>
      </rPr>
      <t>(</t>
    </r>
    <r>
      <rPr>
        <sz val="11"/>
        <color rgb="FF0969DA"/>
        <rFont val="Consolas"/>
        <family val="3"/>
      </rPr>
      <t>theta</t>
    </r>
    <r>
      <rPr>
        <sz val="11"/>
        <color rgb="FF000000"/>
        <rFont val="Consolas"/>
        <family val="3"/>
      </rPr>
      <t xml:space="preserve"> / (</t>
    </r>
    <r>
      <rPr>
        <sz val="11"/>
        <color rgb="FF098658"/>
        <rFont val="Consolas"/>
        <family val="3"/>
      </rPr>
      <t>2</t>
    </r>
    <r>
      <rPr>
        <sz val="11"/>
        <color rgb="FF000000"/>
        <rFont val="Consolas"/>
        <family val="3"/>
      </rPr>
      <t xml:space="preserve"> * </t>
    </r>
    <r>
      <rPr>
        <sz val="11"/>
        <color rgb="FF033D8B"/>
        <rFont val="Consolas"/>
        <family val="3"/>
      </rPr>
      <t>PI</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</si>
  <si>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wave_raw</t>
    </r>
    <r>
      <rPr>
        <sz val="11"/>
        <color rgb="FF000000"/>
        <rFont val="Consolas"/>
        <family val="3"/>
      </rPr>
      <t xml:space="preserve">, </t>
    </r>
    <r>
      <rPr>
        <sz val="11"/>
        <color rgb="FF033D8B"/>
        <rFont val="Consolas"/>
        <family val="3"/>
      </rPr>
      <t>SWITCH</t>
    </r>
    <r>
      <rPr>
        <sz val="11"/>
        <color rgb="FF000000"/>
        <rFont val="Consolas"/>
        <family val="3"/>
      </rPr>
      <t>(</t>
    </r>
  </si>
  <si>
    <r>
      <t xml:space="preserve">            </t>
    </r>
    <r>
      <rPr>
        <sz val="11"/>
        <color rgb="FF0969DA"/>
        <rFont val="Consolas"/>
        <family val="3"/>
      </rPr>
      <t>wvt</t>
    </r>
    <r>
      <rPr>
        <sz val="11"/>
        <color rgb="FF000000"/>
        <rFont val="Consolas"/>
        <family val="3"/>
      </rPr>
      <t>,</t>
    </r>
  </si>
  <si>
    <r>
      <t xml:space="preserve">            </t>
    </r>
    <r>
      <rPr>
        <sz val="11"/>
        <color rgb="FFA31515"/>
        <rFont val="Consolas"/>
        <family val="3"/>
      </rPr>
      <t>"sine"</t>
    </r>
    <r>
      <rPr>
        <sz val="11"/>
        <color rgb="FF000000"/>
        <rFont val="Consolas"/>
        <family val="3"/>
      </rPr>
      <t xml:space="preserve">, </t>
    </r>
    <r>
      <rPr>
        <sz val="11"/>
        <color rgb="FF033D8B"/>
        <rFont val="Consolas"/>
        <family val="3"/>
      </rPr>
      <t>SIN</t>
    </r>
    <r>
      <rPr>
        <sz val="11"/>
        <color rgb="FF000000"/>
        <rFont val="Consolas"/>
        <family val="3"/>
      </rPr>
      <t>(</t>
    </r>
    <r>
      <rPr>
        <sz val="11"/>
        <color rgb="FF0969DA"/>
        <rFont val="Consolas"/>
        <family val="3"/>
      </rPr>
      <t>theta</t>
    </r>
    <r>
      <rPr>
        <sz val="11"/>
        <color rgb="FF000000"/>
        <rFont val="Consolas"/>
        <family val="3"/>
      </rPr>
      <t>),</t>
    </r>
  </si>
  <si>
    <r>
      <t xml:space="preserve">            </t>
    </r>
    <r>
      <rPr>
        <sz val="11"/>
        <color rgb="FFA31515"/>
        <rFont val="Consolas"/>
        <family val="3"/>
      </rPr>
      <t>"cosine"</t>
    </r>
    <r>
      <rPr>
        <sz val="11"/>
        <color rgb="FF000000"/>
        <rFont val="Consolas"/>
        <family val="3"/>
      </rPr>
      <t xml:space="preserve">, </t>
    </r>
    <r>
      <rPr>
        <sz val="11"/>
        <color rgb="FF033D8B"/>
        <rFont val="Consolas"/>
        <family val="3"/>
      </rPr>
      <t>COS</t>
    </r>
    <r>
      <rPr>
        <sz val="11"/>
        <color rgb="FF000000"/>
        <rFont val="Consolas"/>
        <family val="3"/>
      </rPr>
      <t>(</t>
    </r>
    <r>
      <rPr>
        <sz val="11"/>
        <color rgb="FF0969DA"/>
        <rFont val="Consolas"/>
        <family val="3"/>
      </rPr>
      <t>theta</t>
    </r>
    <r>
      <rPr>
        <sz val="11"/>
        <color rgb="FF000000"/>
        <rFont val="Consolas"/>
        <family val="3"/>
      </rPr>
      <t>),</t>
    </r>
  </si>
  <si>
    <r>
      <t xml:space="preserve">            </t>
    </r>
    <r>
      <rPr>
        <sz val="11"/>
        <color rgb="FFA31515"/>
        <rFont val="Consolas"/>
        <family val="3"/>
      </rPr>
      <t>"square"</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cyc_pos</t>
    </r>
    <r>
      <rPr>
        <sz val="11"/>
        <color rgb="FF000000"/>
        <rFont val="Consolas"/>
        <family val="3"/>
      </rPr>
      <t xml:space="preserve"> &lt; </t>
    </r>
    <r>
      <rPr>
        <sz val="11"/>
        <color rgb="FF0969DA"/>
        <rFont val="Consolas"/>
        <family val="3"/>
      </rPr>
      <t>duty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</si>
  <si>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A31515"/>
        <rFont val="Consolas"/>
        <family val="3"/>
      </rPr>
      <t>"triangle"</t>
    </r>
    <r>
      <rPr>
        <sz val="11"/>
        <color rgb="FF000000"/>
        <rFont val="Consolas"/>
        <family val="3"/>
      </rPr>
      <t xml:space="preserve">, </t>
    </r>
    <r>
      <rPr>
        <sz val="11"/>
        <color rgb="FF098658"/>
        <rFont val="Consolas"/>
        <family val="3"/>
      </rPr>
      <t>1</t>
    </r>
    <r>
      <rPr>
        <sz val="11"/>
        <color rgb="FF000000"/>
        <rFont val="Consolas"/>
        <family val="3"/>
      </rPr>
      <t xml:space="preserve"> - </t>
    </r>
    <r>
      <rPr>
        <sz val="11"/>
        <color rgb="FF098658"/>
        <rFont val="Consolas"/>
        <family val="3"/>
      </rPr>
      <t>4</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cyc_pos</t>
    </r>
    <r>
      <rPr>
        <sz val="11"/>
        <color rgb="FF000000"/>
        <rFont val="Consolas"/>
        <family val="3"/>
      </rPr>
      <t xml:space="preserve"> - </t>
    </r>
    <r>
      <rPr>
        <sz val="11"/>
        <color rgb="FF098658"/>
        <rFont val="Consolas"/>
        <family val="3"/>
      </rPr>
      <t>0.5</t>
    </r>
    <r>
      <rPr>
        <sz val="11"/>
        <color rgb="FF000000"/>
        <rFont val="Consolas"/>
        <family val="3"/>
      </rPr>
      <t>),</t>
    </r>
  </si>
  <si>
    <r>
      <t xml:space="preserve">            </t>
    </r>
    <r>
      <rPr>
        <sz val="11"/>
        <color rgb="FFA31515"/>
        <rFont val="Consolas"/>
        <family val="3"/>
      </rPr>
      <t>"saw"</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969DA"/>
        <rFont val="Consolas"/>
        <family val="3"/>
      </rPr>
      <t>cyc_pos</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</si>
  <si>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33D8B"/>
        <rFont val="Consolas"/>
        <family val="3"/>
      </rPr>
      <t>NA</t>
    </r>
    <r>
      <rPr>
        <sz val="11"/>
        <color rgb="FF000000"/>
        <rFont val="Consolas"/>
        <family val="3"/>
      </rPr>
      <t>()</t>
    </r>
  </si>
  <si>
    <r>
      <t xml:space="preserve">        </t>
    </r>
    <r>
      <rPr>
        <sz val="11"/>
        <color rgb="FF0969DA"/>
        <rFont val="Consolas"/>
        <family val="3"/>
      </rPr>
      <t>y_base</t>
    </r>
    <r>
      <rPr>
        <sz val="11"/>
        <color rgb="FF000000"/>
        <rFont val="Consolas"/>
        <family val="3"/>
      </rPr>
      <t xml:space="preserve">, </t>
    </r>
    <r>
      <rPr>
        <sz val="11"/>
        <color rgb="FF0969DA"/>
        <rFont val="Consolas"/>
        <family val="3"/>
      </rPr>
      <t>amp</t>
    </r>
    <r>
      <rPr>
        <sz val="11"/>
        <color rgb="FF000000"/>
        <rFont val="Consolas"/>
        <family val="3"/>
      </rPr>
      <t xml:space="preserve"> * </t>
    </r>
    <r>
      <rPr>
        <sz val="11"/>
        <color rgb="FF0969DA"/>
        <rFont val="Consolas"/>
        <family val="3"/>
      </rPr>
      <t>wave_raw</t>
    </r>
    <r>
      <rPr>
        <sz val="11"/>
        <color rgb="FF000000"/>
        <rFont val="Consolas"/>
        <family val="3"/>
      </rPr>
      <t>,</t>
    </r>
  </si>
  <si>
    <r>
      <t xml:space="preserve">        </t>
    </r>
    <r>
      <rPr>
        <sz val="11"/>
        <color rgb="FF0969DA"/>
        <rFont val="Consolas"/>
        <family val="3"/>
      </rPr>
      <t>y_damp</t>
    </r>
    <r>
      <rPr>
        <sz val="11"/>
        <color rgb="FF000000"/>
        <rFont val="Consolas"/>
        <family val="3"/>
      </rPr>
      <t xml:space="preserve">, </t>
    </r>
    <r>
      <rPr>
        <sz val="11"/>
        <color rgb="FF0969DA"/>
        <rFont val="Consolas"/>
        <family val="3"/>
      </rPr>
      <t>y_base</t>
    </r>
    <r>
      <rPr>
        <sz val="11"/>
        <color rgb="FF000000"/>
        <rFont val="Consolas"/>
        <family val="3"/>
      </rPr>
      <t xml:space="preserve"> * </t>
    </r>
    <r>
      <rPr>
        <sz val="11"/>
        <color rgb="FF033D8B"/>
        <rFont val="Consolas"/>
        <family val="3"/>
      </rPr>
      <t>EXP</t>
    </r>
    <r>
      <rPr>
        <sz val="11"/>
        <color rgb="FF000000"/>
        <rFont val="Consolas"/>
        <family val="3"/>
      </rPr>
      <t>(-</t>
    </r>
    <r>
      <rPr>
        <sz val="11"/>
        <color rgb="FF0969DA"/>
        <rFont val="Consolas"/>
        <family val="3"/>
      </rPr>
      <t>dmp</t>
    </r>
    <r>
      <rPr>
        <sz val="11"/>
        <color rgb="FF000000"/>
        <rFont val="Consolas"/>
        <family val="3"/>
      </rPr>
      <t xml:space="preserve"> * </t>
    </r>
    <r>
      <rPr>
        <sz val="11"/>
        <color rgb="FF0969DA"/>
        <rFont val="Consolas"/>
        <family val="3"/>
      </rPr>
      <t>x</t>
    </r>
    <r>
      <rPr>
        <sz val="11"/>
        <color rgb="FF000000"/>
        <rFont val="Consolas"/>
        <family val="3"/>
      </rPr>
      <t>),</t>
    </r>
  </si>
  <si>
    <r>
      <t xml:space="preserve">        </t>
    </r>
    <r>
      <rPr>
        <sz val="11"/>
        <color rgb="FF0969DA"/>
        <rFont val="Consolas"/>
        <family val="3"/>
      </rPr>
      <t>idx</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</si>
  <si>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u_raw</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</si>
  <si>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has_seed</t>
    </r>
    <r>
      <rPr>
        <sz val="11"/>
        <color rgb="FF000000"/>
        <rFont val="Consolas"/>
        <family val="3"/>
      </rPr>
      <t>,</t>
    </r>
  </si>
  <si>
    <r>
      <t xml:space="preserve">            </t>
    </r>
    <r>
      <rPr>
        <sz val="11"/>
        <color rgb="FF033D8B"/>
        <rFont val="Consolas"/>
        <family val="3"/>
      </rPr>
      <t>MOD</t>
    </r>
    <r>
      <rPr>
        <sz val="11"/>
        <color rgb="FF000000"/>
        <rFont val="Consolas"/>
        <family val="3"/>
      </rPr>
      <t>(</t>
    </r>
    <r>
      <rPr>
        <sz val="11"/>
        <color rgb="FF033D8B"/>
        <rFont val="Consolas"/>
        <family val="3"/>
      </rPr>
      <t>SIN</t>
    </r>
    <r>
      <rPr>
        <sz val="11"/>
        <color rgb="FF000000"/>
        <rFont val="Consolas"/>
        <family val="3"/>
      </rPr>
      <t>((</t>
    </r>
    <r>
      <rPr>
        <sz val="11"/>
        <color rgb="FF0969DA"/>
        <rFont val="Consolas"/>
        <family val="3"/>
      </rPr>
      <t>idx</t>
    </r>
    <r>
      <rPr>
        <sz val="11"/>
        <color rgb="FF000000"/>
        <rFont val="Consolas"/>
        <family val="3"/>
      </rPr>
      <t xml:space="preserve"> + </t>
    </r>
    <r>
      <rPr>
        <sz val="11"/>
        <color rgb="FF0969DA"/>
        <rFont val="Consolas"/>
        <family val="3"/>
      </rPr>
      <t>sd</t>
    </r>
    <r>
      <rPr>
        <sz val="11"/>
        <color rgb="FF000000"/>
        <rFont val="Consolas"/>
        <family val="3"/>
      </rPr>
      <t xml:space="preserve"> * </t>
    </r>
    <r>
      <rPr>
        <sz val="11"/>
        <color rgb="FF098658"/>
        <rFont val="Consolas"/>
        <family val="3"/>
      </rPr>
      <t>1.61803398875</t>
    </r>
    <r>
      <rPr>
        <sz val="11"/>
        <color rgb="FF000000"/>
        <rFont val="Consolas"/>
        <family val="3"/>
      </rPr>
      <t xml:space="preserve">) * </t>
    </r>
    <r>
      <rPr>
        <sz val="11"/>
        <color rgb="FF098658"/>
        <rFont val="Consolas"/>
        <family val="3"/>
      </rPr>
      <t>12.9898</t>
    </r>
    <r>
      <rPr>
        <sz val="11"/>
        <color rgb="FF000000"/>
        <rFont val="Consolas"/>
        <family val="3"/>
      </rPr>
      <t xml:space="preserve"> + </t>
    </r>
    <r>
      <rPr>
        <sz val="11"/>
        <color rgb="FF098658"/>
        <rFont val="Consolas"/>
        <family val="3"/>
      </rPr>
      <t>78.233</t>
    </r>
    <r>
      <rPr>
        <sz val="11"/>
        <color rgb="FF000000"/>
        <rFont val="Consolas"/>
        <family val="3"/>
      </rPr>
      <t xml:space="preserve">) * </t>
    </r>
    <r>
      <rPr>
        <sz val="11"/>
        <color rgb="FF098658"/>
        <rFont val="Consolas"/>
        <family val="3"/>
      </rPr>
      <t>43758.5453</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</si>
  <si>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33D8B"/>
        <rFont val="Consolas"/>
        <family val="3"/>
      </rPr>
      <t>RANDARRAY</t>
    </r>
    <r>
      <rPr>
        <sz val="11"/>
        <color rgb="FF000000"/>
        <rFont val="Consolas"/>
        <family val="3"/>
      </rPr>
      <t>(</t>
    </r>
    <r>
      <rPr>
        <sz val="11"/>
        <color rgb="FF0969DA"/>
        <rFont val="Consolas"/>
        <family val="3"/>
      </rPr>
      <t>pnt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</si>
  <si>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u</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</si>
  <si>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u_raw</t>
    </r>
    <r>
      <rPr>
        <sz val="11"/>
        <color rgb="FF000000"/>
        <rFont val="Consolas"/>
        <family val="3"/>
      </rPr>
      <t xml:space="preserve"> &lt; </t>
    </r>
    <r>
      <rPr>
        <sz val="11"/>
        <color rgb="FF098658"/>
        <rFont val="Consolas"/>
        <family val="3"/>
      </rPr>
      <t>0.000000000001</t>
    </r>
    <r>
      <rPr>
        <sz val="11"/>
        <color rgb="FF000000"/>
        <rFont val="Consolas"/>
        <family val="3"/>
      </rPr>
      <t>,</t>
    </r>
  </si>
  <si>
    <r>
      <t xml:space="preserve">            </t>
    </r>
    <r>
      <rPr>
        <sz val="11"/>
        <color rgb="FF098658"/>
        <rFont val="Consolas"/>
        <family val="3"/>
      </rPr>
      <t>0.000000000001</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</si>
  <si>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u_raw</t>
    </r>
    <r>
      <rPr>
        <sz val="11"/>
        <color rgb="FF000000"/>
        <rFont val="Consolas"/>
        <family val="3"/>
      </rPr>
      <t xml:space="preserve"> &gt; </t>
    </r>
    <r>
      <rPr>
        <sz val="11"/>
        <color rgb="FF098658"/>
        <rFont val="Consolas"/>
        <family val="3"/>
      </rPr>
      <t>1</t>
    </r>
    <r>
      <rPr>
        <sz val="11"/>
        <color rgb="FF000000"/>
        <rFont val="Consolas"/>
        <family val="3"/>
      </rPr>
      <t xml:space="preserve"> - </t>
    </r>
    <r>
      <rPr>
        <sz val="11"/>
        <color rgb="FF098658"/>
        <rFont val="Consolas"/>
        <family val="3"/>
      </rPr>
      <t>0.000000000001</t>
    </r>
    <r>
      <rPr>
        <sz val="11"/>
        <color rgb="FF000000"/>
        <rFont val="Consolas"/>
        <family val="3"/>
      </rPr>
      <t xml:space="preserve">, </t>
    </r>
    <r>
      <rPr>
        <sz val="11"/>
        <color rgb="FF098658"/>
        <rFont val="Consolas"/>
        <family val="3"/>
      </rPr>
      <t>1</t>
    </r>
    <r>
      <rPr>
        <sz val="11"/>
        <color rgb="FF000000"/>
        <rFont val="Consolas"/>
        <family val="3"/>
      </rPr>
      <t xml:space="preserve"> - </t>
    </r>
    <r>
      <rPr>
        <sz val="11"/>
        <color rgb="FF098658"/>
        <rFont val="Consolas"/>
        <family val="3"/>
      </rPr>
      <t>0.000000000001</t>
    </r>
    <r>
      <rPr>
        <sz val="11"/>
        <color rgb="FF000000"/>
        <rFont val="Consolas"/>
        <family val="3"/>
      </rPr>
      <t xml:space="preserve">, </t>
    </r>
    <r>
      <rPr>
        <sz val="11"/>
        <color rgb="FF0969DA"/>
        <rFont val="Consolas"/>
        <family val="3"/>
      </rPr>
      <t>u_raw</t>
    </r>
    <r>
      <rPr>
        <sz val="11"/>
        <color rgb="FF000000"/>
        <rFont val="Consolas"/>
        <family val="3"/>
      </rPr>
      <t>)</t>
    </r>
  </si>
  <si>
    <r>
      <t xml:space="preserve">        </t>
    </r>
    <r>
      <rPr>
        <sz val="11"/>
        <color rgb="FF0969DA"/>
        <rFont val="Consolas"/>
        <family val="3"/>
      </rPr>
      <t>y_noise</t>
    </r>
    <r>
      <rPr>
        <sz val="11"/>
        <color rgb="FF000000"/>
        <rFont val="Consolas"/>
        <family val="3"/>
      </rPr>
      <t xml:space="preserve">, </t>
    </r>
    <r>
      <rPr>
        <sz val="11"/>
        <color rgb="FF0969DA"/>
        <rFont val="Consolas"/>
        <family val="3"/>
      </rPr>
      <t>nos</t>
    </r>
    <r>
      <rPr>
        <sz val="11"/>
        <color rgb="FF000000"/>
        <rFont val="Consolas"/>
        <family val="3"/>
      </rPr>
      <t xml:space="preserve"> * </t>
    </r>
    <r>
      <rPr>
        <sz val="11"/>
        <color rgb="FF033D8B"/>
        <rFont val="Consolas"/>
        <family val="3"/>
      </rPr>
      <t>ABS</t>
    </r>
    <r>
      <rPr>
        <sz val="11"/>
        <color rgb="FF000000"/>
        <rFont val="Consolas"/>
        <family val="3"/>
      </rPr>
      <t>(</t>
    </r>
    <r>
      <rPr>
        <sz val="11"/>
        <color rgb="FF0969DA"/>
        <rFont val="Consolas"/>
        <family val="3"/>
      </rPr>
      <t>amp</t>
    </r>
    <r>
      <rPr>
        <sz val="11"/>
        <color rgb="FF000000"/>
        <rFont val="Consolas"/>
        <family val="3"/>
      </rPr>
      <t xml:space="preserve">) * </t>
    </r>
    <r>
      <rPr>
        <sz val="11"/>
        <color rgb="FF033D8B"/>
        <rFont val="Consolas"/>
        <family val="3"/>
      </rPr>
      <t>NORM.S.INV</t>
    </r>
    <r>
      <rPr>
        <sz val="11"/>
        <color rgb="FF000000"/>
        <rFont val="Consolas"/>
        <family val="3"/>
      </rPr>
      <t>(</t>
    </r>
    <r>
      <rPr>
        <sz val="11"/>
        <color rgb="FF0969DA"/>
        <rFont val="Consolas"/>
        <family val="3"/>
      </rPr>
      <t>u</t>
    </r>
    <r>
      <rPr>
        <sz val="11"/>
        <color rgb="FF000000"/>
        <rFont val="Consolas"/>
        <family val="3"/>
      </rPr>
      <t>),</t>
    </r>
  </si>
  <si>
    <r>
      <t xml:space="preserve">        </t>
    </r>
    <r>
      <rPr>
        <sz val="11"/>
        <color rgb="FF0969DA"/>
        <rFont val="Consolas"/>
        <family val="3"/>
      </rPr>
      <t>y</t>
    </r>
    <r>
      <rPr>
        <sz val="11"/>
        <color rgb="FF000000"/>
        <rFont val="Consolas"/>
        <family val="3"/>
      </rPr>
      <t xml:space="preserve">, </t>
    </r>
    <r>
      <rPr>
        <sz val="11"/>
        <color rgb="FF0969DA"/>
        <rFont val="Consolas"/>
        <family val="3"/>
      </rPr>
      <t>y_damp</t>
    </r>
    <r>
      <rPr>
        <sz val="11"/>
        <color rgb="FF000000"/>
        <rFont val="Consolas"/>
        <family val="3"/>
      </rPr>
      <t xml:space="preserve"> + </t>
    </r>
    <r>
      <rPr>
        <sz val="11"/>
        <color rgb="FF0969DA"/>
        <rFont val="Consolas"/>
        <family val="3"/>
      </rPr>
      <t>y_noise</t>
    </r>
    <r>
      <rPr>
        <sz val="11"/>
        <color rgb="FF000000"/>
        <rFont val="Consolas"/>
        <family val="3"/>
      </rPr>
      <t xml:space="preserve"> + </t>
    </r>
    <r>
      <rPr>
        <sz val="11"/>
        <color rgb="FF0969DA"/>
        <rFont val="Consolas"/>
        <family val="3"/>
      </rPr>
      <t>off_y</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</si>
  <si>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y</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</si>
  <si>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</si>
  <si>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err_arr</t>
    </r>
    <r>
      <rPr>
        <sz val="11"/>
        <color rgb="FF000000"/>
        <rFont val="Consolas"/>
        <family val="3"/>
      </rPr>
      <t xml:space="preserve">, </t>
    </r>
    <r>
      <rPr>
        <sz val="11"/>
        <color rgb="FFC4432B"/>
        <rFont val="Consolas"/>
        <family val="3"/>
      </rPr>
      <t>LET</t>
    </r>
    <r>
      <rPr>
        <sz val="11"/>
        <color rgb="FF000000"/>
        <rFont val="Consolas"/>
        <family val="3"/>
      </rPr>
      <t>(</t>
    </r>
  </si>
  <si>
    <r>
      <t xml:space="preserve">        </t>
    </r>
    <r>
      <rPr>
        <sz val="11"/>
        <color rgb="FF0969DA"/>
        <rFont val="Consolas"/>
        <family val="3"/>
      </rPr>
      <t>err</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check</t>
    </r>
    <r>
      <rPr>
        <sz val="11"/>
        <color rgb="FF000000"/>
        <rFont val="Consolas"/>
        <family val="3"/>
      </rPr>
      <t xml:space="preserve">, </t>
    </r>
    <r>
      <rPr>
        <sz val="11"/>
        <color rgb="FF0969DA"/>
        <rFont val="Consolas"/>
        <family val="3"/>
      </rPr>
      <t>error</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check</t>
    </r>
    <r>
      <rPr>
        <sz val="11"/>
        <color rgb="FF000000"/>
        <rFont val="Consolas"/>
        <family val="3"/>
      </rPr>
      <t xml:space="preserve">, </t>
    </r>
    <r>
      <rPr>
        <sz val="11"/>
        <color rgb="FF0969DA"/>
        <rFont val="Consolas"/>
        <family val="3"/>
      </rPr>
      <t>check</t>
    </r>
    <r>
      <rPr>
        <sz val="11"/>
        <color rgb="FF000000"/>
        <rFont val="Consolas"/>
        <family val="3"/>
      </rPr>
      <t xml:space="preserve">, </t>
    </r>
    <r>
      <rPr>
        <sz val="11"/>
        <color rgb="FF0969DA"/>
        <rFont val="Consolas"/>
        <family val="3"/>
      </rPr>
      <t>error</t>
    </r>
    <r>
      <rPr>
        <sz val="11"/>
        <color rgb="FF000000"/>
        <rFont val="Consolas"/>
        <family val="3"/>
      </rPr>
      <t>)),</t>
    </r>
  </si>
  <si>
    <r>
      <t xml:space="preserve">        </t>
    </r>
    <r>
      <rPr>
        <sz val="11"/>
        <color rgb="FF0969DA"/>
        <rFont val="Consolas"/>
        <family val="3"/>
      </rPr>
      <t>is_opt</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NOT</t>
    </r>
    <r>
      <rPr>
        <sz val="11"/>
        <color rgb="FF000000"/>
        <rFont val="Consolas"/>
        <family val="3"/>
      </rPr>
      <t>(</t>
    </r>
    <r>
      <rPr>
        <sz val="11"/>
        <color rgb="FF033D8B"/>
        <rFont val="Consolas"/>
        <family val="3"/>
      </rPr>
      <t>TYPE</t>
    </r>
    <r>
      <rPr>
        <sz val="11"/>
        <color rgb="FF000000"/>
        <rFont val="Consolas"/>
        <family val="3"/>
      </rPr>
      <t>(</t>
    </r>
    <r>
      <rPr>
        <sz val="11"/>
        <color rgb="FF0969DA"/>
        <rFont val="Consolas"/>
        <family val="3"/>
      </rPr>
      <t>opts_clean</t>
    </r>
    <r>
      <rPr>
        <sz val="11"/>
        <color rgb="FF000000"/>
        <rFont val="Consolas"/>
        <family val="3"/>
      </rPr>
      <t xml:space="preserve">) = </t>
    </r>
    <r>
      <rPr>
        <sz val="11"/>
        <color rgb="FF098658"/>
        <rFont val="Consolas"/>
        <family val="3"/>
      </rPr>
      <t>2</t>
    </r>
    <r>
      <rPr>
        <sz val="11"/>
        <color rgb="FF000000"/>
        <rFont val="Consolas"/>
        <family val="3"/>
      </rPr>
      <t xml:space="preserve">), </t>
    </r>
    <r>
      <rPr>
        <sz val="11"/>
        <color rgb="FF0969DA"/>
        <rFont val="Consolas"/>
        <family val="3"/>
      </rPr>
      <t>opts_clean</t>
    </r>
    <r>
      <rPr>
        <sz val="11"/>
        <color rgb="FF000000"/>
        <rFont val="Consolas"/>
        <family val="3"/>
      </rPr>
      <t>),</t>
    </r>
  </si>
  <si>
    <r>
      <t xml:space="preserve">        </t>
    </r>
    <r>
      <rPr>
        <sz val="11"/>
        <color rgb="FF0969DA"/>
        <rFont val="Consolas"/>
        <family val="3"/>
      </rPr>
      <t>is_data</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NOT</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data</t>
    </r>
    <r>
      <rPr>
        <sz val="11"/>
        <color rgb="FF000000"/>
        <rFont val="Consolas"/>
        <family val="3"/>
      </rPr>
      <t xml:space="preserve">))), </t>
    </r>
    <r>
      <rPr>
        <sz val="11"/>
        <color rgb="FFA31515"/>
        <rFont val="Consolas"/>
        <family val="3"/>
      </rPr>
      <t>"data"</t>
    </r>
    <r>
      <rPr>
        <sz val="11"/>
        <color rgb="FF000000"/>
        <rFont val="Consolas"/>
        <family val="3"/>
      </rPr>
      <t>),</t>
    </r>
  </si>
  <si>
    <r>
      <t xml:space="preserve">        </t>
    </r>
    <r>
      <rPr>
        <sz val="11"/>
        <color rgb="FF0969DA"/>
        <rFont val="Consolas"/>
        <family val="3"/>
      </rPr>
      <t>is_p</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pnt</t>
    </r>
    <r>
      <rPr>
        <sz val="11"/>
        <color rgb="FF000000"/>
        <rFont val="Consolas"/>
        <family val="3"/>
      </rPr>
      <t xml:space="preserve">), </t>
    </r>
    <r>
      <rPr>
        <sz val="11"/>
        <color rgb="FF0969DA"/>
        <rFont val="Consolas"/>
        <family val="3"/>
      </rPr>
      <t>pnt</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A31515"/>
        <rFont val="Consolas"/>
        <family val="3"/>
      </rPr>
      <t>"p≤2"</t>
    </r>
    <r>
      <rPr>
        <sz val="11"/>
        <color rgb="FF000000"/>
        <rFont val="Consolas"/>
        <family val="3"/>
      </rPr>
      <t>),</t>
    </r>
  </si>
  <si>
    <r>
      <t xml:space="preserve">        </t>
    </r>
    <r>
      <rPr>
        <sz val="11"/>
        <color rgb="FF0969DA"/>
        <rFont val="Consolas"/>
        <family val="3"/>
      </rPr>
      <t>is_c</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cyc</t>
    </r>
    <r>
      <rPr>
        <sz val="11"/>
        <color rgb="FF000000"/>
        <rFont val="Consolas"/>
        <family val="3"/>
      </rPr>
      <t xml:space="preserve">), </t>
    </r>
    <r>
      <rPr>
        <sz val="11"/>
        <color rgb="FF0969DA"/>
        <rFont val="Consolas"/>
        <family val="3"/>
      </rPr>
      <t>cyc</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"c&gt;0"</t>
    </r>
    <r>
      <rPr>
        <sz val="11"/>
        <color rgb="FF000000"/>
        <rFont val="Consolas"/>
        <family val="3"/>
      </rPr>
      <t>),</t>
    </r>
  </si>
  <si>
    <r>
      <t xml:space="preserve">        </t>
    </r>
    <r>
      <rPr>
        <sz val="11"/>
        <color rgb="FF0969DA"/>
        <rFont val="Consolas"/>
        <family val="3"/>
      </rPr>
      <t>is_a</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amp</t>
    </r>
    <r>
      <rPr>
        <sz val="11"/>
        <color rgb="FF000000"/>
        <rFont val="Consolas"/>
        <family val="3"/>
      </rPr>
      <t xml:space="preserve">), </t>
    </r>
    <r>
      <rPr>
        <sz val="11"/>
        <color rgb="FFA31515"/>
        <rFont val="Consolas"/>
        <family val="3"/>
      </rPr>
      <t>"amp NaN"</t>
    </r>
    <r>
      <rPr>
        <sz val="11"/>
        <color rgb="FF000000"/>
        <rFont val="Consolas"/>
        <family val="3"/>
      </rPr>
      <t>),</t>
    </r>
  </si>
  <si>
    <r>
      <t xml:space="preserve">        </t>
    </r>
    <r>
      <rPr>
        <sz val="11"/>
        <color rgb="FF0969DA"/>
        <rFont val="Consolas"/>
        <family val="3"/>
      </rPr>
      <t>is_f</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freq</t>
    </r>
    <r>
      <rPr>
        <sz val="11"/>
        <color rgb="FF000000"/>
        <rFont val="Consolas"/>
        <family val="3"/>
      </rPr>
      <t xml:space="preserve">), </t>
    </r>
    <r>
      <rPr>
        <sz val="11"/>
        <color rgb="FF0969DA"/>
        <rFont val="Consolas"/>
        <family val="3"/>
      </rPr>
      <t>freq</t>
    </r>
    <r>
      <rPr>
        <sz val="11"/>
        <color rgb="FF000000"/>
        <rFont val="Consolas"/>
        <family val="3"/>
      </rPr>
      <t xml:space="preserve"> &lt;&gt; </t>
    </r>
    <r>
      <rPr>
        <sz val="11"/>
        <color rgb="FF098658"/>
        <rFont val="Consolas"/>
        <family val="3"/>
      </rPr>
      <t>0</t>
    </r>
    <r>
      <rPr>
        <sz val="11"/>
        <color rgb="FF000000"/>
        <rFont val="Consolas"/>
        <family val="3"/>
      </rPr>
      <t xml:space="preserve">), </t>
    </r>
    <r>
      <rPr>
        <sz val="11"/>
        <color rgb="FFA31515"/>
        <rFont val="Consolas"/>
        <family val="3"/>
      </rPr>
      <t>"freq Nan/0"</t>
    </r>
    <r>
      <rPr>
        <sz val="11"/>
        <color rgb="FF000000"/>
        <rFont val="Consolas"/>
        <family val="3"/>
      </rPr>
      <t>),</t>
    </r>
  </si>
  <si>
    <r>
      <t xml:space="preserve">        </t>
    </r>
    <r>
      <rPr>
        <sz val="11"/>
        <color rgb="FF0969DA"/>
        <rFont val="Consolas"/>
        <family val="3"/>
      </rPr>
      <t>is_d</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dmp</t>
    </r>
    <r>
      <rPr>
        <sz val="11"/>
        <color rgb="FF000000"/>
        <rFont val="Consolas"/>
        <family val="3"/>
      </rPr>
      <t xml:space="preserve">), </t>
    </r>
    <r>
      <rPr>
        <sz val="11"/>
        <color rgb="FF0969DA"/>
        <rFont val="Consolas"/>
        <family val="3"/>
      </rPr>
      <t>dmp</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"d Nan/Neg"</t>
    </r>
    <r>
      <rPr>
        <sz val="11"/>
        <color rgb="FF000000"/>
        <rFont val="Consolas"/>
        <family val="3"/>
      </rPr>
      <t>),</t>
    </r>
  </si>
  <si>
    <r>
      <t xml:space="preserve">        </t>
    </r>
    <r>
      <rPr>
        <sz val="11"/>
        <color rgb="FF0969DA"/>
        <rFont val="Consolas"/>
        <family val="3"/>
      </rPr>
      <t>is_n</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nos</t>
    </r>
    <r>
      <rPr>
        <sz val="11"/>
        <color rgb="FF000000"/>
        <rFont val="Consolas"/>
        <family val="3"/>
      </rPr>
      <t xml:space="preserve">), </t>
    </r>
    <r>
      <rPr>
        <sz val="11"/>
        <color rgb="FF0969DA"/>
        <rFont val="Consolas"/>
        <family val="3"/>
      </rPr>
      <t>nos</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A31515"/>
        <rFont val="Consolas"/>
        <family val="3"/>
      </rPr>
      <t>"n NaN/Neg"</t>
    </r>
    <r>
      <rPr>
        <sz val="11"/>
        <color rgb="FF000000"/>
        <rFont val="Consolas"/>
        <family val="3"/>
      </rPr>
      <t>),</t>
    </r>
  </si>
  <si>
    <r>
      <t xml:space="preserve">        </t>
    </r>
    <r>
      <rPr>
        <sz val="11"/>
        <color rgb="FF0969DA"/>
        <rFont val="Consolas"/>
        <family val="3"/>
      </rPr>
      <t>is_off</t>
    </r>
    <r>
      <rPr>
        <sz val="11"/>
        <color rgb="FF000000"/>
        <rFont val="Consolas"/>
        <family val="3"/>
      </rPr>
      <t xml:space="preserve">, </t>
    </r>
    <r>
      <rPr>
        <sz val="11"/>
        <color rgb="FF0969DA"/>
        <rFont val="Consolas"/>
        <family val="3"/>
      </rPr>
      <t>err</t>
    </r>
    <r>
      <rPr>
        <sz val="11"/>
        <color rgb="FF000000"/>
        <rFont val="Consolas"/>
        <family val="3"/>
      </rPr>
      <t>(</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off_x</t>
    </r>
    <r>
      <rPr>
        <sz val="11"/>
        <color rgb="FF000000"/>
        <rFont val="Consolas"/>
        <family val="3"/>
      </rPr>
      <t xml:space="preserve">), </t>
    </r>
    <r>
      <rPr>
        <sz val="11"/>
        <color rgb="FF033D8B"/>
        <rFont val="Consolas"/>
        <family val="3"/>
      </rPr>
      <t>ISNUMBER</t>
    </r>
    <r>
      <rPr>
        <sz val="11"/>
        <color rgb="FF000000"/>
        <rFont val="Consolas"/>
        <family val="3"/>
      </rPr>
      <t>(</t>
    </r>
    <r>
      <rPr>
        <sz val="11"/>
        <color rgb="FF0969DA"/>
        <rFont val="Consolas"/>
        <family val="3"/>
      </rPr>
      <t>off_y</t>
    </r>
    <r>
      <rPr>
        <sz val="11"/>
        <color rgb="FF000000"/>
        <rFont val="Consolas"/>
        <family val="3"/>
      </rPr>
      <t xml:space="preserve">)), </t>
    </r>
    <r>
      <rPr>
        <sz val="11"/>
        <color rgb="FFA31515"/>
        <rFont val="Consolas"/>
        <family val="3"/>
      </rPr>
      <t>"off NaN"</t>
    </r>
    <r>
      <rPr>
        <sz val="11"/>
        <color rgb="FF000000"/>
        <rFont val="Consolas"/>
        <family val="3"/>
      </rPr>
      <t>),</t>
    </r>
  </si>
  <si>
    <r>
      <t xml:space="preserve">        </t>
    </r>
    <r>
      <rPr>
        <sz val="11"/>
        <color rgb="FF0969DA"/>
        <rFont val="Consolas"/>
        <family val="3"/>
      </rPr>
      <t>is_duty</t>
    </r>
    <r>
      <rPr>
        <sz val="11"/>
        <color rgb="FF000000"/>
        <rFont val="Consolas"/>
        <family val="3"/>
      </rPr>
      <t xml:space="preserve">, </t>
    </r>
    <r>
      <rPr>
        <sz val="11"/>
        <color rgb="FF0969DA"/>
        <rFont val="Consolas"/>
        <family val="3"/>
      </rPr>
      <t>err</t>
    </r>
    <r>
      <rPr>
        <sz val="11"/>
        <color rgb="FF000000"/>
        <rFont val="Consolas"/>
        <family val="3"/>
      </rPr>
      <t>(</t>
    </r>
  </si>
  <si>
    <r>
      <t xml:space="preserve">            </t>
    </r>
    <r>
      <rPr>
        <sz val="11"/>
        <color rgb="FF033D8B"/>
        <rFont val="Consolas"/>
        <family val="3"/>
      </rPr>
      <t>OR</t>
    </r>
    <r>
      <rPr>
        <sz val="11"/>
        <color rgb="FF000000"/>
        <rFont val="Consolas"/>
        <family val="3"/>
      </rPr>
      <t>(</t>
    </r>
    <r>
      <rPr>
        <sz val="11"/>
        <color rgb="FF0969DA"/>
        <rFont val="Consolas"/>
        <family val="3"/>
      </rPr>
      <t>wvt</t>
    </r>
    <r>
      <rPr>
        <sz val="11"/>
        <color rgb="FF000000"/>
        <rFont val="Consolas"/>
        <family val="3"/>
      </rPr>
      <t xml:space="preserve"> &lt;&gt; </t>
    </r>
    <r>
      <rPr>
        <sz val="11"/>
        <color rgb="FFA31515"/>
        <rFont val="Consolas"/>
        <family val="3"/>
      </rPr>
      <t>"square"</t>
    </r>
    <r>
      <rPr>
        <sz val="11"/>
        <color rgb="FF000000"/>
        <rFont val="Consolas"/>
        <family val="3"/>
      </rPr>
      <t xml:space="preserve">, </t>
    </r>
    <r>
      <rPr>
        <sz val="11"/>
        <color rgb="FF033D8B"/>
        <rFont val="Consolas"/>
        <family val="3"/>
      </rPr>
      <t>AND</t>
    </r>
    <r>
      <rPr>
        <sz val="11"/>
        <color rgb="FF000000"/>
        <rFont val="Consolas"/>
        <family val="3"/>
      </rPr>
      <t>(</t>
    </r>
    <r>
      <rPr>
        <sz val="11"/>
        <color rgb="FF033D8B"/>
        <rFont val="Consolas"/>
        <family val="3"/>
      </rPr>
      <t>ISNUMBER</t>
    </r>
    <r>
      <rPr>
        <sz val="11"/>
        <color rgb="FF000000"/>
        <rFont val="Consolas"/>
        <family val="3"/>
      </rPr>
      <t>(</t>
    </r>
    <r>
      <rPr>
        <sz val="11"/>
        <color rgb="FF0969DA"/>
        <rFont val="Consolas"/>
        <family val="3"/>
      </rPr>
      <t>duty</t>
    </r>
    <r>
      <rPr>
        <sz val="11"/>
        <color rgb="FF000000"/>
        <rFont val="Consolas"/>
        <family val="3"/>
      </rPr>
      <t xml:space="preserve">), </t>
    </r>
    <r>
      <rPr>
        <sz val="11"/>
        <color rgb="FF0969DA"/>
        <rFont val="Consolas"/>
        <family val="3"/>
      </rPr>
      <t>duty</t>
    </r>
    <r>
      <rPr>
        <sz val="11"/>
        <color rgb="FF000000"/>
        <rFont val="Consolas"/>
        <family val="3"/>
      </rPr>
      <t xml:space="preserve"> &gt; </t>
    </r>
    <r>
      <rPr>
        <sz val="11"/>
        <color rgb="FF098658"/>
        <rFont val="Consolas"/>
        <family val="3"/>
      </rPr>
      <t>0</t>
    </r>
    <r>
      <rPr>
        <sz val="11"/>
        <color rgb="FF000000"/>
        <rFont val="Consolas"/>
        <family val="3"/>
      </rPr>
      <t xml:space="preserve">, </t>
    </r>
    <r>
      <rPr>
        <sz val="11"/>
        <color rgb="FF0969DA"/>
        <rFont val="Consolas"/>
        <family val="3"/>
      </rPr>
      <t>duty</t>
    </r>
    <r>
      <rPr>
        <sz val="11"/>
        <color rgb="FF000000"/>
        <rFont val="Consolas"/>
        <family val="3"/>
      </rPr>
      <t xml:space="preserve"> &lt; </t>
    </r>
    <r>
      <rPr>
        <sz val="11"/>
        <color rgb="FF098658"/>
        <rFont val="Consolas"/>
        <family val="3"/>
      </rPr>
      <t>1</t>
    </r>
    <r>
      <rPr>
        <sz val="11"/>
        <color rgb="FF000000"/>
        <rFont val="Consolas"/>
        <family val="3"/>
      </rPr>
      <t>)),</t>
    </r>
  </si>
  <si>
    <r>
      <t xml:space="preserve">            </t>
    </r>
    <r>
      <rPr>
        <sz val="11"/>
        <color rgb="FFA31515"/>
        <rFont val="Consolas"/>
        <family val="3"/>
      </rPr>
      <t>"duty∉(0,1) for square"</t>
    </r>
  </si>
  <si>
    <r>
      <t xml:space="preserve">        </t>
    </r>
    <r>
      <rPr>
        <sz val="11"/>
        <color rgb="FF0969DA"/>
        <rFont val="Consolas"/>
        <family val="3"/>
      </rPr>
      <t>return</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is_opt</t>
    </r>
    <r>
      <rPr>
        <sz val="11"/>
        <color rgb="FF000000"/>
        <rFont val="Consolas"/>
        <family val="3"/>
      </rPr>
      <t xml:space="preserve">, </t>
    </r>
    <r>
      <rPr>
        <sz val="11"/>
        <color rgb="FF0969DA"/>
        <rFont val="Consolas"/>
        <family val="3"/>
      </rPr>
      <t>is_data</t>
    </r>
    <r>
      <rPr>
        <sz val="11"/>
        <color rgb="FF000000"/>
        <rFont val="Consolas"/>
        <family val="3"/>
      </rPr>
      <t xml:space="preserve">, </t>
    </r>
    <r>
      <rPr>
        <sz val="11"/>
        <color rgb="FF0969DA"/>
        <rFont val="Consolas"/>
        <family val="3"/>
      </rPr>
      <t>is_p</t>
    </r>
    <r>
      <rPr>
        <sz val="11"/>
        <color rgb="FF000000"/>
        <rFont val="Consolas"/>
        <family val="3"/>
      </rPr>
      <t xml:space="preserve">, </t>
    </r>
    <r>
      <rPr>
        <sz val="11"/>
        <color rgb="FF0969DA"/>
        <rFont val="Consolas"/>
        <family val="3"/>
      </rPr>
      <t>is_c</t>
    </r>
    <r>
      <rPr>
        <sz val="11"/>
        <color rgb="FF000000"/>
        <rFont val="Consolas"/>
        <family val="3"/>
      </rPr>
      <t xml:space="preserve">, </t>
    </r>
    <r>
      <rPr>
        <sz val="11"/>
        <color rgb="FF0969DA"/>
        <rFont val="Consolas"/>
        <family val="3"/>
      </rPr>
      <t>is_a</t>
    </r>
    <r>
      <rPr>
        <sz val="11"/>
        <color rgb="FF000000"/>
        <rFont val="Consolas"/>
        <family val="3"/>
      </rPr>
      <t xml:space="preserve">, </t>
    </r>
    <r>
      <rPr>
        <sz val="11"/>
        <color rgb="FF0969DA"/>
        <rFont val="Consolas"/>
        <family val="3"/>
      </rPr>
      <t>is_f</t>
    </r>
    <r>
      <rPr>
        <sz val="11"/>
        <color rgb="FF000000"/>
        <rFont val="Consolas"/>
        <family val="3"/>
      </rPr>
      <t xml:space="preserve">, </t>
    </r>
    <r>
      <rPr>
        <sz val="11"/>
        <color rgb="FF0969DA"/>
        <rFont val="Consolas"/>
        <family val="3"/>
      </rPr>
      <t>is_d</t>
    </r>
    <r>
      <rPr>
        <sz val="11"/>
        <color rgb="FF000000"/>
        <rFont val="Consolas"/>
        <family val="3"/>
      </rPr>
      <t xml:space="preserve">, </t>
    </r>
    <r>
      <rPr>
        <sz val="11"/>
        <color rgb="FF0969DA"/>
        <rFont val="Consolas"/>
        <family val="3"/>
      </rPr>
      <t>is_n</t>
    </r>
    <r>
      <rPr>
        <sz val="11"/>
        <color rgb="FF000000"/>
        <rFont val="Consolas"/>
        <family val="3"/>
      </rPr>
      <t xml:space="preserve">, </t>
    </r>
    <r>
      <rPr>
        <sz val="11"/>
        <color rgb="FF0969DA"/>
        <rFont val="Consolas"/>
        <family val="3"/>
      </rPr>
      <t>is_off</t>
    </r>
    <r>
      <rPr>
        <sz val="11"/>
        <color rgb="FF000000"/>
        <rFont val="Consolas"/>
        <family val="3"/>
      </rPr>
      <t xml:space="preserve">, </t>
    </r>
    <r>
      <rPr>
        <sz val="11"/>
        <color rgb="FF0969DA"/>
        <rFont val="Consolas"/>
        <family val="3"/>
      </rPr>
      <t>is_duty</t>
    </r>
    <r>
      <rPr>
        <sz val="11"/>
        <color rgb="FF000000"/>
        <rFont val="Consolas"/>
        <family val="3"/>
      </rPr>
      <t>),</t>
    </r>
  </si>
  <si>
    <r>
      <t xml:space="preserve">    </t>
    </r>
    <r>
      <rPr>
        <sz val="11"/>
        <color rgb="FF0969DA"/>
        <rFont val="Consolas"/>
        <family val="3"/>
      </rPr>
      <t>is_err</t>
    </r>
    <r>
      <rPr>
        <sz val="11"/>
        <color rgb="FF000000"/>
        <rFont val="Consolas"/>
        <family val="3"/>
      </rPr>
      <t xml:space="preserve">, </t>
    </r>
    <r>
      <rPr>
        <sz val="11"/>
        <color rgb="FF033D8B"/>
        <rFont val="Consolas"/>
        <family val="3"/>
      </rPr>
      <t>ISTEXT</t>
    </r>
    <r>
      <rPr>
        <sz val="11"/>
        <color rgb="FF000000"/>
        <rFont val="Consolas"/>
        <family val="3"/>
      </rPr>
      <t>(</t>
    </r>
    <r>
      <rPr>
        <sz val="11"/>
        <color rgb="FF0969DA"/>
        <rFont val="Consolas"/>
        <family val="3"/>
      </rPr>
      <t>err_arr</t>
    </r>
    <r>
      <rPr>
        <sz val="11"/>
        <color rgb="FF000000"/>
        <rFont val="Consolas"/>
        <family val="3"/>
      </rPr>
      <t>),</t>
    </r>
  </si>
  <si>
    <r>
      <t xml:space="preserve">    </t>
    </r>
    <r>
      <rPr>
        <sz val="11"/>
        <color rgb="FF0969DA"/>
        <rFont val="Consolas"/>
        <family val="3"/>
      </rPr>
      <t>err_list</t>
    </r>
    <r>
      <rPr>
        <sz val="11"/>
        <color rgb="FF000000"/>
        <rFont val="Consolas"/>
        <family val="3"/>
      </rPr>
      <t xml:space="preserve">, </t>
    </r>
    <r>
      <rPr>
        <sz val="11"/>
        <color rgb="FF033D8B"/>
        <rFont val="Consolas"/>
        <family val="3"/>
      </rPr>
      <t>TEXTJOIN</t>
    </r>
    <r>
      <rPr>
        <sz val="11"/>
        <color rgb="FF000000"/>
        <rFont val="Consolas"/>
        <family val="3"/>
      </rPr>
      <t>(</t>
    </r>
    <r>
      <rPr>
        <sz val="11"/>
        <color rgb="FFA31515"/>
        <rFont val="Consolas"/>
        <family val="3"/>
      </rPr>
      <t>"; "</t>
    </r>
    <r>
      <rPr>
        <sz val="11"/>
        <color rgb="FF000000"/>
        <rFont val="Consolas"/>
        <family val="3"/>
      </rPr>
      <t xml:space="preserve">, </t>
    </r>
    <r>
      <rPr>
        <sz val="11"/>
        <color rgb="FF0000FF"/>
        <rFont val="Consolas"/>
        <family val="3"/>
      </rPr>
      <t>TRUE</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err_arr</t>
    </r>
    <r>
      <rPr>
        <sz val="11"/>
        <color rgb="FF000000"/>
        <rFont val="Consolas"/>
        <family val="3"/>
      </rPr>
      <t xml:space="preserve">, </t>
    </r>
    <r>
      <rPr>
        <sz val="11"/>
        <color rgb="FF0969DA"/>
        <rFont val="Consolas"/>
        <family val="3"/>
      </rPr>
      <t>is_err</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</si>
  <si>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err_list</t>
    </r>
    <r>
      <rPr>
        <sz val="11"/>
        <color rgb="FF000000"/>
        <rFont val="Consolas"/>
        <family val="3"/>
      </rPr>
      <t xml:space="preserve"> &lt;&gt; </t>
    </r>
    <r>
      <rPr>
        <sz val="11"/>
        <color rgb="FFA31515"/>
        <rFont val="Consolas"/>
        <family val="3"/>
      </rPr>
      <t>""</t>
    </r>
    <r>
      <rPr>
        <sz val="11"/>
        <color rgb="FF000000"/>
        <rFont val="Consolas"/>
        <family val="3"/>
      </rPr>
      <t xml:space="preserve">, </t>
    </r>
    <r>
      <rPr>
        <sz val="11"/>
        <color rgb="FF0969DA"/>
        <rFont val="Consolas"/>
        <family val="3"/>
      </rPr>
      <t>err_list</t>
    </r>
    <r>
      <rPr>
        <sz val="11"/>
        <color rgb="FF000000"/>
        <rFont val="Consolas"/>
        <family val="3"/>
      </rPr>
      <t xml:space="preserve">, </t>
    </r>
    <r>
      <rPr>
        <sz val="11"/>
        <color rgb="FF0969DA"/>
        <rFont val="Consolas"/>
        <family val="3"/>
      </rPr>
      <t>data</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</si>
  <si>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</si>
  <si>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opt</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options</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</si>
  <si>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get_opt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opt</t>
    </r>
    <r>
      <rPr>
        <sz val="11"/>
        <color rgb="FF000000"/>
        <rFont val="Consolas"/>
        <family val="3"/>
      </rPr>
      <t xml:space="preserve">, </t>
    </r>
    <r>
      <rPr>
        <sz val="11"/>
        <color rgb="FF0969DA"/>
        <rFont val="Consolas"/>
        <family val="3"/>
      </rPr>
      <t>take_col</t>
    </r>
    <r>
      <rPr>
        <sz val="11"/>
        <color rgb="FF000000"/>
        <rFont val="Consolas"/>
        <family val="3"/>
      </rPr>
      <t xml:space="preserve">, </t>
    </r>
    <r>
      <rPr>
        <sz val="11"/>
        <color rgb="FFC4432B"/>
        <rFont val="Consolas"/>
        <family val="3"/>
      </rPr>
      <t>LET</t>
    </r>
    <r>
      <rPr>
        <sz val="11"/>
        <color rgb="FF000000"/>
        <rFont val="Consolas"/>
        <family val="3"/>
      </rPr>
      <t>(</t>
    </r>
    <r>
      <rPr>
        <sz val="11"/>
        <color rgb="FF0969DA"/>
        <rFont val="Consolas"/>
        <family val="3"/>
      </rPr>
      <t>col</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opt</t>
    </r>
    <r>
      <rPr>
        <sz val="11"/>
        <color rgb="FF000000"/>
        <rFont val="Consolas"/>
        <family val="3"/>
      </rPr>
      <t xml:space="preserve">, , </t>
    </r>
    <r>
      <rPr>
        <sz val="11"/>
        <color rgb="FF0969DA"/>
        <rFont val="Consolas"/>
        <family val="3"/>
      </rPr>
      <t>take_col</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LEN</t>
    </r>
    <r>
      <rPr>
        <sz val="11"/>
        <color rgb="FF000000"/>
        <rFont val="Consolas"/>
        <family val="3"/>
      </rPr>
      <t>(</t>
    </r>
    <r>
      <rPr>
        <sz val="11"/>
        <color rgb="FF0969DA"/>
        <rFont val="Consolas"/>
        <family val="3"/>
      </rPr>
      <t>col</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969DA"/>
        <rFont val="Consolas"/>
        <family val="3"/>
      </rPr>
      <t>col</t>
    </r>
    <r>
      <rPr>
        <sz val="11"/>
        <color rgb="FF000000"/>
        <rFont val="Consolas"/>
        <family val="3"/>
      </rPr>
      <t>))),</t>
    </r>
  </si>
  <si>
    <r>
      <t xml:space="preserve">    </t>
    </r>
    <r>
      <rPr>
        <sz val="11"/>
        <color rgb="FF0969DA"/>
        <rFont val="Consolas"/>
        <family val="3"/>
      </rPr>
      <t>keys</t>
    </r>
    <r>
      <rPr>
        <sz val="11"/>
        <color rgb="FF000000"/>
        <rFont val="Consolas"/>
        <family val="3"/>
      </rPr>
      <t xml:space="preserve">, </t>
    </r>
    <r>
      <rPr>
        <sz val="11"/>
        <color rgb="FF0969DA"/>
        <rFont val="Consolas"/>
        <family val="3"/>
      </rPr>
      <t>get_opt</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</si>
  <si>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969DA"/>
        <rFont val="Consolas"/>
        <family val="3"/>
      </rPr>
      <t>get_opt</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</si>
  <si>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get_val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default</t>
    </r>
    <r>
      <rPr>
        <sz val="11"/>
        <color rgb="FF000000"/>
        <rFont val="Consolas"/>
        <family val="3"/>
      </rPr>
      <t>,</t>
    </r>
  </si>
  <si>
    <r>
      <t xml:space="preserve">        </t>
    </r>
    <r>
      <rPr>
        <sz val="11"/>
        <color rgb="FFC4432B"/>
        <rFont val="Consolas"/>
        <family val="3"/>
      </rPr>
      <t>LET</t>
    </r>
    <r>
      <rPr>
        <sz val="11"/>
        <color rgb="FF000000"/>
        <rFont val="Consolas"/>
        <family val="3"/>
      </rPr>
      <t>(</t>
    </r>
    <r>
      <rPr>
        <sz val="11"/>
        <color rgb="FF0969DA"/>
        <rFont val="Consolas"/>
        <family val="3"/>
      </rPr>
      <t>v</t>
    </r>
    <r>
      <rPr>
        <sz val="11"/>
        <color rgb="FF000000"/>
        <rFont val="Consolas"/>
        <family val="3"/>
      </rPr>
      <t xml:space="preserve">, </t>
    </r>
    <r>
      <rPr>
        <sz val="11"/>
        <color rgb="FF033D8B"/>
        <rFont val="Consolas"/>
        <family val="3"/>
      </rPr>
      <t>XLOOKUP</t>
    </r>
    <r>
      <rPr>
        <sz val="11"/>
        <color rgb="FF000000"/>
        <rFont val="Consolas"/>
        <family val="3"/>
      </rPr>
      <t>(</t>
    </r>
    <r>
      <rPr>
        <sz val="11"/>
        <color rgb="FF0969DA"/>
        <rFont val="Consolas"/>
        <family val="3"/>
      </rPr>
      <t>name</t>
    </r>
    <r>
      <rPr>
        <sz val="11"/>
        <color rgb="FF000000"/>
        <rFont val="Consolas"/>
        <family val="3"/>
      </rPr>
      <t xml:space="preserve">, </t>
    </r>
    <r>
      <rPr>
        <sz val="11"/>
        <color rgb="FF0969DA"/>
        <rFont val="Consolas"/>
        <family val="3"/>
      </rPr>
      <t>keys</t>
    </r>
    <r>
      <rPr>
        <sz val="11"/>
        <color rgb="FF000000"/>
        <rFont val="Consolas"/>
        <family val="3"/>
      </rPr>
      <t xml:space="preserve">, </t>
    </r>
    <r>
      <rPr>
        <sz val="11"/>
        <color rgb="FF0969DA"/>
        <rFont val="Consolas"/>
        <family val="3"/>
      </rPr>
      <t>vals</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LEN</t>
    </r>
    <r>
      <rPr>
        <sz val="11"/>
        <color rgb="FF000000"/>
        <rFont val="Consolas"/>
        <family val="3"/>
      </rPr>
      <t>(</t>
    </r>
    <r>
      <rPr>
        <sz val="11"/>
        <color rgb="FF0969DA"/>
        <rFont val="Consolas"/>
        <family val="3"/>
      </rPr>
      <t>v</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0969DA"/>
        <rFont val="Consolas"/>
        <family val="3"/>
      </rPr>
      <t>default</t>
    </r>
    <r>
      <rPr>
        <sz val="11"/>
        <color rgb="FF000000"/>
        <rFont val="Consolas"/>
        <family val="3"/>
      </rPr>
      <t xml:space="preserve">, </t>
    </r>
    <r>
      <rPr>
        <sz val="11"/>
        <color rgb="FF0969DA"/>
        <rFont val="Consolas"/>
        <family val="3"/>
      </rPr>
      <t>v</t>
    </r>
    <r>
      <rPr>
        <sz val="11"/>
        <color rgb="FF000000"/>
        <rFont val="Consolas"/>
        <family val="3"/>
      </rPr>
      <t>))</t>
    </r>
  </si>
  <si>
    <r>
      <t xml:space="preserve">    </t>
    </r>
    <r>
      <rPr>
        <sz val="11"/>
        <color rgb="FF0969DA"/>
        <rFont val="Consolas"/>
        <family val="3"/>
      </rPr>
      <t>p_in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"p"</t>
    </r>
    <r>
      <rPr>
        <sz val="11"/>
        <color rgb="FF000000"/>
        <rFont val="Consolas"/>
        <family val="3"/>
      </rPr>
      <t xml:space="preserve">, </t>
    </r>
    <r>
      <rPr>
        <sz val="11"/>
        <color rgb="FF098658"/>
        <rFont val="Consolas"/>
        <family val="3"/>
      </rPr>
      <t>7</t>
    </r>
    <r>
      <rPr>
        <sz val="11"/>
        <color rgb="FF000000"/>
        <rFont val="Consolas"/>
        <family val="3"/>
      </rPr>
      <t>),</t>
    </r>
  </si>
  <si>
    <r>
      <t xml:space="preserve">    </t>
    </r>
    <r>
      <rPr>
        <sz val="11"/>
        <color rgb="FF0969DA"/>
        <rFont val="Consolas"/>
        <family val="3"/>
      </rPr>
      <t>a_mode</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"avg_mode"</t>
    </r>
    <r>
      <rPr>
        <sz val="11"/>
        <color rgb="FF000000"/>
        <rFont val="Consolas"/>
        <family val="3"/>
      </rPr>
      <t xml:space="preserve">, </t>
    </r>
    <r>
      <rPr>
        <sz val="11"/>
        <color rgb="FFA31515"/>
        <rFont val="Consolas"/>
        <family val="3"/>
      </rPr>
      <t>"avg"</t>
    </r>
    <r>
      <rPr>
        <sz val="11"/>
        <color rgb="FF000000"/>
        <rFont val="Consolas"/>
        <family val="3"/>
      </rPr>
      <t>)),</t>
    </r>
  </si>
  <si>
    <r>
      <t xml:space="preserve">    </t>
    </r>
    <r>
      <rPr>
        <sz val="11"/>
        <color rgb="FF0969DA"/>
        <rFont val="Consolas"/>
        <family val="3"/>
      </rPr>
      <t>outmode</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"output_mode"</t>
    </r>
    <r>
      <rPr>
        <sz val="11"/>
        <color rgb="FF000000"/>
        <rFont val="Consolas"/>
        <family val="3"/>
      </rPr>
      <t xml:space="preserve">, </t>
    </r>
    <r>
      <rPr>
        <sz val="11"/>
        <color rgb="FFA31515"/>
        <rFont val="Consolas"/>
        <family val="3"/>
      </rPr>
      <t>"raw"</t>
    </r>
    <r>
      <rPr>
        <sz val="11"/>
        <color rgb="FF000000"/>
        <rFont val="Consolas"/>
        <family val="3"/>
      </rPr>
      <t>)),</t>
    </r>
  </si>
  <si>
    <r>
      <t xml:space="preserve">    </t>
    </r>
    <r>
      <rPr>
        <sz val="11"/>
        <color rgb="FF0969DA"/>
        <rFont val="Consolas"/>
        <family val="3"/>
      </rPr>
      <t>hdr_flag</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"headers"</t>
    </r>
    <r>
      <rPr>
        <sz val="11"/>
        <color rgb="FF000000"/>
        <rFont val="Consolas"/>
        <family val="3"/>
      </rPr>
      <t xml:space="preserve">, </t>
    </r>
    <r>
      <rPr>
        <sz val="11"/>
        <color rgb="FF0000FF"/>
        <rFont val="Consolas"/>
        <family val="3"/>
      </rPr>
      <t>FALSE</t>
    </r>
    <r>
      <rPr>
        <sz val="11"/>
        <color rgb="FF000000"/>
        <rFont val="Consolas"/>
        <family val="3"/>
      </rPr>
      <t>),</t>
    </r>
  </si>
  <si>
    <r>
      <t xml:space="preserve">    </t>
    </r>
    <r>
      <rPr>
        <sz val="11"/>
        <color rgb="FF0969DA"/>
        <rFont val="Consolas"/>
        <family val="3"/>
      </rPr>
      <t>rules_flag</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"rules"</t>
    </r>
    <r>
      <rPr>
        <sz val="11"/>
        <color rgb="FF000000"/>
        <rFont val="Consolas"/>
        <family val="3"/>
      </rPr>
      <t xml:space="preserve">, </t>
    </r>
    <r>
      <rPr>
        <sz val="11"/>
        <color rgb="FF0000FF"/>
        <rFont val="Consolas"/>
        <family val="3"/>
      </rPr>
      <t>TRUE</t>
    </r>
    <r>
      <rPr>
        <sz val="11"/>
        <color rgb="FF000000"/>
        <rFont val="Consolas"/>
        <family val="3"/>
      </rPr>
      <t>),</t>
    </r>
  </si>
  <si>
    <r>
      <t xml:space="preserve">    </t>
    </r>
    <r>
      <rPr>
        <sz val="11"/>
        <color rgb="FF0969DA"/>
        <rFont val="Consolas"/>
        <family val="3"/>
      </rPr>
      <t>lambda_in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"lambda"</t>
    </r>
    <r>
      <rPr>
        <sz val="11"/>
        <color rgb="FF000000"/>
        <rFont val="Consolas"/>
        <family val="3"/>
      </rPr>
      <t xml:space="preserve">, </t>
    </r>
    <r>
      <rPr>
        <sz val="11"/>
        <color rgb="FF098658"/>
        <rFont val="Consolas"/>
        <family val="3"/>
      </rPr>
      <t>0.2</t>
    </r>
    <r>
      <rPr>
        <sz val="11"/>
        <color rgb="FF000000"/>
        <rFont val="Consolas"/>
        <family val="3"/>
      </rPr>
      <t>),</t>
    </r>
  </si>
  <si>
    <r>
      <t xml:space="preserve">    </t>
    </r>
    <r>
      <rPr>
        <sz val="11"/>
        <color rgb="FF0969DA"/>
        <rFont val="Consolas"/>
        <family val="3"/>
      </rPr>
      <t>trim_in</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"trim"</t>
    </r>
    <r>
      <rPr>
        <sz val="11"/>
        <color rgb="FF000000"/>
        <rFont val="Consolas"/>
        <family val="3"/>
      </rPr>
      <t xml:space="preserve">, </t>
    </r>
    <r>
      <rPr>
        <sz val="11"/>
        <color rgb="FF098658"/>
        <rFont val="Consolas"/>
        <family val="3"/>
      </rPr>
      <t>0.1</t>
    </r>
    <r>
      <rPr>
        <sz val="11"/>
        <color rgb="FF000000"/>
        <rFont val="Consolas"/>
        <family val="3"/>
      </rPr>
      <t>),</t>
    </r>
  </si>
  <si>
    <r>
      <t xml:space="preserve">    </t>
    </r>
    <r>
      <rPr>
        <sz val="11"/>
        <color rgb="FF0969DA"/>
        <rFont val="Consolas"/>
        <family val="3"/>
      </rPr>
      <t>show_y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"show_y"</t>
    </r>
    <r>
      <rPr>
        <sz val="11"/>
        <color rgb="FF000000"/>
        <rFont val="Consolas"/>
        <family val="3"/>
      </rPr>
      <t xml:space="preserve">, </t>
    </r>
    <r>
      <rPr>
        <sz val="11"/>
        <color rgb="FF0000FF"/>
        <rFont val="Consolas"/>
        <family val="3"/>
      </rPr>
      <t>FALSE</t>
    </r>
    <r>
      <rPr>
        <sz val="11"/>
        <color rgb="FF000000"/>
        <rFont val="Consolas"/>
        <family val="3"/>
      </rPr>
      <t>),</t>
    </r>
  </si>
  <si>
    <r>
      <t xml:space="preserve">    </t>
    </r>
    <r>
      <rPr>
        <sz val="11"/>
        <color rgb="FF0969DA"/>
        <rFont val="Consolas"/>
        <family val="3"/>
      </rPr>
      <t>valid_keys</t>
    </r>
    <r>
      <rPr>
        <sz val="11"/>
        <color rgb="FF000000"/>
        <rFont val="Consolas"/>
        <family val="3"/>
      </rPr>
      <t>, {</t>
    </r>
    <r>
      <rPr>
        <sz val="11"/>
        <color rgb="FFA31515"/>
        <rFont val="Consolas"/>
        <family val="3"/>
      </rPr>
      <t>"p"</t>
    </r>
    <r>
      <rPr>
        <sz val="11"/>
        <color rgb="FF000000"/>
        <rFont val="Consolas"/>
        <family val="3"/>
      </rPr>
      <t xml:space="preserve">; </t>
    </r>
    <r>
      <rPr>
        <sz val="11"/>
        <color rgb="FFA31515"/>
        <rFont val="Consolas"/>
        <family val="3"/>
      </rPr>
      <t>"avg_mode"</t>
    </r>
    <r>
      <rPr>
        <sz val="11"/>
        <color rgb="FF000000"/>
        <rFont val="Consolas"/>
        <family val="3"/>
      </rPr>
      <t xml:space="preserve">; </t>
    </r>
    <r>
      <rPr>
        <sz val="11"/>
        <color rgb="FFA31515"/>
        <rFont val="Consolas"/>
        <family val="3"/>
      </rPr>
      <t>"output_mode"</t>
    </r>
    <r>
      <rPr>
        <sz val="11"/>
        <color rgb="FF000000"/>
        <rFont val="Consolas"/>
        <family val="3"/>
      </rPr>
      <t xml:space="preserve">; </t>
    </r>
    <r>
      <rPr>
        <sz val="11"/>
        <color rgb="FFA31515"/>
        <rFont val="Consolas"/>
        <family val="3"/>
      </rPr>
      <t>"headers"</t>
    </r>
    <r>
      <rPr>
        <sz val="11"/>
        <color rgb="FF000000"/>
        <rFont val="Consolas"/>
        <family val="3"/>
      </rPr>
      <t xml:space="preserve">; </t>
    </r>
    <r>
      <rPr>
        <sz val="11"/>
        <color rgb="FFA31515"/>
        <rFont val="Consolas"/>
        <family val="3"/>
      </rPr>
      <t>"rules"</t>
    </r>
    <r>
      <rPr>
        <sz val="11"/>
        <color rgb="FF000000"/>
        <rFont val="Consolas"/>
        <family val="3"/>
      </rPr>
      <t xml:space="preserve">; </t>
    </r>
    <r>
      <rPr>
        <sz val="11"/>
        <color rgb="FFA31515"/>
        <rFont val="Consolas"/>
        <family val="3"/>
      </rPr>
      <t>"lambda"</t>
    </r>
    <r>
      <rPr>
        <sz val="11"/>
        <color rgb="FF000000"/>
        <rFont val="Consolas"/>
        <family val="3"/>
      </rPr>
      <t xml:space="preserve">; </t>
    </r>
    <r>
      <rPr>
        <sz val="11"/>
        <color rgb="FFA31515"/>
        <rFont val="Consolas"/>
        <family val="3"/>
      </rPr>
      <t>"trim"</t>
    </r>
    <r>
      <rPr>
        <sz val="11"/>
        <color rgb="FF000000"/>
        <rFont val="Consolas"/>
        <family val="3"/>
      </rPr>
      <t xml:space="preserve">; </t>
    </r>
    <r>
      <rPr>
        <sz val="11"/>
        <color rgb="FFA31515"/>
        <rFont val="Consolas"/>
        <family val="3"/>
      </rPr>
      <t>"show_y"</t>
    </r>
    <r>
      <rPr>
        <sz val="11"/>
        <color rgb="FF000000"/>
        <rFont val="Consolas"/>
        <family val="3"/>
      </rPr>
      <t>},</t>
    </r>
  </si>
  <si>
    <r>
      <t xml:space="preserve">    </t>
    </r>
    <r>
      <rPr>
        <sz val="11"/>
        <color rgb="FF0969DA"/>
        <rFont val="Consolas"/>
        <family val="3"/>
      </rPr>
      <t>unknown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keys</t>
    </r>
    <r>
      <rPr>
        <sz val="11"/>
        <color rgb="FF000000"/>
        <rFont val="Consolas"/>
        <family val="3"/>
      </rPr>
      <t xml:space="preserve"> = </t>
    </r>
    <r>
      <rPr>
        <sz val="11"/>
        <color rgb="FFA31515"/>
        <rFont val="Consolas"/>
        <family val="3"/>
      </rPr>
      <t>""</t>
    </r>
    <r>
      <rPr>
        <sz val="11"/>
        <color rgb="FF000000"/>
        <rFont val="Consolas"/>
        <family val="3"/>
      </rPr>
      <t xml:space="preserve">, </t>
    </r>
    <r>
      <rPr>
        <sz val="11"/>
        <color rgb="FFA31515"/>
        <rFont val="Consolas"/>
        <family val="3"/>
      </rPr>
      <t>""</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keys</t>
    </r>
    <r>
      <rPr>
        <sz val="11"/>
        <color rgb="FF000000"/>
        <rFont val="Consolas"/>
        <family val="3"/>
      </rPr>
      <t xml:space="preserve">, </t>
    </r>
    <r>
      <rPr>
        <sz val="11"/>
        <color rgb="FF033D8B"/>
        <rFont val="Consolas"/>
        <family val="3"/>
      </rPr>
      <t>ISNA</t>
    </r>
    <r>
      <rPr>
        <sz val="11"/>
        <color rgb="FF000000"/>
        <rFont val="Consolas"/>
        <family val="3"/>
      </rPr>
      <t>(</t>
    </r>
    <r>
      <rPr>
        <sz val="11"/>
        <color rgb="FF033D8B"/>
        <rFont val="Consolas"/>
        <family val="3"/>
      </rPr>
      <t>XMATCH</t>
    </r>
    <r>
      <rPr>
        <sz val="11"/>
        <color rgb="FF000000"/>
        <rFont val="Consolas"/>
        <family val="3"/>
      </rPr>
      <t>(</t>
    </r>
    <r>
      <rPr>
        <sz val="11"/>
        <color rgb="FF0969DA"/>
        <rFont val="Consolas"/>
        <family val="3"/>
      </rPr>
      <t>keys</t>
    </r>
    <r>
      <rPr>
        <sz val="11"/>
        <color rgb="FF000000"/>
        <rFont val="Consolas"/>
        <family val="3"/>
      </rPr>
      <t xml:space="preserve">, </t>
    </r>
    <r>
      <rPr>
        <sz val="11"/>
        <color rgb="FF0969DA"/>
        <rFont val="Consolas"/>
        <family val="3"/>
      </rPr>
      <t>valid_keys</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</si>
  <si>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unknown_msg</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</si>
  <si>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33D8B"/>
        <rFont val="Consolas"/>
        <family val="3"/>
      </rPr>
      <t>AND</t>
    </r>
    <r>
      <rPr>
        <sz val="11"/>
        <color rgb="FF000000"/>
        <rFont val="Consolas"/>
        <family val="3"/>
      </rPr>
      <t>(</t>
    </r>
    <r>
      <rPr>
        <sz val="11"/>
        <color rgb="FF0969DA"/>
        <rFont val="Consolas"/>
        <family val="3"/>
      </rPr>
      <t>keys</t>
    </r>
    <r>
      <rPr>
        <sz val="11"/>
        <color rgb="FF000000"/>
        <rFont val="Consolas"/>
        <family val="3"/>
      </rPr>
      <t xml:space="preserve"> &lt;&gt; </t>
    </r>
    <r>
      <rPr>
        <sz val="11"/>
        <color rgb="FFA31515"/>
        <rFont val="Consolas"/>
        <family val="3"/>
      </rPr>
      <t>""</t>
    </r>
    <r>
      <rPr>
        <sz val="11"/>
        <color rgb="FF000000"/>
        <rFont val="Consolas"/>
        <family val="3"/>
      </rPr>
      <t xml:space="preserve">, </t>
    </r>
    <r>
      <rPr>
        <sz val="11"/>
        <color rgb="FF0969DA"/>
        <rFont val="Consolas"/>
        <family val="3"/>
      </rPr>
      <t>unknown</t>
    </r>
    <r>
      <rPr>
        <sz val="11"/>
        <color rgb="FF000000"/>
        <rFont val="Consolas"/>
        <family val="3"/>
      </rPr>
      <t xml:space="preserve"> &lt;&gt; </t>
    </r>
    <r>
      <rPr>
        <sz val="11"/>
        <color rgb="FFA31515"/>
        <rFont val="Consolas"/>
        <family val="3"/>
      </rPr>
      <t>""</t>
    </r>
    <r>
      <rPr>
        <sz val="11"/>
        <color rgb="FF000000"/>
        <rFont val="Consolas"/>
        <family val="3"/>
      </rPr>
      <t>),</t>
    </r>
  </si>
  <si>
    <r>
      <t xml:space="preserve">        </t>
    </r>
    <r>
      <rPr>
        <sz val="11"/>
        <color rgb="FFA31515"/>
        <rFont val="Consolas"/>
        <family val="3"/>
      </rPr>
      <t>"Unknown: "</t>
    </r>
    <r>
      <rPr>
        <sz val="11"/>
        <color rgb="FF000000"/>
        <rFont val="Consolas"/>
        <family val="3"/>
      </rPr>
      <t xml:space="preserve"> &amp; </t>
    </r>
    <r>
      <rPr>
        <sz val="11"/>
        <color rgb="FF033D8B"/>
        <rFont val="Consolas"/>
        <family val="3"/>
      </rPr>
      <t>TEXTJOIN</t>
    </r>
    <r>
      <rPr>
        <sz val="11"/>
        <color rgb="FF000000"/>
        <rFont val="Consolas"/>
        <family val="3"/>
      </rPr>
      <t>(</t>
    </r>
    <r>
      <rPr>
        <sz val="11"/>
        <color rgb="FFA31515"/>
        <rFont val="Consolas"/>
        <family val="3"/>
      </rPr>
      <t>", "</t>
    </r>
    <r>
      <rPr>
        <sz val="11"/>
        <color rgb="FF000000"/>
        <rFont val="Consolas"/>
        <family val="3"/>
      </rPr>
      <t xml:space="preserve">, </t>
    </r>
    <r>
      <rPr>
        <sz val="11"/>
        <color rgb="FF0000FF"/>
        <rFont val="Consolas"/>
        <family val="3"/>
      </rPr>
      <t>TRUE</t>
    </r>
    <r>
      <rPr>
        <sz val="11"/>
        <color rgb="FF000000"/>
        <rFont val="Consolas"/>
        <family val="3"/>
      </rPr>
      <t xml:space="preserve">, </t>
    </r>
    <r>
      <rPr>
        <sz val="11"/>
        <color rgb="FF0969DA"/>
        <rFont val="Consolas"/>
        <family val="3"/>
      </rPr>
      <t>unknown</t>
    </r>
    <r>
      <rPr>
        <sz val="11"/>
        <color rgb="FF000000"/>
        <rFont val="Consolas"/>
        <family val="3"/>
      </rPr>
      <t>),</t>
    </r>
  </si>
  <si>
    <r>
      <t xml:space="preserve">        </t>
    </r>
    <r>
      <rPr>
        <sz val="11"/>
        <color rgb="FF0000FF"/>
        <rFont val="Consolas"/>
        <family val="3"/>
      </rPr>
      <t>TRUE</t>
    </r>
  </si>
  <si>
    <r>
      <t xml:space="preserve">    </t>
    </r>
    <r>
      <rPr>
        <sz val="11"/>
        <color rgb="FF0969DA"/>
        <rFont val="Consolas"/>
        <family val="3"/>
      </rPr>
      <t>ctrl_in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control_limits</t>
    </r>
    <r>
      <rPr>
        <sz val="11"/>
        <color rgb="FF000000"/>
        <rFont val="Consolas"/>
        <family val="3"/>
      </rPr>
      <t>), {</t>
    </r>
    <r>
      <rPr>
        <sz val="11"/>
        <color rgb="FFA31515"/>
        <rFont val="Consolas"/>
        <family val="3"/>
      </rPr>
      <t>"UCL"</t>
    </r>
    <r>
      <rPr>
        <sz val="11"/>
        <color rgb="FF000000"/>
        <rFont val="Consolas"/>
        <family val="3"/>
      </rPr>
      <t xml:space="preserve">, </t>
    </r>
    <r>
      <rPr>
        <sz val="11"/>
        <color rgb="FF098658"/>
        <rFont val="Consolas"/>
        <family val="3"/>
      </rPr>
      <t>3</t>
    </r>
    <r>
      <rPr>
        <sz val="11"/>
        <color rgb="FF000000"/>
        <rFont val="Consolas"/>
        <family val="3"/>
      </rPr>
      <t xml:space="preserve">; </t>
    </r>
    <r>
      <rPr>
        <sz val="11"/>
        <color rgb="FFA31515"/>
        <rFont val="Consolas"/>
        <family val="3"/>
      </rPr>
      <t>"LCL"</t>
    </r>
    <r>
      <rPr>
        <sz val="11"/>
        <color rgb="FF000000"/>
        <rFont val="Consolas"/>
        <family val="3"/>
      </rPr>
      <t xml:space="preserve">, </t>
    </r>
    <r>
      <rPr>
        <sz val="11"/>
        <color rgb="FF098658"/>
        <rFont val="Consolas"/>
        <family val="3"/>
      </rPr>
      <t>-3</t>
    </r>
    <r>
      <rPr>
        <sz val="11"/>
        <color rgb="FF000000"/>
        <rFont val="Consolas"/>
        <family val="3"/>
      </rPr>
      <t xml:space="preserve">}, </t>
    </r>
    <r>
      <rPr>
        <sz val="11"/>
        <color rgb="FF0969DA"/>
        <rFont val="Consolas"/>
        <family val="3"/>
      </rPr>
      <t>control_limits</t>
    </r>
    <r>
      <rPr>
        <sz val="11"/>
        <color rgb="FF000000"/>
        <rFont val="Consolas"/>
        <family val="3"/>
      </rPr>
      <t>),</t>
    </r>
  </si>
  <si>
    <r>
      <t xml:space="preserve">    </t>
    </r>
    <r>
      <rPr>
        <sz val="11"/>
        <color rgb="FF0969DA"/>
        <rFont val="Consolas"/>
        <family val="3"/>
      </rPr>
      <t>cumavg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</si>
  <si>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</si>
  <si>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wma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C4432B"/>
        <rFont val="Consolas"/>
        <family val="3"/>
      </rPr>
      <t>LET</t>
    </r>
    <r>
      <rPr>
        <sz val="11"/>
        <color rgb="FF000000"/>
        <rFont val="Consolas"/>
        <family val="3"/>
      </rPr>
      <t>(</t>
    </r>
    <r>
      <rPr>
        <sz val="11"/>
        <color rgb="FF0969DA"/>
        <rFont val="Consolas"/>
        <family val="3"/>
      </rPr>
      <t>w</t>
    </r>
    <r>
      <rPr>
        <sz val="11"/>
        <color rgb="FF000000"/>
        <rFont val="Consolas"/>
        <family val="3"/>
      </rPr>
      <t xml:space="preserve">, </t>
    </r>
    <r>
      <rPr>
        <sz val="11"/>
        <color rgb="FF033D8B"/>
        <rFont val="Consolas"/>
        <family val="3"/>
      </rPr>
      <t>SEQUENCE</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SUMPRODUCT</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 xml:space="preserve">), </t>
    </r>
    <r>
      <rPr>
        <sz val="11"/>
        <color rgb="FF0969DA"/>
        <rFont val="Consolas"/>
        <family val="3"/>
      </rPr>
      <t>w</t>
    </r>
    <r>
      <rPr>
        <sz val="11"/>
        <color rgb="FF000000"/>
        <rFont val="Consolas"/>
        <family val="3"/>
      </rPr>
      <t xml:space="preserve">) / </t>
    </r>
    <r>
      <rPr>
        <sz val="11"/>
        <color rgb="FF033D8B"/>
        <rFont val="Consolas"/>
        <family val="3"/>
      </rPr>
      <t>SUM</t>
    </r>
    <r>
      <rPr>
        <sz val="11"/>
        <color rgb="FF000000"/>
        <rFont val="Consolas"/>
        <family val="3"/>
      </rPr>
      <t>(</t>
    </r>
    <r>
      <rPr>
        <sz val="11"/>
        <color rgb="FF0969DA"/>
        <rFont val="Consolas"/>
        <family val="3"/>
      </rPr>
      <t>w</t>
    </r>
    <r>
      <rPr>
        <sz val="11"/>
        <color rgb="FF000000"/>
        <rFont val="Consolas"/>
        <family val="3"/>
      </rPr>
      <t>))),</t>
    </r>
  </si>
  <si>
    <r>
      <t xml:space="preserve">    </t>
    </r>
    <r>
      <rPr>
        <sz val="11"/>
        <color rgb="FF0969DA"/>
        <rFont val="Consolas"/>
        <family val="3"/>
      </rPr>
      <t>ema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</si>
  <si>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C4432B"/>
        <rFont val="Consolas"/>
        <family val="3"/>
      </rPr>
      <t>LET</t>
    </r>
    <r>
      <rPr>
        <sz val="11"/>
        <color rgb="FF000000"/>
        <rFont val="Consolas"/>
        <family val="3"/>
      </rPr>
      <t>(</t>
    </r>
    <r>
      <rPr>
        <sz val="11"/>
        <color rgb="FF0969DA"/>
        <rFont val="Consolas"/>
        <family val="3"/>
      </rPr>
      <t>k</t>
    </r>
    <r>
      <rPr>
        <sz val="11"/>
        <color rgb="FF000000"/>
        <rFont val="Consolas"/>
        <family val="3"/>
      </rPr>
      <t xml:space="preserve">, </t>
    </r>
    <r>
      <rPr>
        <sz val="11"/>
        <color rgb="FF098658"/>
        <rFont val="Consolas"/>
        <family val="3"/>
      </rPr>
      <t>2</t>
    </r>
    <r>
      <rPr>
        <sz val="11"/>
        <color rgb="FF000000"/>
        <rFont val="Consolas"/>
        <family val="3"/>
      </rPr>
      <t xml:space="preserve"> / (</t>
    </r>
    <r>
      <rPr>
        <sz val="11"/>
        <color rgb="FF0969DA"/>
        <rFont val="Consolas"/>
        <family val="3"/>
      </rPr>
      <t>p</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33D8B"/>
        <rFont val="Consolas"/>
        <family val="3"/>
      </rPr>
      <t>SCAN</t>
    </r>
    <r>
      <rPr>
        <sz val="11"/>
        <color rgb="FF000000"/>
        <rFont val="Consolas"/>
        <family val="3"/>
      </rPr>
      <t>(</t>
    </r>
    <r>
      <rPr>
        <sz val="11"/>
        <color rgb="FF033D8B"/>
        <rFont val="Consolas"/>
        <family val="3"/>
      </rPr>
      <t>INDEX</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prev</t>
    </r>
    <r>
      <rPr>
        <sz val="11"/>
        <color rgb="FF000000"/>
        <rFont val="Consolas"/>
        <family val="3"/>
      </rPr>
      <t xml:space="preserve">, </t>
    </r>
    <r>
      <rPr>
        <sz val="11"/>
        <color rgb="FF0969DA"/>
        <rFont val="Consolas"/>
        <family val="3"/>
      </rPr>
      <t>v</t>
    </r>
    <r>
      <rPr>
        <sz val="11"/>
        <color rgb="FF000000"/>
        <rFont val="Consolas"/>
        <family val="3"/>
      </rPr>
      <t xml:space="preserve">, </t>
    </r>
    <r>
      <rPr>
        <sz val="11"/>
        <color rgb="FF0969DA"/>
        <rFont val="Consolas"/>
        <family val="3"/>
      </rPr>
      <t>prev</t>
    </r>
    <r>
      <rPr>
        <sz val="11"/>
        <color rgb="FF000000"/>
        <rFont val="Consolas"/>
        <family val="3"/>
      </rPr>
      <t xml:space="preserve"> * (</t>
    </r>
    <r>
      <rPr>
        <sz val="11"/>
        <color rgb="FF098658"/>
        <rFont val="Consolas"/>
        <family val="3"/>
      </rPr>
      <t>1</t>
    </r>
    <r>
      <rPr>
        <sz val="11"/>
        <color rgb="FF000000"/>
        <rFont val="Consolas"/>
        <family val="3"/>
      </rPr>
      <t xml:space="preserve"> - </t>
    </r>
    <r>
      <rPr>
        <sz val="11"/>
        <color rgb="FF0969DA"/>
        <rFont val="Consolas"/>
        <family val="3"/>
      </rPr>
      <t>k</t>
    </r>
    <r>
      <rPr>
        <sz val="11"/>
        <color rgb="FF000000"/>
        <rFont val="Consolas"/>
        <family val="3"/>
      </rPr>
      <t xml:space="preserve">) + </t>
    </r>
    <r>
      <rPr>
        <sz val="11"/>
        <color rgb="FF0969DA"/>
        <rFont val="Consolas"/>
        <family val="3"/>
      </rPr>
      <t>v</t>
    </r>
    <r>
      <rPr>
        <sz val="11"/>
        <color rgb="FF000000"/>
        <rFont val="Consolas"/>
        <family val="3"/>
      </rPr>
      <t xml:space="preserve"> * </t>
    </r>
    <r>
      <rPr>
        <sz val="11"/>
        <color rgb="FF0969DA"/>
        <rFont val="Consolas"/>
        <family val="3"/>
      </rPr>
      <t>k</t>
    </r>
    <r>
      <rPr>
        <sz val="11"/>
        <color rgb="FF000000"/>
        <rFont val="Consolas"/>
        <family val="3"/>
      </rPr>
      <t>)))</t>
    </r>
  </si>
  <si>
    <r>
      <t xml:space="preserve">    </t>
    </r>
    <r>
      <rPr>
        <sz val="11"/>
        <color rgb="FF0969DA"/>
        <rFont val="Consolas"/>
        <family val="3"/>
      </rPr>
      <t>emal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l</t>
    </r>
    <r>
      <rPr>
        <sz val="11"/>
        <color rgb="FF000000"/>
        <rFont val="Consolas"/>
        <family val="3"/>
      </rPr>
      <t xml:space="preserve">, </t>
    </r>
    <r>
      <rPr>
        <sz val="11"/>
        <color rgb="FF033D8B"/>
        <rFont val="Consolas"/>
        <family val="3"/>
      </rPr>
      <t>SCAN</t>
    </r>
    <r>
      <rPr>
        <sz val="11"/>
        <color rgb="FF000000"/>
        <rFont val="Consolas"/>
        <family val="3"/>
      </rPr>
      <t>(</t>
    </r>
    <r>
      <rPr>
        <sz val="11"/>
        <color rgb="FF033D8B"/>
        <rFont val="Consolas"/>
        <family val="3"/>
      </rPr>
      <t>INDEX</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prev</t>
    </r>
    <r>
      <rPr>
        <sz val="11"/>
        <color rgb="FF000000"/>
        <rFont val="Consolas"/>
        <family val="3"/>
      </rPr>
      <t xml:space="preserve">, </t>
    </r>
    <r>
      <rPr>
        <sz val="11"/>
        <color rgb="FF0969DA"/>
        <rFont val="Consolas"/>
        <family val="3"/>
      </rPr>
      <t>v</t>
    </r>
    <r>
      <rPr>
        <sz val="11"/>
        <color rgb="FF000000"/>
        <rFont val="Consolas"/>
        <family val="3"/>
      </rPr>
      <t xml:space="preserve">, </t>
    </r>
    <r>
      <rPr>
        <sz val="11"/>
        <color rgb="FF0969DA"/>
        <rFont val="Consolas"/>
        <family val="3"/>
      </rPr>
      <t>prev</t>
    </r>
    <r>
      <rPr>
        <sz val="11"/>
        <color rgb="FF000000"/>
        <rFont val="Consolas"/>
        <family val="3"/>
      </rPr>
      <t xml:space="preserve"> * (</t>
    </r>
    <r>
      <rPr>
        <sz val="11"/>
        <color rgb="FF098658"/>
        <rFont val="Consolas"/>
        <family val="3"/>
      </rPr>
      <t>1</t>
    </r>
    <r>
      <rPr>
        <sz val="11"/>
        <color rgb="FF000000"/>
        <rFont val="Consolas"/>
        <family val="3"/>
      </rPr>
      <t xml:space="preserve"> - </t>
    </r>
    <r>
      <rPr>
        <sz val="11"/>
        <color rgb="FF0969DA"/>
        <rFont val="Consolas"/>
        <family val="3"/>
      </rPr>
      <t>l</t>
    </r>
    <r>
      <rPr>
        <sz val="11"/>
        <color rgb="FF000000"/>
        <rFont val="Consolas"/>
        <family val="3"/>
      </rPr>
      <t xml:space="preserve">) + </t>
    </r>
    <r>
      <rPr>
        <sz val="11"/>
        <color rgb="FF0969DA"/>
        <rFont val="Consolas"/>
        <family val="3"/>
      </rPr>
      <t>v</t>
    </r>
    <r>
      <rPr>
        <sz val="11"/>
        <color rgb="FF000000"/>
        <rFont val="Consolas"/>
        <family val="3"/>
      </rPr>
      <t xml:space="preserve"> * </t>
    </r>
    <r>
      <rPr>
        <sz val="11"/>
        <color rgb="FF0969DA"/>
        <rFont val="Consolas"/>
        <family val="3"/>
      </rPr>
      <t>l</t>
    </r>
    <r>
      <rPr>
        <sz val="11"/>
        <color rgb="FF000000"/>
        <rFont val="Consolas"/>
        <family val="3"/>
      </rPr>
      <t>))),</t>
    </r>
  </si>
  <si>
    <r>
      <t xml:space="preserve">    </t>
    </r>
    <r>
      <rPr>
        <sz val="11"/>
        <color rgb="FF0969DA"/>
        <rFont val="Consolas"/>
        <family val="3"/>
      </rPr>
      <t>trimavg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</si>
  <si>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</si>
  <si>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</si>
  <si>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m</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</si>
  <si>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k</t>
    </r>
    <r>
      <rPr>
        <sz val="11"/>
        <color rgb="FF000000"/>
        <rFont val="Consolas"/>
        <family val="3"/>
      </rPr>
      <t xml:space="preserve">, </t>
    </r>
    <r>
      <rPr>
        <sz val="11"/>
        <color rgb="FF033D8B"/>
        <rFont val="Consolas"/>
        <family val="3"/>
      </rPr>
      <t>MIN</t>
    </r>
    <r>
      <rPr>
        <sz val="11"/>
        <color rgb="FF000000"/>
        <rFont val="Consolas"/>
        <family val="3"/>
      </rPr>
      <t>(</t>
    </r>
    <r>
      <rPr>
        <sz val="11"/>
        <color rgb="FF033D8B"/>
        <rFont val="Consolas"/>
        <family val="3"/>
      </rPr>
      <t>ROUND</t>
    </r>
    <r>
      <rPr>
        <sz val="11"/>
        <color rgb="FF000000"/>
        <rFont val="Consolas"/>
        <family val="3"/>
      </rPr>
      <t>(</t>
    </r>
    <r>
      <rPr>
        <sz val="11"/>
        <color rgb="FF0969DA"/>
        <rFont val="Consolas"/>
        <family val="3"/>
      </rPr>
      <t>m</t>
    </r>
    <r>
      <rPr>
        <sz val="11"/>
        <color rgb="FF000000"/>
        <rFont val="Consolas"/>
        <family val="3"/>
      </rPr>
      <t xml:space="preserve"> * </t>
    </r>
    <r>
      <rPr>
        <sz val="11"/>
        <color rgb="FF0969DA"/>
        <rFont val="Consolas"/>
        <family val="3"/>
      </rPr>
      <t>trim</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33D8B"/>
        <rFont val="Consolas"/>
        <family val="3"/>
      </rPr>
      <t>QUOTIENT</t>
    </r>
    <r>
      <rPr>
        <sz val="11"/>
        <color rgb="FF000000"/>
        <rFont val="Consolas"/>
        <family val="3"/>
      </rPr>
      <t>(</t>
    </r>
    <r>
      <rPr>
        <sz val="11"/>
        <color rgb="FF0969DA"/>
        <rFont val="Consolas"/>
        <family val="3"/>
      </rPr>
      <t>m</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98658"/>
        <rFont val="Consolas"/>
        <family val="3"/>
      </rPr>
      <t>2</t>
    </r>
    <r>
      <rPr>
        <sz val="11"/>
        <color rgb="FF000000"/>
        <rFont val="Consolas"/>
        <family val="3"/>
      </rPr>
      <t>)),</t>
    </r>
  </si>
  <si>
    <r>
      <t xml:space="preserve">            </t>
    </r>
    <r>
      <rPr>
        <sz val="11"/>
        <color rgb="FF0969DA"/>
        <rFont val="Consolas"/>
        <family val="3"/>
      </rPr>
      <t>sorted</t>
    </r>
    <r>
      <rPr>
        <sz val="11"/>
        <color rgb="FF000000"/>
        <rFont val="Consolas"/>
        <family val="3"/>
      </rPr>
      <t xml:space="preserve">, </t>
    </r>
    <r>
      <rPr>
        <sz val="11"/>
        <color rgb="FF033D8B"/>
        <rFont val="Consolas"/>
        <family val="3"/>
      </rPr>
      <t>SORT</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</si>
  <si>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trimmed</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DROP</t>
    </r>
    <r>
      <rPr>
        <sz val="11"/>
        <color rgb="FF000000"/>
        <rFont val="Consolas"/>
        <family val="3"/>
      </rPr>
      <t>(</t>
    </r>
    <r>
      <rPr>
        <sz val="11"/>
        <color rgb="FF0969DA"/>
        <rFont val="Consolas"/>
        <family val="3"/>
      </rPr>
      <t>sorted</t>
    </r>
    <r>
      <rPr>
        <sz val="11"/>
        <color rgb="FF000000"/>
        <rFont val="Consolas"/>
        <family val="3"/>
      </rPr>
      <t xml:space="preserve">, </t>
    </r>
    <r>
      <rPr>
        <sz val="11"/>
        <color rgb="FF0969DA"/>
        <rFont val="Consolas"/>
        <family val="3"/>
      </rPr>
      <t>k</t>
    </r>
    <r>
      <rPr>
        <sz val="11"/>
        <color rgb="FF000000"/>
        <rFont val="Consolas"/>
        <family val="3"/>
      </rPr>
      <t xml:space="preserve">), </t>
    </r>
    <r>
      <rPr>
        <sz val="11"/>
        <color rgb="FF0969DA"/>
        <rFont val="Consolas"/>
        <family val="3"/>
      </rPr>
      <t>m</t>
    </r>
    <r>
      <rPr>
        <sz val="11"/>
        <color rgb="FF000000"/>
        <rFont val="Consolas"/>
        <family val="3"/>
      </rPr>
      <t xml:space="preserve"> - </t>
    </r>
    <r>
      <rPr>
        <sz val="11"/>
        <color rgb="FF098658"/>
        <rFont val="Consolas"/>
        <family val="3"/>
      </rPr>
      <t>2</t>
    </r>
    <r>
      <rPr>
        <sz val="11"/>
        <color rgb="FF000000"/>
        <rFont val="Consolas"/>
        <family val="3"/>
      </rPr>
      <t xml:space="preserve"> * </t>
    </r>
    <r>
      <rPr>
        <sz val="11"/>
        <color rgb="FF0969DA"/>
        <rFont val="Consolas"/>
        <family val="3"/>
      </rPr>
      <t>k</t>
    </r>
    <r>
      <rPr>
        <sz val="11"/>
        <color rgb="FF000000"/>
        <rFont val="Consolas"/>
        <family val="3"/>
      </rPr>
      <t>),</t>
    </r>
  </si>
  <si>
    <r>
      <t xml:space="preserve">            </t>
    </r>
    <r>
      <rPr>
        <sz val="11"/>
        <color rgb="FF033D8B"/>
        <rFont val="Consolas"/>
        <family val="3"/>
      </rPr>
      <t>AVERAGE</t>
    </r>
    <r>
      <rPr>
        <sz val="11"/>
        <color rgb="FF000000"/>
        <rFont val="Consolas"/>
        <family val="3"/>
      </rPr>
      <t>(</t>
    </r>
    <r>
      <rPr>
        <sz val="11"/>
        <color rgb="FF0969DA"/>
        <rFont val="Consolas"/>
        <family val="3"/>
      </rPr>
      <t>trimmed</t>
    </r>
    <r>
      <rPr>
        <sz val="11"/>
        <color rgb="FF000000"/>
        <rFont val="Consolas"/>
        <family val="3"/>
      </rPr>
      <t>)</t>
    </r>
  </si>
  <si>
    <r>
      <t xml:space="preserve">    </t>
    </r>
    <r>
      <rPr>
        <sz val="11"/>
        <color rgb="FF0969DA"/>
        <rFont val="Consolas"/>
        <family val="3"/>
      </rPr>
      <t>medroll</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33D8B"/>
        <rFont val="Consolas"/>
        <family val="3"/>
      </rPr>
      <t>MEDIAN</t>
    </r>
    <r>
      <rPr>
        <sz val="11"/>
        <color rgb="FF000000"/>
        <rFont val="Consolas"/>
        <family val="3"/>
      </rPr>
      <t>(</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</si>
  <si>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mseries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cum</t>
    </r>
    <r>
      <rPr>
        <sz val="11"/>
        <color rgb="FF000000"/>
        <rFont val="Consolas"/>
        <family val="3"/>
      </rPr>
      <t xml:space="preserve">, </t>
    </r>
    <r>
      <rPr>
        <sz val="11"/>
        <color rgb="FF0969DA"/>
        <rFont val="Consolas"/>
        <family val="3"/>
      </rPr>
      <t>roll</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</si>
  <si>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a</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cum</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roll</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</si>
  <si>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0969DA"/>
        <rFont val="Consolas"/>
        <family val="3"/>
      </rPr>
      <t>p_std</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a_mode</t>
    </r>
    <r>
      <rPr>
        <sz val="11"/>
        <color rgb="FF000000"/>
        <rFont val="Consolas"/>
        <family val="3"/>
      </rPr>
      <t xml:space="preserve"> = </t>
    </r>
    <r>
      <rPr>
        <sz val="11"/>
        <color rgb="FFA31515"/>
        <rFont val="Consolas"/>
        <family val="3"/>
      </rPr>
      <t>"cma"</t>
    </r>
    <r>
      <rPr>
        <sz val="11"/>
        <color rgb="FF000000"/>
        <rFont val="Consolas"/>
        <family val="3"/>
      </rPr>
      <t xml:space="preserve">, </t>
    </r>
    <r>
      <rPr>
        <sz val="11"/>
        <color rgb="FF033D8B"/>
        <rFont val="Consolas"/>
        <family val="3"/>
      </rPr>
      <t>SEQUENCE</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969DA"/>
        <rFont val="Consolas"/>
        <family val="3"/>
      </rPr>
      <t>p_in</t>
    </r>
    <r>
      <rPr>
        <sz val="11"/>
        <color rgb="FF000000"/>
        <rFont val="Consolas"/>
        <family val="3"/>
      </rPr>
      <t>))),</t>
    </r>
  </si>
  <si>
    <r>
      <t xml:space="preserve">    </t>
    </r>
    <r>
      <rPr>
        <sz val="11"/>
        <color rgb="FF0969DA"/>
        <rFont val="Consolas"/>
        <family val="3"/>
      </rPr>
      <t>rollstd</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ma</t>
    </r>
    <r>
      <rPr>
        <sz val="11"/>
        <color rgb="FF000000"/>
        <rFont val="Consolas"/>
        <family val="3"/>
      </rPr>
      <t xml:space="preserve">, </t>
    </r>
    <r>
      <rPr>
        <sz val="11"/>
        <color rgb="FF0969DA"/>
        <rFont val="Consolas"/>
        <family val="3"/>
      </rPr>
      <t>pvec</t>
    </r>
    <r>
      <rPr>
        <sz val="11"/>
        <color rgb="FF000000"/>
        <rFont val="Consolas"/>
        <family val="3"/>
      </rPr>
      <t xml:space="preserve">, </t>
    </r>
    <r>
      <rPr>
        <sz val="11"/>
        <color rgb="FF0969DA"/>
        <rFont val="Consolas"/>
        <family val="3"/>
      </rPr>
      <t>mode</t>
    </r>
    <r>
      <rPr>
        <sz val="11"/>
        <color rgb="FF000000"/>
        <rFont val="Consolas"/>
        <family val="3"/>
      </rPr>
      <t>,</t>
    </r>
  </si>
  <si>
    <r>
      <t xml:space="preserve">        </t>
    </r>
    <r>
      <rPr>
        <sz val="11"/>
        <color rgb="FF033D8B"/>
        <rFont val="Consolas"/>
        <family val="3"/>
      </rPr>
      <t>MAKEARRAY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</si>
  <si>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a</t>
    </r>
    <r>
      <rPr>
        <sz val="11"/>
        <color rgb="FF000000"/>
        <rFont val="Consolas"/>
        <family val="3"/>
      </rPr>
      <t>),</t>
    </r>
  </si>
  <si>
    <r>
      <t xml:space="preserve">            </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</si>
  <si>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</si>
  <si>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</si>
  <si>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t>
    </r>
    <r>
      <rPr>
        <sz val="11"/>
        <color rgb="FF000000"/>
        <rFont val="Consolas"/>
        <family val="3"/>
      </rPr>
      <t xml:space="preserve">, </t>
    </r>
    <r>
      <rPr>
        <sz val="11"/>
        <color rgb="FF033D8B"/>
        <rFont val="Consolas"/>
        <family val="3"/>
      </rPr>
      <t>MAX</t>
    </r>
    <r>
      <rPr>
        <sz val="11"/>
        <color rgb="FF000000"/>
        <rFont val="Consolas"/>
        <family val="3"/>
      </rPr>
      <t>(</t>
    </r>
    <r>
      <rPr>
        <sz val="11"/>
        <color rgb="FF098658"/>
        <rFont val="Consolas"/>
        <family val="3"/>
      </rPr>
      <t>1</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mode</t>
    </r>
    <r>
      <rPr>
        <sz val="11"/>
        <color rgb="FF000000"/>
        <rFont val="Consolas"/>
        <family val="3"/>
      </rPr>
      <t xml:space="preserve"> = </t>
    </r>
    <r>
      <rPr>
        <sz val="11"/>
        <color rgb="FFA31515"/>
        <rFont val="Consolas"/>
        <family val="3"/>
      </rPr>
      <t>"cma"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pvec</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</si>
  <si>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start</t>
    </r>
    <r>
      <rPr>
        <sz val="11"/>
        <color rgb="FF000000"/>
        <rFont val="Consolas"/>
        <family val="3"/>
      </rPr>
      <t xml:space="preserve">, </t>
    </r>
    <r>
      <rPr>
        <sz val="11"/>
        <color rgb="FF033D8B"/>
        <rFont val="Consolas"/>
        <family val="3"/>
      </rPr>
      <t>MAX</t>
    </r>
    <r>
      <rPr>
        <sz val="11"/>
        <color rgb="FF000000"/>
        <rFont val="Consolas"/>
        <family val="3"/>
      </rPr>
      <t>(</t>
    </r>
    <r>
      <rPr>
        <sz val="11"/>
        <color rgb="FF098658"/>
        <rFont val="Consolas"/>
        <family val="3"/>
      </rPr>
      <t>1</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969DA"/>
        <rFont val="Consolas"/>
        <family val="3"/>
      </rPr>
      <t>w</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</si>
  <si>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DROP</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start</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969DA"/>
        <rFont val="Consolas"/>
        <family val="3"/>
      </rPr>
      <t>start</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</si>
  <si>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m</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win</t>
    </r>
    <r>
      <rPr>
        <sz val="11"/>
        <color rgb="FF000000"/>
        <rFont val="Consolas"/>
        <family val="3"/>
      </rPr>
      <t>),</t>
    </r>
  </si>
  <si>
    <r>
      <t xml:space="preserve">                    </t>
    </r>
    <r>
      <rPr>
        <sz val="11"/>
        <color rgb="FF0969DA"/>
        <rFont val="Consolas"/>
        <family val="3"/>
      </rPr>
      <t>mean</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ma</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</si>
  <si>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m</t>
    </r>
    <r>
      <rPr>
        <sz val="11"/>
        <color rgb="FF000000"/>
        <rFont val="Consolas"/>
        <family val="3"/>
      </rPr>
      <t xml:space="preserve"> &lt;= </t>
    </r>
    <r>
      <rPr>
        <sz val="11"/>
        <color rgb="FF098658"/>
        <rFont val="Consolas"/>
        <family val="3"/>
      </rPr>
      <t>1</t>
    </r>
    <r>
      <rPr>
        <sz val="11"/>
        <color rgb="FF000000"/>
        <rFont val="Consolas"/>
        <family val="3"/>
      </rPr>
      <t xml:space="preserve">, </t>
    </r>
    <r>
      <rPr>
        <sz val="11"/>
        <color rgb="FF033D8B"/>
        <rFont val="Consolas"/>
        <family val="3"/>
      </rPr>
      <t>NA</t>
    </r>
    <r>
      <rPr>
        <sz val="11"/>
        <color rgb="FF000000"/>
        <rFont val="Consolas"/>
        <family val="3"/>
      </rPr>
      <t xml:space="preserve">(), </t>
    </r>
    <r>
      <rPr>
        <sz val="11"/>
        <color rgb="FF033D8B"/>
        <rFont val="Consolas"/>
        <family val="3"/>
      </rPr>
      <t>SQRT</t>
    </r>
    <r>
      <rPr>
        <sz val="11"/>
        <color rgb="FF000000"/>
        <rFont val="Consolas"/>
        <family val="3"/>
      </rPr>
      <t>(</t>
    </r>
    <r>
      <rPr>
        <sz val="11"/>
        <color rgb="FF033D8B"/>
        <rFont val="Consolas"/>
        <family val="3"/>
      </rPr>
      <t>SUM</t>
    </r>
    <r>
      <rPr>
        <sz val="11"/>
        <color rgb="FF000000"/>
        <rFont val="Consolas"/>
        <family val="3"/>
      </rPr>
      <t>((</t>
    </r>
    <r>
      <rPr>
        <sz val="11"/>
        <color rgb="FF0969DA"/>
        <rFont val="Consolas"/>
        <family val="3"/>
      </rPr>
      <t>win</t>
    </r>
    <r>
      <rPr>
        <sz val="11"/>
        <color rgb="FF000000"/>
        <rFont val="Consolas"/>
        <family val="3"/>
      </rPr>
      <t xml:space="preserve"> - </t>
    </r>
    <r>
      <rPr>
        <sz val="11"/>
        <color rgb="FF0969DA"/>
        <rFont val="Consolas"/>
        <family val="3"/>
      </rPr>
      <t>mean</t>
    </r>
    <r>
      <rPr>
        <sz val="11"/>
        <color rgb="FF000000"/>
        <rFont val="Consolas"/>
        <family val="3"/>
      </rPr>
      <t xml:space="preserve">) ^ </t>
    </r>
    <r>
      <rPr>
        <sz val="11"/>
        <color rgb="FF098658"/>
        <rFont val="Consolas"/>
        <family val="3"/>
      </rPr>
      <t>2</t>
    </r>
    <r>
      <rPr>
        <sz val="11"/>
        <color rgb="FF000000"/>
        <rFont val="Consolas"/>
        <family val="3"/>
      </rPr>
      <t>) / (</t>
    </r>
    <r>
      <rPr>
        <sz val="11"/>
        <color rgb="FF0969DA"/>
        <rFont val="Consolas"/>
        <family val="3"/>
      </rPr>
      <t>m</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</si>
  <si>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r_1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 --(</t>
    </r>
    <r>
      <rPr>
        <sz val="11"/>
        <color rgb="FF033D8B"/>
        <rFont val="Consolas"/>
        <family val="3"/>
      </rPr>
      <t>ABS</t>
    </r>
    <r>
      <rPr>
        <sz val="11"/>
        <color rgb="FF000000"/>
        <rFont val="Consolas"/>
        <family val="3"/>
      </rPr>
      <t>(</t>
    </r>
    <r>
      <rPr>
        <sz val="11"/>
        <color rgb="FF0969DA"/>
        <rFont val="Consolas"/>
        <family val="3"/>
      </rPr>
      <t>z</t>
    </r>
    <r>
      <rPr>
        <sz val="11"/>
        <color rgb="FF000000"/>
        <rFont val="Consolas"/>
        <family val="3"/>
      </rPr>
      <t xml:space="preserve">) &gt; </t>
    </r>
    <r>
      <rPr>
        <sz val="11"/>
        <color rgb="FF098658"/>
        <rFont val="Consolas"/>
        <family val="3"/>
      </rPr>
      <t>3</t>
    </r>
    <r>
      <rPr>
        <sz val="11"/>
        <color rgb="FF000000"/>
        <rFont val="Consolas"/>
        <family val="3"/>
      </rPr>
      <t>)),</t>
    </r>
  </si>
  <si>
    <r>
      <t xml:space="preserve">    </t>
    </r>
    <r>
      <rPr>
        <sz val="11"/>
        <color rgb="FF0969DA"/>
        <rFont val="Consolas"/>
        <family val="3"/>
      </rPr>
      <t>r_2</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</si>
  <si>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f</t>
    </r>
    <r>
      <rPr>
        <sz val="11"/>
        <color rgb="FF000000"/>
        <rFont val="Consolas"/>
        <family val="3"/>
      </rPr>
      <t xml:space="preserve">, </t>
    </r>
    <r>
      <rPr>
        <sz val="11"/>
        <color rgb="FF098658"/>
        <rFont val="Consolas"/>
        <family val="3"/>
      </rPr>
      <t>7</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</si>
  <si>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</si>
  <si>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run</t>
    </r>
    <r>
      <rPr>
        <sz val="11"/>
        <color rgb="FF000000"/>
        <rFont val="Consolas"/>
        <family val="3"/>
      </rPr>
      <t xml:space="preserve">, </t>
    </r>
    <r>
      <rPr>
        <sz val="11"/>
        <color rgb="FF033D8B"/>
        <rFont val="Consolas"/>
        <family val="3"/>
      </rPr>
      <t>ABS</t>
    </r>
    <r>
      <rPr>
        <sz val="11"/>
        <color rgb="FF000000"/>
        <rFont val="Consolas"/>
        <family val="3"/>
      </rPr>
      <t>(</t>
    </r>
    <r>
      <rPr>
        <sz val="11"/>
        <color rgb="FF033D8B"/>
        <rFont val="Consolas"/>
        <family val="3"/>
      </rPr>
      <t>SCAN</t>
    </r>
    <r>
      <rPr>
        <sz val="11"/>
        <color rgb="FF000000"/>
        <rFont val="Consolas"/>
        <family val="3"/>
      </rPr>
      <t>(</t>
    </r>
    <r>
      <rPr>
        <sz val="11"/>
        <color rgb="FF098658"/>
        <rFont val="Consolas"/>
        <family val="3"/>
      </rPr>
      <t>0</t>
    </r>
    <r>
      <rPr>
        <sz val="11"/>
        <color rgb="FF000000"/>
        <rFont val="Consolas"/>
        <family val="3"/>
      </rPr>
      <t xml:space="preserve">, </t>
    </r>
    <r>
      <rPr>
        <sz val="11"/>
        <color rgb="FF0969DA"/>
        <rFont val="Consolas"/>
        <family val="3"/>
      </rPr>
      <t>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b</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SIGN</t>
    </r>
    <r>
      <rPr>
        <sz val="11"/>
        <color rgb="FF000000"/>
        <rFont val="Consolas"/>
        <family val="3"/>
      </rPr>
      <t>(</t>
    </r>
    <r>
      <rPr>
        <sz val="11"/>
        <color rgb="FF0969DA"/>
        <rFont val="Consolas"/>
        <family val="3"/>
      </rPr>
      <t>a</t>
    </r>
    <r>
      <rPr>
        <sz val="11"/>
        <color rgb="FF000000"/>
        <rFont val="Consolas"/>
        <family val="3"/>
      </rPr>
      <t xml:space="preserve">) = </t>
    </r>
    <r>
      <rPr>
        <sz val="11"/>
        <color rgb="FF033D8B"/>
        <rFont val="Consolas"/>
        <family val="3"/>
      </rPr>
      <t>SIGN</t>
    </r>
    <r>
      <rPr>
        <sz val="11"/>
        <color rgb="FF000000"/>
        <rFont val="Consolas"/>
        <family val="3"/>
      </rPr>
      <t>(</t>
    </r>
    <r>
      <rPr>
        <sz val="11"/>
        <color rgb="FF0969DA"/>
        <rFont val="Consolas"/>
        <family val="3"/>
      </rPr>
      <t>b</t>
    </r>
    <r>
      <rPr>
        <sz val="11"/>
        <color rgb="FF000000"/>
        <rFont val="Consolas"/>
        <family val="3"/>
      </rPr>
      <t xml:space="preserve">), </t>
    </r>
    <r>
      <rPr>
        <sz val="11"/>
        <color rgb="FF0969DA"/>
        <rFont val="Consolas"/>
        <family val="3"/>
      </rPr>
      <t>a</t>
    </r>
    <r>
      <rPr>
        <sz val="11"/>
        <color rgb="FF000000"/>
        <rFont val="Consolas"/>
        <family val="3"/>
      </rPr>
      <t xml:space="preserve"> + </t>
    </r>
    <r>
      <rPr>
        <sz val="11"/>
        <color rgb="FF0969DA"/>
        <rFont val="Consolas"/>
        <family val="3"/>
      </rPr>
      <t>b</t>
    </r>
    <r>
      <rPr>
        <sz val="11"/>
        <color rgb="FF000000"/>
        <rFont val="Consolas"/>
        <family val="3"/>
      </rPr>
      <t xml:space="preserve">, </t>
    </r>
    <r>
      <rPr>
        <sz val="11"/>
        <color rgb="FF0969DA"/>
        <rFont val="Consolas"/>
        <family val="3"/>
      </rPr>
      <t>b</t>
    </r>
    <r>
      <rPr>
        <sz val="11"/>
        <color rgb="FF000000"/>
        <rFont val="Consolas"/>
        <family val="3"/>
      </rPr>
      <t>)))),</t>
    </r>
  </si>
  <si>
    <r>
      <t>            --(</t>
    </r>
    <r>
      <rPr>
        <sz val="11"/>
        <color rgb="FF0969DA"/>
        <rFont val="Consolas"/>
        <family val="3"/>
      </rPr>
      <t>run</t>
    </r>
    <r>
      <rPr>
        <sz val="11"/>
        <color rgb="FF000000"/>
        <rFont val="Consolas"/>
        <family val="3"/>
      </rPr>
      <t xml:space="preserve"> &gt; </t>
    </r>
    <r>
      <rPr>
        <sz val="11"/>
        <color rgb="FF0969DA"/>
        <rFont val="Consolas"/>
        <family val="3"/>
      </rPr>
      <t>f</t>
    </r>
    <r>
      <rPr>
        <sz val="11"/>
        <color rgb="FF000000"/>
        <rFont val="Consolas"/>
        <family val="3"/>
      </rPr>
      <t>)</t>
    </r>
  </si>
  <si>
    <r>
      <t xml:space="preserve">    </t>
    </r>
    <r>
      <rPr>
        <sz val="11"/>
        <color rgb="FF0969DA"/>
        <rFont val="Consolas"/>
        <family val="3"/>
      </rPr>
      <t>r_3</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</si>
  <si>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diff</t>
    </r>
    <r>
      <rPr>
        <sz val="11"/>
        <color rgb="FF000000"/>
        <rFont val="Consolas"/>
        <family val="3"/>
      </rPr>
      <t xml:space="preserve">, </t>
    </r>
    <r>
      <rPr>
        <sz val="11"/>
        <color rgb="FF033D8B"/>
        <rFont val="Consolas"/>
        <family val="3"/>
      </rPr>
      <t>IFERROR</t>
    </r>
    <r>
      <rPr>
        <sz val="11"/>
        <color rgb="FF000000"/>
        <rFont val="Consolas"/>
        <family val="3"/>
      </rPr>
      <t>(</t>
    </r>
    <r>
      <rPr>
        <sz val="11"/>
        <color rgb="FF0969DA"/>
        <rFont val="Consolas"/>
        <family val="3"/>
      </rPr>
      <t>z</t>
    </r>
    <r>
      <rPr>
        <sz val="11"/>
        <color rgb="FF000000"/>
        <rFont val="Consolas"/>
        <family val="3"/>
      </rPr>
      <t xml:space="preserve"> - </t>
    </r>
    <r>
      <rPr>
        <sz val="11"/>
        <color rgb="FF033D8B"/>
        <rFont val="Consolas"/>
        <family val="3"/>
      </rPr>
      <t>DROP</t>
    </r>
    <r>
      <rPr>
        <sz val="11"/>
        <color rgb="FF000000"/>
        <rFont val="Consolas"/>
        <family val="3"/>
      </rPr>
      <t>(</t>
    </r>
    <r>
      <rPr>
        <sz val="11"/>
        <color rgb="FF033D8B"/>
        <rFont val="Consolas"/>
        <family val="3"/>
      </rPr>
      <t>VSTACK</t>
    </r>
    <r>
      <rPr>
        <sz val="11"/>
        <color rgb="FF000000"/>
        <rFont val="Consolas"/>
        <family val="3"/>
      </rPr>
      <t>(</t>
    </r>
    <r>
      <rPr>
        <sz val="11"/>
        <color rgb="FFA31515"/>
        <rFont val="Consolas"/>
        <family val="3"/>
      </rPr>
      <t>""</t>
    </r>
    <r>
      <rPr>
        <sz val="11"/>
        <color rgb="FF000000"/>
        <rFont val="Consolas"/>
        <family val="3"/>
      </rPr>
      <t xml:space="preserve">, </t>
    </r>
    <r>
      <rPr>
        <sz val="11"/>
        <color rgb="FF0969DA"/>
        <rFont val="Consolas"/>
        <family val="3"/>
      </rPr>
      <t>z</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</si>
  <si>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969DA"/>
        <rFont val="Consolas"/>
        <family val="3"/>
      </rPr>
      <t>diff</t>
    </r>
    <r>
      <rPr>
        <sz val="11"/>
        <color rgb="FF000000"/>
        <rFont val="Consolas"/>
        <family val="3"/>
      </rPr>
      <t>),</t>
    </r>
  </si>
  <si>
    <r>
      <t xml:space="preserve">            </t>
    </r>
    <r>
      <rPr>
        <sz val="11"/>
        <color rgb="FF0969DA"/>
        <rFont val="Consolas"/>
        <family val="3"/>
      </rPr>
      <t>run</t>
    </r>
    <r>
      <rPr>
        <sz val="11"/>
        <color rgb="FF000000"/>
        <rFont val="Consolas"/>
        <family val="3"/>
      </rPr>
      <t xml:space="preserve">, </t>
    </r>
    <r>
      <rPr>
        <sz val="11"/>
        <color rgb="FF033D8B"/>
        <rFont val="Consolas"/>
        <family val="3"/>
      </rPr>
      <t>ABS</t>
    </r>
    <r>
      <rPr>
        <sz val="11"/>
        <color rgb="FF000000"/>
        <rFont val="Consolas"/>
        <family val="3"/>
      </rPr>
      <t>(</t>
    </r>
    <r>
      <rPr>
        <sz val="11"/>
        <color rgb="FF033D8B"/>
        <rFont val="Consolas"/>
        <family val="3"/>
      </rPr>
      <t>SCAN</t>
    </r>
    <r>
      <rPr>
        <sz val="11"/>
        <color rgb="FF000000"/>
        <rFont val="Consolas"/>
        <family val="3"/>
      </rPr>
      <t>(</t>
    </r>
    <r>
      <rPr>
        <sz val="11"/>
        <color rgb="FF098658"/>
        <rFont val="Consolas"/>
        <family val="3"/>
      </rPr>
      <t>0</t>
    </r>
    <r>
      <rPr>
        <sz val="11"/>
        <color rgb="FF000000"/>
        <rFont val="Consolas"/>
        <family val="3"/>
      </rPr>
      <t xml:space="preserve">, </t>
    </r>
    <r>
      <rPr>
        <sz val="11"/>
        <color rgb="FF0969DA"/>
        <rFont val="Consolas"/>
        <family val="3"/>
      </rPr>
      <t>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b</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b</t>
    </r>
    <r>
      <rPr>
        <sz val="11"/>
        <color rgb="FF000000"/>
        <rFont val="Consolas"/>
        <family val="3"/>
      </rPr>
      <t xml:space="preserve"> = </t>
    </r>
    <r>
      <rPr>
        <sz val="11"/>
        <color rgb="FF098658"/>
        <rFont val="Consolas"/>
        <family val="3"/>
      </rPr>
      <t>0</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SIGN</t>
    </r>
    <r>
      <rPr>
        <sz val="11"/>
        <color rgb="FF000000"/>
        <rFont val="Consolas"/>
        <family val="3"/>
      </rPr>
      <t>(</t>
    </r>
    <r>
      <rPr>
        <sz val="11"/>
        <color rgb="FF0969DA"/>
        <rFont val="Consolas"/>
        <family val="3"/>
      </rPr>
      <t>a</t>
    </r>
    <r>
      <rPr>
        <sz val="11"/>
        <color rgb="FF000000"/>
        <rFont val="Consolas"/>
        <family val="3"/>
      </rPr>
      <t xml:space="preserve">) = </t>
    </r>
    <r>
      <rPr>
        <sz val="11"/>
        <color rgb="FF033D8B"/>
        <rFont val="Consolas"/>
        <family val="3"/>
      </rPr>
      <t>SIGN</t>
    </r>
    <r>
      <rPr>
        <sz val="11"/>
        <color rgb="FF000000"/>
        <rFont val="Consolas"/>
        <family val="3"/>
      </rPr>
      <t>(</t>
    </r>
    <r>
      <rPr>
        <sz val="11"/>
        <color rgb="FF0969DA"/>
        <rFont val="Consolas"/>
        <family val="3"/>
      </rPr>
      <t>b</t>
    </r>
    <r>
      <rPr>
        <sz val="11"/>
        <color rgb="FF000000"/>
        <rFont val="Consolas"/>
        <family val="3"/>
      </rPr>
      <t xml:space="preserve">), </t>
    </r>
    <r>
      <rPr>
        <sz val="11"/>
        <color rgb="FF0969DA"/>
        <rFont val="Consolas"/>
        <family val="3"/>
      </rPr>
      <t>a</t>
    </r>
    <r>
      <rPr>
        <sz val="11"/>
        <color rgb="FF000000"/>
        <rFont val="Consolas"/>
        <family val="3"/>
      </rPr>
      <t xml:space="preserve"> + </t>
    </r>
    <r>
      <rPr>
        <sz val="11"/>
        <color rgb="FF0969DA"/>
        <rFont val="Consolas"/>
        <family val="3"/>
      </rPr>
      <t>b</t>
    </r>
    <r>
      <rPr>
        <sz val="11"/>
        <color rgb="FF000000"/>
        <rFont val="Consolas"/>
        <family val="3"/>
      </rPr>
      <t xml:space="preserve">, </t>
    </r>
    <r>
      <rPr>
        <sz val="11"/>
        <color rgb="FF0969DA"/>
        <rFont val="Consolas"/>
        <family val="3"/>
      </rPr>
      <t>b</t>
    </r>
    <r>
      <rPr>
        <sz val="11"/>
        <color rgb="FF000000"/>
        <rFont val="Consolas"/>
        <family val="3"/>
      </rPr>
      <t>))))),</t>
    </r>
  </si>
  <si>
    <r>
      <t xml:space="preserve">    </t>
    </r>
    <r>
      <rPr>
        <sz val="11"/>
        <color rgb="FF0969DA"/>
        <rFont val="Consolas"/>
        <family val="3"/>
      </rPr>
      <t>r_4</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t>
    </r>
  </si>
  <si>
    <r>
      <t xml:space="preserve">            </t>
    </r>
    <r>
      <rPr>
        <sz val="11"/>
        <color rgb="FF0969DA"/>
        <rFont val="Consolas"/>
        <family val="3"/>
      </rPr>
      <t>s</t>
    </r>
    <r>
      <rPr>
        <sz val="11"/>
        <color rgb="FF000000"/>
        <rFont val="Consolas"/>
        <family val="3"/>
      </rPr>
      <t xml:space="preserve">, </t>
    </r>
    <r>
      <rPr>
        <sz val="11"/>
        <color rgb="FF033D8B"/>
        <rFont val="Consolas"/>
        <family val="3"/>
      </rPr>
      <t>SIGN</t>
    </r>
    <r>
      <rPr>
        <sz val="11"/>
        <color rgb="FF000000"/>
        <rFont val="Consolas"/>
        <family val="3"/>
      </rPr>
      <t>(</t>
    </r>
    <r>
      <rPr>
        <sz val="11"/>
        <color rgb="FF033D8B"/>
        <rFont val="Consolas"/>
        <family val="3"/>
      </rPr>
      <t>IF</t>
    </r>
    <r>
      <rPr>
        <sz val="11"/>
        <color rgb="FF000000"/>
        <rFont val="Consolas"/>
        <family val="3"/>
      </rPr>
      <t>(</t>
    </r>
    <r>
      <rPr>
        <sz val="11"/>
        <color rgb="FF0969DA"/>
        <rFont val="Consolas"/>
        <family val="3"/>
      </rPr>
      <t>z</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z</t>
    </r>
    <r>
      <rPr>
        <sz val="11"/>
        <color rgb="FF000000"/>
        <rFont val="Consolas"/>
        <family val="3"/>
      </rPr>
      <t xml:space="preserve"> &lt;= </t>
    </r>
    <r>
      <rPr>
        <sz val="11"/>
        <color rgb="FF098658"/>
        <rFont val="Consolas"/>
        <family val="3"/>
      </rPr>
      <t>-2</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</si>
  <si>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n</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z</t>
    </r>
    <r>
      <rPr>
        <sz val="11"/>
        <color rgb="FF000000"/>
        <rFont val="Consolas"/>
        <family val="3"/>
      </rPr>
      <t>),</t>
    </r>
  </si>
  <si>
    <r>
      <t xml:space="preserve">            </t>
    </r>
    <r>
      <rPr>
        <sz val="11"/>
        <color rgb="FF033D8B"/>
        <rFont val="Consolas"/>
        <family val="3"/>
      </rPr>
      <t>MAP</t>
    </r>
    <r>
      <rPr>
        <sz val="11"/>
        <color rgb="FF000000"/>
        <rFont val="Consolas"/>
        <family val="3"/>
      </rPr>
      <t>(</t>
    </r>
  </si>
  <si>
    <r>
      <t xml:space="preserve">                </t>
    </r>
    <r>
      <rPr>
        <sz val="11"/>
        <color rgb="FF033D8B"/>
        <rFont val="Consolas"/>
        <family val="3"/>
      </rPr>
      <t>SEQUENCE</t>
    </r>
    <r>
      <rPr>
        <sz val="11"/>
        <color rgb="FF000000"/>
        <rFont val="Consolas"/>
        <family val="3"/>
      </rPr>
      <t>(</t>
    </r>
    <r>
      <rPr>
        <sz val="11"/>
        <color rgb="FF0969DA"/>
        <rFont val="Consolas"/>
        <family val="3"/>
      </rPr>
      <t>n</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</si>
  <si>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</si>
  <si>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</si>
  <si>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win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r</t>
    </r>
    <r>
      <rPr>
        <sz val="11"/>
        <color rgb="FF000000"/>
        <rFont val="Consolas"/>
        <family val="3"/>
      </rPr>
      <t xml:space="preserve"> &lt; </t>
    </r>
    <r>
      <rPr>
        <sz val="11"/>
        <color rgb="FF098658"/>
        <rFont val="Consolas"/>
        <family val="3"/>
      </rPr>
      <t>3</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s</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s</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8658"/>
        <rFont val="Consolas"/>
        <family val="3"/>
      </rPr>
      <t>-3</t>
    </r>
    <r>
      <rPr>
        <sz val="11"/>
        <color rgb="FF000000"/>
        <rFont val="Consolas"/>
        <family val="3"/>
      </rPr>
      <t>)),</t>
    </r>
  </si>
  <si>
    <r>
      <t xml:space="preserve">                        </t>
    </r>
    <r>
      <rPr>
        <sz val="11"/>
        <color rgb="FF0969DA"/>
        <rFont val="Consolas"/>
        <family val="3"/>
      </rPr>
      <t>lo</t>
    </r>
    <r>
      <rPr>
        <sz val="11"/>
        <color rgb="FF000000"/>
        <rFont val="Consolas"/>
        <family val="3"/>
      </rPr>
      <t xml:space="preserve">, </t>
    </r>
    <r>
      <rPr>
        <sz val="11"/>
        <color rgb="FF033D8B"/>
        <rFont val="Consolas"/>
        <family val="3"/>
      </rPr>
      <t>COUNT</t>
    </r>
    <r>
      <rPr>
        <sz val="11"/>
        <color rgb="FF000000"/>
        <rFont val="Consolas"/>
        <family val="3"/>
      </rPr>
      <t>(</t>
    </r>
    <r>
      <rPr>
        <sz val="11"/>
        <color rgb="FF033D8B"/>
        <rFont val="Consolas"/>
        <family val="3"/>
      </rPr>
      <t>FILTER</t>
    </r>
    <r>
      <rPr>
        <sz val="11"/>
        <color rgb="FF000000"/>
        <rFont val="Consolas"/>
        <family val="3"/>
      </rPr>
      <t>(</t>
    </r>
    <r>
      <rPr>
        <sz val="11"/>
        <color rgb="FF0969DA"/>
        <rFont val="Consolas"/>
        <family val="3"/>
      </rPr>
      <t>win</t>
    </r>
    <r>
      <rPr>
        <sz val="11"/>
        <color rgb="FF000000"/>
        <rFont val="Consolas"/>
        <family val="3"/>
      </rPr>
      <t xml:space="preserve">, </t>
    </r>
    <r>
      <rPr>
        <sz val="11"/>
        <color rgb="FF0969DA"/>
        <rFont val="Consolas"/>
        <family val="3"/>
      </rPr>
      <t>win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</si>
  <si>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hi</t>
    </r>
    <r>
      <rPr>
        <sz val="11"/>
        <color rgb="FF000000"/>
        <rFont val="Consolas"/>
        <family val="3"/>
      </rPr>
      <t xml:space="preserve">, </t>
    </r>
    <r>
      <rPr>
        <sz val="11"/>
        <color rgb="FF033D8B"/>
        <rFont val="Consolas"/>
        <family val="3"/>
      </rPr>
      <t>COUNT</t>
    </r>
    <r>
      <rPr>
        <sz val="11"/>
        <color rgb="FF000000"/>
        <rFont val="Consolas"/>
        <family val="3"/>
      </rPr>
      <t>(</t>
    </r>
    <r>
      <rPr>
        <sz val="11"/>
        <color rgb="FF033D8B"/>
        <rFont val="Consolas"/>
        <family val="3"/>
      </rPr>
      <t>FILTER</t>
    </r>
    <r>
      <rPr>
        <sz val="11"/>
        <color rgb="FF000000"/>
        <rFont val="Consolas"/>
        <family val="3"/>
      </rPr>
      <t>(</t>
    </r>
    <r>
      <rPr>
        <sz val="11"/>
        <color rgb="FF0969DA"/>
        <rFont val="Consolas"/>
        <family val="3"/>
      </rPr>
      <t>win</t>
    </r>
    <r>
      <rPr>
        <sz val="11"/>
        <color rgb="FF000000"/>
        <rFont val="Consolas"/>
        <family val="3"/>
      </rPr>
      <t xml:space="preserve">, </t>
    </r>
    <r>
      <rPr>
        <sz val="11"/>
        <color rgb="FF0969DA"/>
        <rFont val="Consolas"/>
        <family val="3"/>
      </rPr>
      <t>win</t>
    </r>
    <r>
      <rPr>
        <sz val="11"/>
        <color rgb="FF000000"/>
        <rFont val="Consolas"/>
        <family val="3"/>
      </rPr>
      <t xml:space="preserve"> = </t>
    </r>
    <r>
      <rPr>
        <sz val="11"/>
        <color rgb="FF098658"/>
        <rFont val="Consolas"/>
        <family val="3"/>
      </rPr>
      <t>1</t>
    </r>
    <r>
      <rPr>
        <sz val="11"/>
        <color rgb="FF000000"/>
        <rFont val="Consolas"/>
        <family val="3"/>
      </rPr>
      <t>)),</t>
    </r>
  </si>
  <si>
    <r>
      <t>                        --(</t>
    </r>
    <r>
      <rPr>
        <sz val="11"/>
        <color rgb="FF033D8B"/>
        <rFont val="Consolas"/>
        <family val="3"/>
      </rPr>
      <t>OR</t>
    </r>
    <r>
      <rPr>
        <sz val="11"/>
        <color rgb="FF000000"/>
        <rFont val="Consolas"/>
        <family val="3"/>
      </rPr>
      <t>(</t>
    </r>
    <r>
      <rPr>
        <sz val="11"/>
        <color rgb="FF0969DA"/>
        <rFont val="Consolas"/>
        <family val="3"/>
      </rPr>
      <t>lo</t>
    </r>
    <r>
      <rPr>
        <sz val="11"/>
        <color rgb="FF000000"/>
        <rFont val="Consolas"/>
        <family val="3"/>
      </rPr>
      <t xml:space="preserve"> &gt;= </t>
    </r>
    <r>
      <rPr>
        <sz val="11"/>
        <color rgb="FF098658"/>
        <rFont val="Consolas"/>
        <family val="3"/>
      </rPr>
      <t>2</t>
    </r>
    <r>
      <rPr>
        <sz val="11"/>
        <color rgb="FF000000"/>
        <rFont val="Consolas"/>
        <family val="3"/>
      </rPr>
      <t xml:space="preserve">, </t>
    </r>
    <r>
      <rPr>
        <sz val="11"/>
        <color rgb="FF0969DA"/>
        <rFont val="Consolas"/>
        <family val="3"/>
      </rPr>
      <t>hi</t>
    </r>
    <r>
      <rPr>
        <sz val="11"/>
        <color rgb="FF000000"/>
        <rFont val="Consolas"/>
        <family val="3"/>
      </rPr>
      <t xml:space="preserve"> &gt;= </t>
    </r>
    <r>
      <rPr>
        <sz val="11"/>
        <color rgb="FF098658"/>
        <rFont val="Consolas"/>
        <family val="3"/>
      </rPr>
      <t>2</t>
    </r>
    <r>
      <rPr>
        <sz val="11"/>
        <color rgb="FF000000"/>
        <rFont val="Consolas"/>
        <family val="3"/>
      </rPr>
      <t>))</t>
    </r>
  </si>
  <si>
    <r>
      <t xml:space="preserve">    </t>
    </r>
    <r>
      <rPr>
        <sz val="11"/>
        <color rgb="FF0969DA"/>
        <rFont val="Consolas"/>
        <family val="3"/>
      </rPr>
      <t>x_has</t>
    </r>
    <r>
      <rPr>
        <sz val="11"/>
        <color rgb="FF000000"/>
        <rFont val="Consolas"/>
        <family val="3"/>
      </rPr>
      <t xml:space="preserve">, </t>
    </r>
    <r>
      <rPr>
        <sz val="11"/>
        <color rgb="FF033D8B"/>
        <rFont val="Consolas"/>
        <family val="3"/>
      </rPr>
      <t>NOT</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x</t>
    </r>
    <r>
      <rPr>
        <sz val="11"/>
        <color rgb="FF000000"/>
        <rFont val="Consolas"/>
        <family val="3"/>
      </rPr>
      <t>)),</t>
    </r>
  </si>
  <si>
    <r>
      <t xml:space="preserve">    </t>
    </r>
    <r>
      <rPr>
        <sz val="11"/>
        <color rgb="FF0969DA"/>
        <rFont val="Consolas"/>
        <family val="3"/>
      </rPr>
      <t>y_ma</t>
    </r>
    <r>
      <rPr>
        <sz val="11"/>
        <color rgb="FF000000"/>
        <rFont val="Consolas"/>
        <family val="3"/>
      </rPr>
      <t xml:space="preserve">, </t>
    </r>
    <r>
      <rPr>
        <sz val="11"/>
        <color rgb="FF033D8B"/>
        <rFont val="Consolas"/>
        <family val="3"/>
      </rPr>
      <t>SWITCH</t>
    </r>
    <r>
      <rPr>
        <sz val="11"/>
        <color rgb="FF000000"/>
        <rFont val="Consolas"/>
        <family val="3"/>
      </rPr>
      <t>(</t>
    </r>
  </si>
  <si>
    <r>
      <t xml:space="preserve">        </t>
    </r>
    <r>
      <rPr>
        <sz val="11"/>
        <color rgb="FF0969DA"/>
        <rFont val="Consolas"/>
        <family val="3"/>
      </rPr>
      <t>a_mode</t>
    </r>
    <r>
      <rPr>
        <sz val="11"/>
        <color rgb="FF000000"/>
        <rFont val="Consolas"/>
        <family val="3"/>
      </rPr>
      <t>,</t>
    </r>
  </si>
  <si>
    <r>
      <t xml:space="preserve">        </t>
    </r>
    <r>
      <rPr>
        <sz val="11"/>
        <color rgb="FFA31515"/>
        <rFont val="Consolas"/>
        <family val="3"/>
      </rPr>
      <t>"avg"</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AVERAGE</t>
    </r>
    <r>
      <rPr>
        <sz val="11"/>
        <color rgb="FF000000"/>
        <rFont val="Consolas"/>
        <family val="3"/>
      </rPr>
      <t>(</t>
    </r>
    <r>
      <rPr>
        <sz val="11"/>
        <color rgb="FF0969DA"/>
        <rFont val="Consolas"/>
        <family val="3"/>
      </rPr>
      <t>y</t>
    </r>
    <r>
      <rPr>
        <sz val="11"/>
        <color rgb="FF000000"/>
        <rFont val="Consolas"/>
        <family val="3"/>
      </rPr>
      <t>))),</t>
    </r>
  </si>
  <si>
    <r>
      <t xml:space="preserve">        </t>
    </r>
    <r>
      <rPr>
        <sz val="11"/>
        <color rgb="FFA31515"/>
        <rFont val="Consolas"/>
        <family val="3"/>
      </rPr>
      <t>"cma"</t>
    </r>
    <r>
      <rPr>
        <sz val="11"/>
        <color rgb="FF000000"/>
        <rFont val="Consolas"/>
        <family val="3"/>
      </rP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969DA"/>
        <rFont val="Consolas"/>
        <family val="3"/>
      </rPr>
      <t>cumavg</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</si>
  <si>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A31515"/>
        <rFont val="Consolas"/>
        <family val="3"/>
      </rPr>
      <t>"sma"</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sma</t>
    </r>
    <r>
      <rPr>
        <sz val="11"/>
        <color rgb="FF000000"/>
        <rFont val="Consolas"/>
        <family val="3"/>
      </rPr>
      <t>),</t>
    </r>
  </si>
  <si>
    <r>
      <t xml:space="preserve">        </t>
    </r>
    <r>
      <rPr>
        <sz val="11"/>
        <color rgb="FFA31515"/>
        <rFont val="Consolas"/>
        <family val="3"/>
      </rPr>
      <t>"wma"</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wma</t>
    </r>
    <r>
      <rPr>
        <sz val="11"/>
        <color rgb="FF000000"/>
        <rFont val="Consolas"/>
        <family val="3"/>
      </rPr>
      <t>),</t>
    </r>
  </si>
  <si>
    <r>
      <t xml:space="preserve">        </t>
    </r>
    <r>
      <rPr>
        <sz val="11"/>
        <color rgb="FFA31515"/>
        <rFont val="Consolas"/>
        <family val="3"/>
      </rPr>
      <t>"trim"</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trimavg</t>
    </r>
    <r>
      <rPr>
        <sz val="11"/>
        <color rgb="FF000000"/>
        <rFont val="Consolas"/>
        <family val="3"/>
      </rPr>
      <t>(</t>
    </r>
    <r>
      <rPr>
        <sz val="11"/>
        <color rgb="FF0969DA"/>
        <rFont val="Consolas"/>
        <family val="3"/>
      </rPr>
      <t>a</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 xml:space="preserve">, </t>
    </r>
    <r>
      <rPr>
        <sz val="11"/>
        <color rgb="FF0969DA"/>
        <rFont val="Consolas"/>
        <family val="3"/>
      </rPr>
      <t>trim_in</t>
    </r>
    <r>
      <rPr>
        <sz val="11"/>
        <color rgb="FF000000"/>
        <rFont val="Consolas"/>
        <family val="3"/>
      </rPr>
      <t>))),</t>
    </r>
  </si>
  <si>
    <r>
      <t xml:space="preserve">        </t>
    </r>
    <r>
      <rPr>
        <sz val="11"/>
        <color rgb="FFA31515"/>
        <rFont val="Consolas"/>
        <family val="3"/>
      </rPr>
      <t>"med"</t>
    </r>
    <r>
      <rPr>
        <sz val="11"/>
        <color rgb="FF000000"/>
        <rFont val="Consolas"/>
        <family val="3"/>
      </rPr>
      <t xml:space="preserve">, </t>
    </r>
    <r>
      <rPr>
        <sz val="11"/>
        <color rgb="FF0969DA"/>
        <rFont val="Consolas"/>
        <family val="3"/>
      </rPr>
      <t>mseries</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 xml:space="preserve">, </t>
    </r>
    <r>
      <rPr>
        <sz val="11"/>
        <color rgb="FF0969DA"/>
        <rFont val="Consolas"/>
        <family val="3"/>
      </rPr>
      <t>cumavg</t>
    </r>
    <r>
      <rPr>
        <sz val="11"/>
        <color rgb="FF000000"/>
        <rFont val="Consolas"/>
        <family val="3"/>
      </rPr>
      <t xml:space="preserve">, </t>
    </r>
    <r>
      <rPr>
        <sz val="11"/>
        <color rgb="FF0969DA"/>
        <rFont val="Consolas"/>
        <family val="3"/>
      </rPr>
      <t>medroll</t>
    </r>
    <r>
      <rPr>
        <sz val="11"/>
        <color rgb="FF000000"/>
        <rFont val="Consolas"/>
        <family val="3"/>
      </rPr>
      <t>),</t>
    </r>
  </si>
  <si>
    <r>
      <t xml:space="preserve">        </t>
    </r>
    <r>
      <rPr>
        <sz val="11"/>
        <color rgb="FFA31515"/>
        <rFont val="Consolas"/>
        <family val="3"/>
      </rPr>
      <t>"ema"</t>
    </r>
    <r>
      <rPr>
        <sz val="11"/>
        <color rgb="FF000000"/>
        <rFont val="Consolas"/>
        <family val="3"/>
      </rPr>
      <t xml:space="preserve">, </t>
    </r>
    <r>
      <rPr>
        <sz val="11"/>
        <color rgb="FF0969DA"/>
        <rFont val="Consolas"/>
        <family val="3"/>
      </rPr>
      <t>ema</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p_in</t>
    </r>
    <r>
      <rPr>
        <sz val="11"/>
        <color rgb="FF000000"/>
        <rFont val="Consolas"/>
        <family val="3"/>
      </rPr>
      <t>),</t>
    </r>
  </si>
  <si>
    <r>
      <t xml:space="preserve">        </t>
    </r>
    <r>
      <rPr>
        <sz val="11"/>
        <color rgb="FFA31515"/>
        <rFont val="Consolas"/>
        <family val="3"/>
      </rPr>
      <t>"emal"</t>
    </r>
    <r>
      <rPr>
        <sz val="11"/>
        <color rgb="FF000000"/>
        <rFont val="Consolas"/>
        <family val="3"/>
      </rPr>
      <t xml:space="preserve">, </t>
    </r>
    <r>
      <rPr>
        <sz val="11"/>
        <color rgb="FF0969DA"/>
        <rFont val="Consolas"/>
        <family val="3"/>
      </rPr>
      <t>emal</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lambda_in</t>
    </r>
    <r>
      <rPr>
        <sz val="11"/>
        <color rgb="FF000000"/>
        <rFont val="Consolas"/>
        <family val="3"/>
      </rPr>
      <t>)</t>
    </r>
  </si>
  <si>
    <r>
      <t xml:space="preserve">    </t>
    </r>
    <r>
      <rPr>
        <sz val="11"/>
        <color rgb="FF0969DA"/>
        <rFont val="Consolas"/>
        <family val="3"/>
      </rPr>
      <t>y_sd2</t>
    </r>
    <r>
      <rPr>
        <sz val="11"/>
        <color rgb="FF000000"/>
        <rFont val="Consolas"/>
        <family val="3"/>
      </rPr>
      <t xml:space="preserve">, </t>
    </r>
    <r>
      <rPr>
        <sz val="11"/>
        <color rgb="FF0969DA"/>
        <rFont val="Consolas"/>
        <family val="3"/>
      </rPr>
      <t>rollstd</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y_ma</t>
    </r>
    <r>
      <rPr>
        <sz val="11"/>
        <color rgb="FF000000"/>
        <rFont val="Consolas"/>
        <family val="3"/>
      </rPr>
      <t xml:space="preserve">, </t>
    </r>
    <r>
      <rPr>
        <sz val="11"/>
        <color rgb="FF0969DA"/>
        <rFont val="Consolas"/>
        <family val="3"/>
      </rPr>
      <t>p_std</t>
    </r>
    <r>
      <rPr>
        <sz val="11"/>
        <color rgb="FF000000"/>
        <rFont val="Consolas"/>
        <family val="3"/>
      </rPr>
      <t xml:space="preserve">, </t>
    </r>
    <r>
      <rPr>
        <sz val="11"/>
        <color rgb="FF0969DA"/>
        <rFont val="Consolas"/>
        <family val="3"/>
      </rPr>
      <t>a_mode</t>
    </r>
    <r>
      <rPr>
        <sz val="11"/>
        <color rgb="FF000000"/>
        <rFont val="Consolas"/>
        <family val="3"/>
      </rPr>
      <t>),</t>
    </r>
  </si>
  <si>
    <r>
      <t xml:space="preserve">    </t>
    </r>
    <r>
      <rPr>
        <sz val="11"/>
        <color rgb="FF0969DA"/>
        <rFont val="Consolas"/>
        <family val="3"/>
      </rPr>
      <t>y_sd</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</si>
  <si>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a_mode</t>
    </r>
    <r>
      <rPr>
        <sz val="11"/>
        <color rgb="FF000000"/>
        <rFont val="Consolas"/>
        <family val="3"/>
      </rPr>
      <t xml:space="preserve"> = </t>
    </r>
    <r>
      <rPr>
        <sz val="11"/>
        <color rgb="FFA31515"/>
        <rFont val="Consolas"/>
        <family val="3"/>
      </rPr>
      <t>"avg"</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</si>
  <si>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STDEV.S</t>
    </r>
    <r>
      <rPr>
        <sz val="11"/>
        <color rgb="FF000000"/>
        <rFont val="Consolas"/>
        <family val="3"/>
      </rPr>
      <t>(</t>
    </r>
    <r>
      <rPr>
        <sz val="11"/>
        <color rgb="FF0969DA"/>
        <rFont val="Consolas"/>
        <family val="3"/>
      </rPr>
      <t>y</t>
    </r>
    <r>
      <rPr>
        <sz val="11"/>
        <color rgb="FF000000"/>
        <rFont val="Consolas"/>
        <family val="3"/>
      </rPr>
      <t>))),</t>
    </r>
  </si>
  <si>
    <r>
      <t xml:space="preserve">        </t>
    </r>
    <r>
      <rPr>
        <sz val="11"/>
        <color rgb="FF0969DA"/>
        <rFont val="Consolas"/>
        <family val="3"/>
      </rPr>
      <t>rollstd</t>
    </r>
    <r>
      <rPr>
        <sz val="11"/>
        <color rgb="FF000000"/>
        <rFont val="Consolas"/>
        <family val="3"/>
      </rPr>
      <t>(</t>
    </r>
    <r>
      <rPr>
        <sz val="11"/>
        <color rgb="FF0969DA"/>
        <rFont val="Consolas"/>
        <family val="3"/>
      </rPr>
      <t>y</t>
    </r>
    <r>
      <rPr>
        <sz val="11"/>
        <color rgb="FF000000"/>
        <rFont val="Consolas"/>
        <family val="3"/>
      </rPr>
      <t xml:space="preserve">, </t>
    </r>
    <r>
      <rPr>
        <sz val="11"/>
        <color rgb="FF0969DA"/>
        <rFont val="Consolas"/>
        <family val="3"/>
      </rPr>
      <t>y_ma</t>
    </r>
    <r>
      <rPr>
        <sz val="11"/>
        <color rgb="FF000000"/>
        <rFont val="Consolas"/>
        <family val="3"/>
      </rPr>
      <t xml:space="preserve">, </t>
    </r>
    <r>
      <rPr>
        <sz val="11"/>
        <color rgb="FF0969DA"/>
        <rFont val="Consolas"/>
        <family val="3"/>
      </rPr>
      <t>p_std</t>
    </r>
    <r>
      <rPr>
        <sz val="11"/>
        <color rgb="FF000000"/>
        <rFont val="Consolas"/>
        <family val="3"/>
      </rPr>
      <t xml:space="preserve">, </t>
    </r>
    <r>
      <rPr>
        <sz val="11"/>
        <color rgb="FF0969DA"/>
        <rFont val="Consolas"/>
        <family val="3"/>
      </rPr>
      <t>a_mode</t>
    </r>
    <r>
      <rPr>
        <sz val="11"/>
        <color rgb="FF000000"/>
        <rFont val="Consolas"/>
        <family val="3"/>
      </rPr>
      <t>)</t>
    </r>
  </si>
  <si>
    <r>
      <t xml:space="preserve">    </t>
    </r>
    <r>
      <rPr>
        <sz val="11"/>
        <color rgb="FF0969DA"/>
        <rFont val="Consolas"/>
        <family val="3"/>
      </rPr>
      <t>z</t>
    </r>
    <r>
      <rPr>
        <sz val="11"/>
        <color rgb="FF000000"/>
        <rFont val="Consolas"/>
        <family val="3"/>
      </rPr>
      <t xml:space="preserve">, </t>
    </r>
    <r>
      <rPr>
        <sz val="11"/>
        <color rgb="FF033D8B"/>
        <rFont val="Consolas"/>
        <family val="3"/>
      </rPr>
      <t>IFERROR</t>
    </r>
    <r>
      <rPr>
        <sz val="11"/>
        <color rgb="FF000000"/>
        <rFont val="Consolas"/>
        <family val="3"/>
      </rPr>
      <t>((</t>
    </r>
    <r>
      <rPr>
        <sz val="11"/>
        <color rgb="FF0969DA"/>
        <rFont val="Consolas"/>
        <family val="3"/>
      </rPr>
      <t>y</t>
    </r>
    <r>
      <rPr>
        <sz val="11"/>
        <color rgb="FF000000"/>
        <rFont val="Consolas"/>
        <family val="3"/>
      </rPr>
      <t xml:space="preserve"> - </t>
    </r>
    <r>
      <rPr>
        <sz val="11"/>
        <color rgb="FF0969DA"/>
        <rFont val="Consolas"/>
        <family val="3"/>
      </rPr>
      <t>y_ma</t>
    </r>
    <r>
      <rPr>
        <sz val="11"/>
        <color rgb="FF000000"/>
        <rFont val="Consolas"/>
        <family val="3"/>
      </rPr>
      <t xml:space="preserve">) / </t>
    </r>
    <r>
      <rPr>
        <sz val="11"/>
        <color rgb="FF0969DA"/>
        <rFont val="Consolas"/>
        <family val="3"/>
      </rPr>
      <t>y_sd</t>
    </r>
    <r>
      <rPr>
        <sz val="11"/>
        <color rgb="FF000000"/>
        <rFont val="Consolas"/>
        <family val="3"/>
      </rPr>
      <t xml:space="preserve">, </t>
    </r>
    <r>
      <rPr>
        <sz val="11"/>
        <color rgb="FF033D8B"/>
        <rFont val="Consolas"/>
        <family val="3"/>
      </rPr>
      <t>NA</t>
    </r>
    <r>
      <rPr>
        <sz val="11"/>
        <color rgb="FF000000"/>
        <rFont val="Consolas"/>
        <family val="3"/>
      </rPr>
      <t>()),</t>
    </r>
  </si>
  <si>
    <r>
      <t xml:space="preserve">    </t>
    </r>
    <r>
      <rPr>
        <sz val="11"/>
        <color rgb="FF0969DA"/>
        <rFont val="Consolas"/>
        <family val="3"/>
      </rPr>
      <t>z_r</t>
    </r>
    <r>
      <rPr>
        <sz val="11"/>
        <color rgb="FF000000"/>
        <rFont val="Consolas"/>
        <family val="3"/>
      </rPr>
      <t xml:space="preserve">, </t>
    </r>
    <r>
      <rPr>
        <sz val="11"/>
        <color rgb="FF033D8B"/>
        <rFont val="Consolas"/>
        <family val="3"/>
      </rPr>
      <t>IFNA</t>
    </r>
    <r>
      <rPr>
        <sz val="11"/>
        <color rgb="FF000000"/>
        <rFont val="Consolas"/>
        <family val="3"/>
      </rPr>
      <t>(</t>
    </r>
    <r>
      <rPr>
        <sz val="11"/>
        <color rgb="FF0969DA"/>
        <rFont val="Consolas"/>
        <family val="3"/>
      </rPr>
      <t>z</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</si>
  <si>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ctrl_name</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ctrl_in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</si>
  <si>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ctrl_mult</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ctrl_in</t>
    </r>
    <r>
      <rPr>
        <sz val="11"/>
        <color rgb="FF000000"/>
        <rFont val="Consolas"/>
        <family val="3"/>
      </rPr>
      <t xml:space="preserve">, , </t>
    </r>
    <r>
      <rPr>
        <sz val="11"/>
        <color rgb="FF098658"/>
        <rFont val="Consolas"/>
        <family val="3"/>
      </rPr>
      <t>-1</t>
    </r>
    <r>
      <rPr>
        <sz val="11"/>
        <color rgb="FF000000"/>
        <rFont val="Consolas"/>
        <family val="3"/>
      </rPr>
      <t>),</t>
    </r>
  </si>
  <si>
    <r>
      <t xml:space="preserve">    </t>
    </r>
    <r>
      <rPr>
        <sz val="11"/>
        <color rgb="FF0969DA"/>
        <rFont val="Consolas"/>
        <family val="3"/>
      </rPr>
      <t>ctrl_out</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</si>
  <si>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outmode</t>
    </r>
    <r>
      <rPr>
        <sz val="11"/>
        <color rgb="FF000000"/>
        <rFont val="Consolas"/>
        <family val="3"/>
      </rPr>
      <t xml:space="preserve"> = </t>
    </r>
    <r>
      <rPr>
        <sz val="11"/>
        <color rgb="FFA31515"/>
        <rFont val="Consolas"/>
        <family val="3"/>
      </rPr>
      <t>"zscore"</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</si>
  <si>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 xml:space="preserve">), </t>
    </r>
    <r>
      <rPr>
        <sz val="11"/>
        <color rgb="FF033D8B"/>
        <rFont val="Consolas"/>
        <family val="3"/>
      </rPr>
      <t>ROWS</t>
    </r>
    <r>
      <rPr>
        <sz val="11"/>
        <color rgb="FF000000"/>
        <rFont val="Consolas"/>
        <family val="3"/>
      </rPr>
      <t>(</t>
    </r>
    <r>
      <rPr>
        <sz val="11"/>
        <color rgb="FF0969DA"/>
        <rFont val="Consolas"/>
        <family val="3"/>
      </rPr>
      <t>ctrl_mult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ctrl_mult</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</si>
  <si>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</si>
  <si>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ctrl_mult</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</si>
  <si>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y_ma</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33D8B"/>
        <rFont val="Consolas"/>
        <family val="3"/>
      </rPr>
      <t>INDEX</t>
    </r>
    <r>
      <rPr>
        <sz val="11"/>
        <color rgb="FF000000"/>
        <rFont val="Consolas"/>
        <family val="3"/>
      </rPr>
      <t>(</t>
    </r>
    <r>
      <rPr>
        <sz val="11"/>
        <color rgb="FF0969DA"/>
        <rFont val="Consolas"/>
        <family val="3"/>
      </rPr>
      <t>y_sd</t>
    </r>
    <r>
      <rPr>
        <sz val="11"/>
        <color rgb="FF000000"/>
        <rFont val="Consolas"/>
        <family val="3"/>
      </rPr>
      <t xml:space="preserve">, </t>
    </r>
    <r>
      <rPr>
        <sz val="11"/>
        <color rgb="FF0969DA"/>
        <rFont val="Consolas"/>
        <family val="3"/>
      </rPr>
      <t>r</t>
    </r>
    <r>
      <rPr>
        <sz val="11"/>
        <color rgb="FF000000"/>
        <rFont val="Consolas"/>
        <family val="3"/>
      </rPr>
      <t xml:space="preserve">) * </t>
    </r>
    <r>
      <rPr>
        <sz val="11"/>
        <color rgb="FF033D8B"/>
        <rFont val="Consolas"/>
        <family val="3"/>
      </rPr>
      <t>INDEX</t>
    </r>
    <r>
      <rPr>
        <sz val="11"/>
        <color rgb="FF000000"/>
        <rFont val="Consolas"/>
        <family val="3"/>
      </rPr>
      <t>(</t>
    </r>
    <r>
      <rPr>
        <sz val="11"/>
        <color rgb="FF0969DA"/>
        <rFont val="Consolas"/>
        <family val="3"/>
      </rPr>
      <t>ctrl_mult</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</si>
  <si>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0969DA"/>
        <rFont val="Consolas"/>
        <family val="3"/>
      </rPr>
      <t>rules_mat</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r_1</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r_2</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r_3</t>
    </r>
    <r>
      <rPr>
        <sz val="11"/>
        <color rgb="FF000000"/>
        <rFont val="Consolas"/>
        <family val="3"/>
      </rPr>
      <t>(</t>
    </r>
    <r>
      <rPr>
        <sz val="11"/>
        <color rgb="FF0969DA"/>
        <rFont val="Consolas"/>
        <family val="3"/>
      </rPr>
      <t>z_r</t>
    </r>
    <r>
      <rPr>
        <sz val="11"/>
        <color rgb="FF000000"/>
        <rFont val="Consolas"/>
        <family val="3"/>
      </rPr>
      <t xml:space="preserve">), </t>
    </r>
    <r>
      <rPr>
        <sz val="11"/>
        <color rgb="FF0969DA"/>
        <rFont val="Consolas"/>
        <family val="3"/>
      </rPr>
      <t>r_4</t>
    </r>
    <r>
      <rPr>
        <sz val="11"/>
        <color rgb="FF000000"/>
        <rFont val="Consolas"/>
        <family val="3"/>
      </rPr>
      <t>(</t>
    </r>
    <r>
      <rPr>
        <sz val="11"/>
        <color rgb="FF0969DA"/>
        <rFont val="Consolas"/>
        <family val="3"/>
      </rPr>
      <t>z_r</t>
    </r>
    <r>
      <rPr>
        <sz val="11"/>
        <color rgb="FF000000"/>
        <rFont val="Consolas"/>
        <family val="3"/>
      </rPr>
      <t>)),</t>
    </r>
  </si>
  <si>
    <r>
      <t xml:space="preserve">    </t>
    </r>
    <r>
      <rPr>
        <sz val="11"/>
        <color rgb="FF0969DA"/>
        <rFont val="Consolas"/>
        <family val="3"/>
      </rPr>
      <t>h_rules</t>
    </r>
    <r>
      <rPr>
        <sz val="11"/>
        <color rgb="FF000000"/>
        <rFont val="Consolas"/>
        <family val="3"/>
      </rPr>
      <t>, {</t>
    </r>
    <r>
      <rPr>
        <sz val="11"/>
        <color rgb="FFA31515"/>
        <rFont val="Consolas"/>
        <family val="3"/>
      </rPr>
      <t>"3σ"</t>
    </r>
    <r>
      <rPr>
        <sz val="11"/>
        <color rgb="FF000000"/>
        <rFont val="Consolas"/>
        <family val="3"/>
      </rPr>
      <t xml:space="preserve">, </t>
    </r>
    <r>
      <rPr>
        <sz val="11"/>
        <color rgb="FFA31515"/>
        <rFont val="Consolas"/>
        <family val="3"/>
      </rPr>
      <t>"Run7"</t>
    </r>
    <r>
      <rPr>
        <sz val="11"/>
        <color rgb="FF000000"/>
        <rFont val="Consolas"/>
        <family val="3"/>
      </rPr>
      <t xml:space="preserve">, </t>
    </r>
    <r>
      <rPr>
        <sz val="11"/>
        <color rgb="FFA31515"/>
        <rFont val="Consolas"/>
        <family val="3"/>
      </rPr>
      <t>"Trd7"</t>
    </r>
    <r>
      <rPr>
        <sz val="11"/>
        <color rgb="FF000000"/>
        <rFont val="Consolas"/>
        <family val="3"/>
      </rPr>
      <t xml:space="preserve">, </t>
    </r>
    <r>
      <rPr>
        <sz val="11"/>
        <color rgb="FFA31515"/>
        <rFont val="Consolas"/>
        <family val="3"/>
      </rPr>
      <t>"2σ2"</t>
    </r>
    <r>
      <rPr>
        <sz val="11"/>
        <color rgb="FF000000"/>
        <rFont val="Consolas"/>
        <family val="3"/>
      </rPr>
      <t>},</t>
    </r>
  </si>
  <si>
    <r>
      <t xml:space="preserve">    </t>
    </r>
    <r>
      <rPr>
        <sz val="11"/>
        <color rgb="FF0969DA"/>
        <rFont val="Consolas"/>
        <family val="3"/>
      </rPr>
      <t>h_ctrl</t>
    </r>
    <r>
      <rPr>
        <sz val="11"/>
        <color rgb="FF000000"/>
        <rFont val="Consolas"/>
        <family val="3"/>
      </rPr>
      <t xml:space="preserve">, </t>
    </r>
    <r>
      <rPr>
        <sz val="11"/>
        <color rgb="FF033D8B"/>
        <rFont val="Consolas"/>
        <family val="3"/>
      </rPr>
      <t>TOROW</t>
    </r>
    <r>
      <rPr>
        <sz val="11"/>
        <color rgb="FF000000"/>
        <rFont val="Consolas"/>
        <family val="3"/>
      </rPr>
      <t>(</t>
    </r>
    <r>
      <rPr>
        <sz val="11"/>
        <color rgb="FF0969DA"/>
        <rFont val="Consolas"/>
        <family val="3"/>
      </rPr>
      <t>ctrl_name</t>
    </r>
    <r>
      <rPr>
        <sz val="11"/>
        <color rgb="FF000000"/>
        <rFont val="Consolas"/>
        <family val="3"/>
      </rPr>
      <t>),</t>
    </r>
  </si>
  <si>
    <r>
      <t xml:space="preserve">    </t>
    </r>
    <r>
      <rPr>
        <sz val="11"/>
        <color rgb="FF0969DA"/>
        <rFont val="Consolas"/>
        <family val="3"/>
      </rPr>
      <t>build_hdr</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firstcol</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</si>
  <si>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base</t>
    </r>
    <r>
      <rPr>
        <sz val="11"/>
        <color rgb="FF000000"/>
        <rFont val="Consolas"/>
        <family val="3"/>
      </rPr>
      <t xml:space="preserve">, </t>
    </r>
    <r>
      <rPr>
        <sz val="11"/>
        <color rgb="FF033D8B"/>
        <rFont val="Consolas"/>
        <family val="3"/>
      </rPr>
      <t>IF</t>
    </r>
    <r>
      <rPr>
        <sz val="11"/>
        <color rgb="FF000000"/>
        <rFont val="Consolas"/>
        <family val="3"/>
      </rPr>
      <t>(</t>
    </r>
  </si>
  <si>
    <r>
      <t xml:space="preserve">                </t>
    </r>
    <r>
      <rPr>
        <sz val="11"/>
        <color rgb="FF0969DA"/>
        <rFont val="Consolas"/>
        <family val="3"/>
      </rPr>
      <t>x_has</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</si>
  <si>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A31515"/>
        <rFont val="Consolas"/>
        <family val="3"/>
      </rPr>
      <t>"x"</t>
    </r>
    <r>
      <rPr>
        <sz val="11"/>
        <color rgb="FF000000"/>
        <rFont val="Consolas"/>
        <family val="3"/>
      </rPr>
      <t xml:space="preserve">, </t>
    </r>
    <r>
      <rPr>
        <sz val="11"/>
        <color rgb="FFA31515"/>
        <rFont val="Consolas"/>
        <family val="3"/>
      </rPr>
      <t>"y"</t>
    </r>
    <r>
      <rPr>
        <sz val="11"/>
        <color rgb="FF000000"/>
        <rFont val="Consolas"/>
        <family val="3"/>
      </rPr>
      <t xml:space="preserve">, </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A31515"/>
        <rFont val="Consolas"/>
        <family val="3"/>
      </rPr>
      <t>"x"</t>
    </r>
    <r>
      <rPr>
        <sz val="11"/>
        <color rgb="FF000000"/>
        <rFont val="Consolas"/>
        <family val="3"/>
      </rPr>
      <t xml:space="preserve">, </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</si>
  <si>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</si>
  <si>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rules_flag</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h_ctrl</t>
    </r>
    <r>
      <rPr>
        <sz val="11"/>
        <color rgb="FF000000"/>
        <rFont val="Consolas"/>
        <family val="3"/>
      </rPr>
      <t>))</t>
    </r>
  </si>
  <si>
    <r>
      <t xml:space="preserve">    </t>
    </r>
    <r>
      <rPr>
        <sz val="11"/>
        <color rgb="FF0969DA"/>
        <rFont val="Consolas"/>
        <family val="3"/>
      </rPr>
      <t>build_data</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firstcol</t>
    </r>
    <r>
      <rPr>
        <sz val="11"/>
        <color rgb="FF000000"/>
        <rFont val="Consolas"/>
        <family val="3"/>
      </rPr>
      <t xml:space="preserve">, </t>
    </r>
    <r>
      <rPr>
        <sz val="11"/>
        <color rgb="FF0969DA"/>
        <rFont val="Consolas"/>
        <family val="3"/>
      </rPr>
      <t>data_main</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</si>
  <si>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show_y</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y</t>
    </r>
    <r>
      <rPr>
        <sz val="11"/>
        <color rgb="FF000000"/>
        <rFont val="Consolas"/>
        <family val="3"/>
      </rPr>
      <t xml:space="preserve">, </t>
    </r>
    <r>
      <rPr>
        <sz val="11"/>
        <color rgb="FF0969DA"/>
        <rFont val="Consolas"/>
        <family val="3"/>
      </rPr>
      <t>firstcol</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x</t>
    </r>
    <r>
      <rPr>
        <sz val="11"/>
        <color rgb="FF000000"/>
        <rFont val="Consolas"/>
        <family val="3"/>
      </rPr>
      <t xml:space="preserve">, </t>
    </r>
    <r>
      <rPr>
        <sz val="11"/>
        <color rgb="FF0969DA"/>
        <rFont val="Consolas"/>
        <family val="3"/>
      </rPr>
      <t>firstcol</t>
    </r>
    <r>
      <rPr>
        <sz val="11"/>
        <color rgb="FF000000"/>
        <rFont val="Consolas"/>
        <family val="3"/>
      </rPr>
      <t>)),</t>
    </r>
  </si>
  <si>
    <r>
      <t xml:space="preserve">            </t>
    </r>
    <r>
      <rPr>
        <sz val="11"/>
        <color rgb="FF033D8B"/>
        <rFont val="Consolas"/>
        <family val="3"/>
      </rPr>
      <t>IF</t>
    </r>
    <r>
      <rPr>
        <sz val="11"/>
        <color rgb="FF000000"/>
        <rFont val="Consolas"/>
        <family val="3"/>
      </rPr>
      <t>(</t>
    </r>
    <r>
      <rPr>
        <sz val="11"/>
        <color rgb="FF0969DA"/>
        <rFont val="Consolas"/>
        <family val="3"/>
      </rPr>
      <t>rules_flag</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data_main</t>
    </r>
    <r>
      <rPr>
        <sz val="11"/>
        <color rgb="FF000000"/>
        <rFont val="Consolas"/>
        <family val="3"/>
      </rPr>
      <t xml:space="preserve">, </t>
    </r>
    <r>
      <rPr>
        <sz val="11"/>
        <color rgb="FF0969DA"/>
        <rFont val="Consolas"/>
        <family val="3"/>
      </rPr>
      <t>rules_mat</t>
    </r>
    <r>
      <rPr>
        <sz val="11"/>
        <color rgb="FF000000"/>
        <rFont val="Consolas"/>
        <family val="3"/>
      </rPr>
      <t xml:space="preserve">), </t>
    </r>
    <r>
      <rPr>
        <sz val="11"/>
        <color rgb="FF033D8B"/>
        <rFont val="Consolas"/>
        <family val="3"/>
      </rPr>
      <t>HSTACK</t>
    </r>
    <r>
      <rPr>
        <sz val="11"/>
        <color rgb="FF000000"/>
        <rFont val="Consolas"/>
        <family val="3"/>
      </rPr>
      <t>(</t>
    </r>
    <r>
      <rPr>
        <sz val="11"/>
        <color rgb="FF0969DA"/>
        <rFont val="Consolas"/>
        <family val="3"/>
      </rPr>
      <t>base</t>
    </r>
    <r>
      <rPr>
        <sz val="11"/>
        <color rgb="FF000000"/>
        <rFont val="Consolas"/>
        <family val="3"/>
      </rPr>
      <t xml:space="preserve">, </t>
    </r>
    <r>
      <rPr>
        <sz val="11"/>
        <color rgb="FF0969DA"/>
        <rFont val="Consolas"/>
        <family val="3"/>
      </rPr>
      <t>data_main</t>
    </r>
    <r>
      <rPr>
        <sz val="11"/>
        <color rgb="FF000000"/>
        <rFont val="Consolas"/>
        <family val="3"/>
      </rPr>
      <t>))</t>
    </r>
  </si>
  <si>
    <r>
      <t xml:space="preserve">    </t>
    </r>
    <r>
      <rPr>
        <sz val="11"/>
        <color rgb="FF0969DA"/>
        <rFont val="Consolas"/>
        <family val="3"/>
      </rPr>
      <t>hdr_z</t>
    </r>
    <r>
      <rPr>
        <sz val="11"/>
        <color rgb="FF000000"/>
        <rFont val="Consolas"/>
        <family val="3"/>
      </rPr>
      <t xml:space="preserve">, </t>
    </r>
    <r>
      <rPr>
        <sz val="11"/>
        <color rgb="FF0969DA"/>
        <rFont val="Consolas"/>
        <family val="3"/>
      </rPr>
      <t>build_hdr</t>
    </r>
    <r>
      <rPr>
        <sz val="11"/>
        <color rgb="FF000000"/>
        <rFont val="Consolas"/>
        <family val="3"/>
      </rPr>
      <t>(</t>
    </r>
    <r>
      <rPr>
        <sz val="11"/>
        <color rgb="FFA31515"/>
        <rFont val="Consolas"/>
        <family val="3"/>
      </rPr>
      <t>"z"</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</si>
  <si>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hdr_raw</t>
    </r>
    <r>
      <rPr>
        <sz val="11"/>
        <color rgb="FF000000"/>
        <rFont val="Consolas"/>
        <family val="3"/>
      </rPr>
      <t xml:space="preserve">, </t>
    </r>
    <r>
      <rPr>
        <sz val="11"/>
        <color rgb="FF0969DA"/>
        <rFont val="Consolas"/>
        <family val="3"/>
      </rPr>
      <t>build_hdr</t>
    </r>
    <r>
      <rPr>
        <sz val="11"/>
        <color rgb="FF000000"/>
        <rFont val="Consolas"/>
        <family val="3"/>
      </rPr>
      <t>(</t>
    </r>
    <r>
      <rPr>
        <sz val="11"/>
        <color rgb="FF0969DA"/>
        <rFont val="Consolas"/>
        <family val="3"/>
      </rPr>
      <t>a_mode</t>
    </r>
    <r>
      <rPr>
        <sz val="11"/>
        <color rgb="FF000000"/>
        <rFont val="Consolas"/>
        <family val="3"/>
      </rPr>
      <t xml:space="preserve">, </t>
    </r>
    <r>
      <rPr>
        <sz val="11"/>
        <color rgb="FF0969DA"/>
        <rFont val="Consolas"/>
        <family val="3"/>
      </rPr>
      <t>h_ctrl</t>
    </r>
    <r>
      <rPr>
        <sz val="11"/>
        <color rgb="FF000000"/>
        <rFont val="Consolas"/>
        <family val="3"/>
      </rPr>
      <t xml:space="preserve">, </t>
    </r>
    <r>
      <rPr>
        <sz val="11"/>
        <color rgb="FF0969DA"/>
        <rFont val="Consolas"/>
        <family val="3"/>
      </rPr>
      <t>h_rules</t>
    </r>
    <r>
      <rPr>
        <sz val="11"/>
        <color rgb="FF000000"/>
        <rFont val="Consolas"/>
        <family val="3"/>
      </rPr>
      <t>),</t>
    </r>
  </si>
  <si>
    <r>
      <t xml:space="preserve">    </t>
    </r>
    <r>
      <rPr>
        <sz val="11"/>
        <color rgb="FF0969DA"/>
        <rFont val="Consolas"/>
        <family val="3"/>
      </rPr>
      <t>data_z</t>
    </r>
    <r>
      <rPr>
        <sz val="11"/>
        <color rgb="FF000000"/>
        <rFont val="Consolas"/>
        <family val="3"/>
      </rPr>
      <t xml:space="preserve">, </t>
    </r>
    <r>
      <rPr>
        <sz val="11"/>
        <color rgb="FF0969DA"/>
        <rFont val="Consolas"/>
        <family val="3"/>
      </rPr>
      <t>build_data</t>
    </r>
    <r>
      <rPr>
        <sz val="11"/>
        <color rgb="FF000000"/>
        <rFont val="Consolas"/>
        <family val="3"/>
      </rPr>
      <t>(</t>
    </r>
    <r>
      <rPr>
        <sz val="11"/>
        <color rgb="FF0969DA"/>
        <rFont val="Consolas"/>
        <family val="3"/>
      </rPr>
      <t>z</t>
    </r>
    <r>
      <rPr>
        <sz val="11"/>
        <color rgb="FF000000"/>
        <rFont val="Consolas"/>
        <family val="3"/>
      </rPr>
      <t xml:space="preserve">, </t>
    </r>
    <r>
      <rPr>
        <sz val="11"/>
        <color rgb="FF0969DA"/>
        <rFont val="Consolas"/>
        <family val="3"/>
      </rPr>
      <t>ctrl_out</t>
    </r>
    <r>
      <rPr>
        <sz val="11"/>
        <color rgb="FF000000"/>
        <rFont val="Consolas"/>
        <family val="3"/>
      </rPr>
      <t>),</t>
    </r>
  </si>
  <si>
    <r>
      <t xml:space="preserve">    </t>
    </r>
    <r>
      <rPr>
        <sz val="11"/>
        <color rgb="FF0969DA"/>
        <rFont val="Consolas"/>
        <family val="3"/>
      </rPr>
      <t>data_raw</t>
    </r>
    <r>
      <rPr>
        <sz val="11"/>
        <color rgb="FF000000"/>
        <rFont val="Consolas"/>
        <family val="3"/>
      </rPr>
      <t xml:space="preserve">, </t>
    </r>
    <r>
      <rPr>
        <sz val="11"/>
        <color rgb="FF0969DA"/>
        <rFont val="Consolas"/>
        <family val="3"/>
      </rPr>
      <t>build_data</t>
    </r>
    <r>
      <rPr>
        <sz val="11"/>
        <color rgb="FF000000"/>
        <rFont val="Consolas"/>
        <family val="3"/>
      </rPr>
      <t>(</t>
    </r>
    <r>
      <rPr>
        <sz val="11"/>
        <color rgb="FF0969DA"/>
        <rFont val="Consolas"/>
        <family val="3"/>
      </rPr>
      <t>y_ma</t>
    </r>
    <r>
      <rPr>
        <sz val="11"/>
        <color rgb="FF000000"/>
        <rFont val="Consolas"/>
        <family val="3"/>
      </rPr>
      <t xml:space="preserve">, </t>
    </r>
    <r>
      <rPr>
        <sz val="11"/>
        <color rgb="FF0969DA"/>
        <rFont val="Consolas"/>
        <family val="3"/>
      </rPr>
      <t>ctrl_out</t>
    </r>
    <r>
      <rPr>
        <sz val="11"/>
        <color rgb="FF000000"/>
        <rFont val="Consolas"/>
        <family val="3"/>
      </rPr>
      <t>),</t>
    </r>
  </si>
  <si>
    <r>
      <t xml:space="preserve">    </t>
    </r>
    <r>
      <rPr>
        <sz val="11"/>
        <color rgb="FF0969DA"/>
        <rFont val="Consolas"/>
        <family val="3"/>
      </rPr>
      <t>hdr_out</t>
    </r>
    <r>
      <rPr>
        <sz val="11"/>
        <color rgb="FF000000"/>
        <rFont val="Consolas"/>
        <family val="3"/>
      </rPr>
      <t xml:space="preserve">, </t>
    </r>
    <r>
      <rPr>
        <sz val="11"/>
        <color rgb="FF033D8B"/>
        <rFont val="Consolas"/>
        <family val="3"/>
      </rPr>
      <t>SWITCH</t>
    </r>
    <r>
      <rPr>
        <sz val="11"/>
        <color rgb="FF000000"/>
        <rFont val="Consolas"/>
        <family val="3"/>
      </rPr>
      <t>(</t>
    </r>
    <r>
      <rPr>
        <sz val="11"/>
        <color rgb="FF0969DA"/>
        <rFont val="Consolas"/>
        <family val="3"/>
      </rPr>
      <t>outmode</t>
    </r>
    <r>
      <rPr>
        <sz val="11"/>
        <color rgb="FF000000"/>
        <rFont val="Consolas"/>
        <family val="3"/>
      </rPr>
      <t xml:space="preserve">, </t>
    </r>
    <r>
      <rPr>
        <sz val="11"/>
        <color rgb="FFA31515"/>
        <rFont val="Consolas"/>
        <family val="3"/>
      </rPr>
      <t>"zscore"</t>
    </r>
    <r>
      <rPr>
        <sz val="11"/>
        <color rgb="FF000000"/>
        <rFont val="Consolas"/>
        <family val="3"/>
      </rPr>
      <t xml:space="preserve">, </t>
    </r>
    <r>
      <rPr>
        <sz val="11"/>
        <color rgb="FF0969DA"/>
        <rFont val="Consolas"/>
        <family val="3"/>
      </rPr>
      <t>hdr_z</t>
    </r>
    <r>
      <rPr>
        <sz val="11"/>
        <color rgb="FF000000"/>
        <rFont val="Consolas"/>
        <family val="3"/>
      </rPr>
      <t xml:space="preserve">, </t>
    </r>
    <r>
      <rPr>
        <sz val="11"/>
        <color rgb="FFA31515"/>
        <rFont val="Consolas"/>
        <family val="3"/>
      </rPr>
      <t>"raw"</t>
    </r>
    <r>
      <rPr>
        <sz val="11"/>
        <color rgb="FF000000"/>
        <rFont val="Consolas"/>
        <family val="3"/>
      </rPr>
      <t xml:space="preserve">, </t>
    </r>
    <r>
      <rPr>
        <sz val="11"/>
        <color rgb="FF0969DA"/>
        <rFont val="Consolas"/>
        <family val="3"/>
      </rPr>
      <t>hdr_raw</t>
    </r>
    <r>
      <rPr>
        <sz val="11"/>
        <color rgb="FF000000"/>
        <rFont val="Consolas"/>
        <family val="3"/>
      </rPr>
      <t xml:space="preserve">, </t>
    </r>
    <r>
      <rPr>
        <sz val="11"/>
        <color rgb="FFA31515"/>
        <rFont val="Consolas"/>
        <family val="3"/>
      </rPr>
      <t>"#HDROUT!"</t>
    </r>
    <r>
      <rPr>
        <sz val="11"/>
        <color rgb="FF000000"/>
        <rFont val="Consolas"/>
        <family val="3"/>
      </rPr>
      <t>),</t>
    </r>
  </si>
  <si>
    <r>
      <t xml:space="preserve">    </t>
    </r>
    <r>
      <rPr>
        <sz val="11"/>
        <color rgb="FF0969DA"/>
        <rFont val="Consolas"/>
        <family val="3"/>
      </rPr>
      <t>data_out</t>
    </r>
    <r>
      <rPr>
        <sz val="11"/>
        <color rgb="FF000000"/>
        <rFont val="Consolas"/>
        <family val="3"/>
      </rPr>
      <t xml:space="preserve">, </t>
    </r>
    <r>
      <rPr>
        <sz val="11"/>
        <color rgb="FF033D8B"/>
        <rFont val="Consolas"/>
        <family val="3"/>
      </rPr>
      <t>SWITCH</t>
    </r>
    <r>
      <rPr>
        <sz val="11"/>
        <color rgb="FF000000"/>
        <rFont val="Consolas"/>
        <family val="3"/>
      </rPr>
      <t>(</t>
    </r>
    <r>
      <rPr>
        <sz val="11"/>
        <color rgb="FF0969DA"/>
        <rFont val="Consolas"/>
        <family val="3"/>
      </rPr>
      <t>outmode</t>
    </r>
    <r>
      <rPr>
        <sz val="11"/>
        <color rgb="FF000000"/>
        <rFont val="Consolas"/>
        <family val="3"/>
      </rPr>
      <t xml:space="preserve">, </t>
    </r>
    <r>
      <rPr>
        <sz val="11"/>
        <color rgb="FFA31515"/>
        <rFont val="Consolas"/>
        <family val="3"/>
      </rPr>
      <t>"zscore"</t>
    </r>
    <r>
      <rPr>
        <sz val="11"/>
        <color rgb="FF000000"/>
        <rFont val="Consolas"/>
        <family val="3"/>
      </rPr>
      <t xml:space="preserve">, </t>
    </r>
    <r>
      <rPr>
        <sz val="11"/>
        <color rgb="FF0969DA"/>
        <rFont val="Consolas"/>
        <family val="3"/>
      </rPr>
      <t>data_z</t>
    </r>
    <r>
      <rPr>
        <sz val="11"/>
        <color rgb="FF000000"/>
        <rFont val="Consolas"/>
        <family val="3"/>
      </rPr>
      <t xml:space="preserve">, </t>
    </r>
    <r>
      <rPr>
        <sz val="11"/>
        <color rgb="FFA31515"/>
        <rFont val="Consolas"/>
        <family val="3"/>
      </rPr>
      <t>"raw"</t>
    </r>
    <r>
      <rPr>
        <sz val="11"/>
        <color rgb="FF000000"/>
        <rFont val="Consolas"/>
        <family val="3"/>
      </rPr>
      <t xml:space="preserve">, </t>
    </r>
    <r>
      <rPr>
        <sz val="11"/>
        <color rgb="FF0969DA"/>
        <rFont val="Consolas"/>
        <family val="3"/>
      </rPr>
      <t>data_raw</t>
    </r>
    <r>
      <rPr>
        <sz val="11"/>
        <color rgb="FF000000"/>
        <rFont val="Consolas"/>
        <family val="3"/>
      </rPr>
      <t xml:space="preserve">, </t>
    </r>
    <r>
      <rPr>
        <sz val="11"/>
        <color rgb="FFA31515"/>
        <rFont val="Consolas"/>
        <family val="3"/>
      </rPr>
      <t>"#DATAOUT!"</t>
    </r>
    <r>
      <rPr>
        <sz val="11"/>
        <color rgb="FF000000"/>
        <rFont val="Consolas"/>
        <family val="3"/>
      </rPr>
      <t>),</t>
    </r>
  </si>
  <si>
    <r>
      <t xml:space="preserve">    </t>
    </r>
    <r>
      <rPr>
        <sz val="11"/>
        <color rgb="FF0969DA"/>
        <rFont val="Consolas"/>
        <family val="3"/>
      </rPr>
      <t>final_out</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hdr_flag</t>
    </r>
    <r>
      <rPr>
        <sz val="11"/>
        <color rgb="FF000000"/>
        <rFont val="Consolas"/>
        <family val="3"/>
      </rPr>
      <t xml:space="preserve">, </t>
    </r>
    <r>
      <rPr>
        <sz val="11"/>
        <color rgb="FF033D8B"/>
        <rFont val="Consolas"/>
        <family val="3"/>
      </rPr>
      <t>VSTACK</t>
    </r>
    <r>
      <rPr>
        <sz val="11"/>
        <color rgb="FF000000"/>
        <rFont val="Consolas"/>
        <family val="3"/>
      </rPr>
      <t>(</t>
    </r>
    <r>
      <rPr>
        <sz val="11"/>
        <color rgb="FF0969DA"/>
        <rFont val="Consolas"/>
        <family val="3"/>
      </rPr>
      <t>hdr_out</t>
    </r>
    <r>
      <rPr>
        <sz val="11"/>
        <color rgb="FF000000"/>
        <rFont val="Consolas"/>
        <family val="3"/>
      </rPr>
      <t xml:space="preserve">, </t>
    </r>
    <r>
      <rPr>
        <sz val="11"/>
        <color rgb="FF0969DA"/>
        <rFont val="Consolas"/>
        <family val="3"/>
      </rPr>
      <t>data_out</t>
    </r>
    <r>
      <rPr>
        <sz val="11"/>
        <color rgb="FF000000"/>
        <rFont val="Consolas"/>
        <family val="3"/>
      </rPr>
      <t xml:space="preserve">), </t>
    </r>
    <r>
      <rPr>
        <sz val="11"/>
        <color rgb="FF0969DA"/>
        <rFont val="Consolas"/>
        <family val="3"/>
      </rPr>
      <t>data_out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</si>
  <si>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unknown_msg</t>
    </r>
    <r>
      <rPr>
        <sz val="11"/>
        <color rgb="FF000000"/>
        <rFont val="Consolas"/>
        <family val="3"/>
      </rPr>
      <t xml:space="preserve"> &lt;&gt; </t>
    </r>
    <r>
      <rPr>
        <sz val="11"/>
        <color rgb="FF0000FF"/>
        <rFont val="Consolas"/>
        <family val="3"/>
      </rPr>
      <t>TRUE</t>
    </r>
    <r>
      <rPr>
        <sz val="11"/>
        <color rgb="FF000000"/>
        <rFont val="Consolas"/>
        <family val="3"/>
      </rPr>
      <t xml:space="preserve">, </t>
    </r>
    <r>
      <rPr>
        <sz val="11"/>
        <color rgb="FF0969DA"/>
        <rFont val="Consolas"/>
        <family val="3"/>
      </rPr>
      <t>unknown_msg</t>
    </r>
    <r>
      <rPr>
        <sz val="11"/>
        <color rgb="FF000000"/>
        <rFont val="Consolas"/>
        <family val="3"/>
      </rPr>
      <t xml:space="preserve">, </t>
    </r>
    <r>
      <rPr>
        <sz val="11"/>
        <color rgb="FF0969DA"/>
        <rFont val="Consolas"/>
        <family val="3"/>
      </rPr>
      <t>final_out</t>
    </r>
    <r>
      <rPr>
        <sz val="11"/>
        <color rgb="FF000000"/>
        <rFont val="Consolas"/>
        <family val="3"/>
      </rPr>
      <t>),</t>
    </r>
  </si>
  <si>
    <r>
      <t xml:space="preserve">    </t>
    </r>
    <r>
      <rPr>
        <sz val="11"/>
        <color rgb="FF0969DA"/>
        <rFont val="Consolas"/>
        <family val="3"/>
      </rPr>
      <t>rpt_unk</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report_unknown</t>
    </r>
    <r>
      <rPr>
        <sz val="11"/>
        <color rgb="FF000000"/>
        <rFont val="Consolas"/>
        <family val="3"/>
      </rPr>
      <t xml:space="preserve">), </t>
    </r>
    <r>
      <rPr>
        <sz val="11"/>
        <color rgb="FF0000FF"/>
        <rFont val="Consolas"/>
        <family val="3"/>
      </rPr>
      <t>FALSE</t>
    </r>
    <r>
      <rPr>
        <sz val="11"/>
        <color rgb="FF000000"/>
        <rFont val="Consolas"/>
        <family val="3"/>
      </rPr>
      <t xml:space="preserve">, </t>
    </r>
    <r>
      <rPr>
        <sz val="11"/>
        <color rgb="FF0000FF"/>
        <rFont val="Consolas"/>
        <family val="3"/>
      </rPr>
      <t>TRUE</t>
    </r>
    <r>
      <rPr>
        <sz val="11"/>
        <color rgb="FF000000"/>
        <rFont val="Consolas"/>
        <family val="3"/>
      </rPr>
      <t>),</t>
    </r>
  </si>
  <si>
    <r>
      <t xml:space="preserve">    </t>
    </r>
    <r>
      <rPr>
        <sz val="11"/>
        <color rgb="FF0969DA"/>
        <rFont val="Consolas"/>
        <family val="3"/>
      </rPr>
      <t>j</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array</t>
    </r>
    <r>
      <rPr>
        <sz val="11"/>
        <color rgb="FF000000"/>
        <rFont val="Consolas"/>
        <family val="3"/>
      </rPr>
      <t>, [</t>
    </r>
    <r>
      <rPr>
        <sz val="11"/>
        <color rgb="FF0969DA"/>
        <rFont val="Consolas"/>
        <family val="3"/>
      </rPr>
      <t>index</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array</t>
    </r>
    <r>
      <rPr>
        <sz val="11"/>
        <color rgb="FF000000"/>
        <rFont val="Consolas"/>
        <family val="3"/>
      </rPr>
      <t xml:space="preserve">, ,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index</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index</t>
    </r>
    <r>
      <rPr>
        <sz val="11"/>
        <color rgb="FF000000"/>
        <rFont val="Consolas"/>
        <family val="3"/>
      </rPr>
      <t>))),</t>
    </r>
  </si>
  <si>
    <r>
      <t xml:space="preserve">    </t>
    </r>
    <r>
      <rPr>
        <sz val="11"/>
        <color rgb="FF0969DA"/>
        <rFont val="Consolas"/>
        <family val="3"/>
      </rPr>
      <t>opt</t>
    </r>
    <r>
      <rPr>
        <sz val="11"/>
        <color rgb="FF000000"/>
        <rFont val="Consolas"/>
        <family val="3"/>
      </rPr>
      <t xml:space="preserve">, </t>
    </r>
    <r>
      <rPr>
        <sz val="11"/>
        <color rgb="FF0969DA"/>
        <rFont val="Consolas"/>
        <family val="3"/>
      </rPr>
      <t>options</t>
    </r>
    <r>
      <rPr>
        <sz val="11"/>
        <color rgb="FF000000"/>
        <rFont val="Consolas"/>
        <family val="3"/>
      </rPr>
      <t>,</t>
    </r>
  </si>
  <si>
    <r>
      <t xml:space="preserve">    </t>
    </r>
    <r>
      <rPr>
        <sz val="11"/>
        <color rgb="FF0969DA"/>
        <rFont val="Consolas"/>
        <family val="3"/>
      </rPr>
      <t>dft_lbls</t>
    </r>
    <r>
      <rPr>
        <sz val="11"/>
        <color rgb="FF000000"/>
        <rFont val="Consolas"/>
        <family val="3"/>
      </rPr>
      <t xml:space="preserve">, </t>
    </r>
    <r>
      <rPr>
        <sz val="11"/>
        <color rgb="FF0969DA"/>
        <rFont val="Consolas"/>
        <family val="3"/>
      </rPr>
      <t>j</t>
    </r>
    <r>
      <rPr>
        <sz val="11"/>
        <color rgb="FF000000"/>
        <rFont val="Consolas"/>
        <family val="3"/>
      </rPr>
      <t>(</t>
    </r>
    <r>
      <rPr>
        <sz val="11"/>
        <color rgb="FF0969DA"/>
        <rFont val="Consolas"/>
        <family val="3"/>
      </rPr>
      <t>default</t>
    </r>
    <r>
      <rPr>
        <sz val="11"/>
        <color rgb="FF000000"/>
        <rFont val="Consolas"/>
        <family val="3"/>
      </rPr>
      <t>),</t>
    </r>
  </si>
  <si>
    <r>
      <t xml:space="preserve">    </t>
    </r>
    <r>
      <rPr>
        <sz val="11"/>
        <color rgb="FF0969DA"/>
        <rFont val="Consolas"/>
        <family val="3"/>
      </rPr>
      <t>opt_lbls</t>
    </r>
    <r>
      <rPr>
        <sz val="11"/>
        <color rgb="FF000000"/>
        <rFont val="Consolas"/>
        <family val="3"/>
      </rPr>
      <t xml:space="preserve">, </t>
    </r>
    <r>
      <rPr>
        <sz val="11"/>
        <color rgb="FF0969DA"/>
        <rFont val="Consolas"/>
        <family val="3"/>
      </rPr>
      <t>j</t>
    </r>
    <r>
      <rPr>
        <sz val="11"/>
        <color rgb="FF000000"/>
        <rFont val="Consolas"/>
        <family val="3"/>
      </rPr>
      <t>(</t>
    </r>
    <r>
      <rPr>
        <sz val="11"/>
        <color rgb="FF0969DA"/>
        <rFont val="Consolas"/>
        <family val="3"/>
      </rPr>
      <t>opt</t>
    </r>
    <r>
      <rPr>
        <sz val="11"/>
        <color rgb="FF000000"/>
        <rFont val="Consolas"/>
        <family val="3"/>
      </rPr>
      <t>),</t>
    </r>
  </si>
  <si>
    <r>
      <t xml:space="preserve">    </t>
    </r>
    <r>
      <rPr>
        <sz val="11"/>
        <color rgb="FF0969DA"/>
        <rFont val="Consolas"/>
        <family val="3"/>
      </rPr>
      <t>opt_idx</t>
    </r>
    <r>
      <rPr>
        <sz val="11"/>
        <color rgb="FF000000"/>
        <rFont val="Consolas"/>
        <family val="3"/>
      </rPr>
      <t xml:space="preserve">, </t>
    </r>
    <r>
      <rPr>
        <sz val="11"/>
        <color rgb="FF033D8B"/>
        <rFont val="Consolas"/>
        <family val="3"/>
      </rPr>
      <t>BYROW</t>
    </r>
    <r>
      <rPr>
        <sz val="11"/>
        <color rgb="FF000000"/>
        <rFont val="Consolas"/>
        <family val="3"/>
      </rPr>
      <t>(</t>
    </r>
    <r>
      <rPr>
        <sz val="11"/>
        <color rgb="FF0969DA"/>
        <rFont val="Consolas"/>
        <family val="3"/>
      </rPr>
      <t>dft_lbls</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33D8B"/>
        <rFont val="Consolas"/>
        <family val="3"/>
      </rPr>
      <t>XMATCH</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opt_lbls</t>
    </r>
    <r>
      <rPr>
        <sz val="11"/>
        <color rgb="FF000000"/>
        <rFont val="Consolas"/>
        <family val="3"/>
      </rPr>
      <t>))),</t>
    </r>
  </si>
  <si>
    <r>
      <t xml:space="preserve">    </t>
    </r>
    <r>
      <rPr>
        <sz val="11"/>
        <color rgb="FF0969DA"/>
        <rFont val="Consolas"/>
        <family val="3"/>
      </rPr>
      <t>vals</t>
    </r>
    <r>
      <rPr>
        <sz val="11"/>
        <color rgb="FF000000"/>
        <rFont val="Consolas"/>
        <family val="3"/>
      </rPr>
      <t xml:space="preserve">, </t>
    </r>
    <r>
      <rPr>
        <sz val="11"/>
        <color rgb="FF033D8B"/>
        <rFont val="Consolas"/>
        <family val="3"/>
      </rPr>
      <t>MAKEARRAY</t>
    </r>
    <r>
      <rPr>
        <sz val="11"/>
        <color rgb="FF000000"/>
        <rFont val="Consolas"/>
        <family val="3"/>
      </rPr>
      <t>(</t>
    </r>
  </si>
  <si>
    <r>
      <t xml:space="preserve">        </t>
    </r>
    <r>
      <rPr>
        <sz val="11"/>
        <color rgb="FF033D8B"/>
        <rFont val="Consolas"/>
        <family val="3"/>
      </rPr>
      <t>ROWS</t>
    </r>
    <r>
      <rPr>
        <sz val="11"/>
        <color rgb="FF000000"/>
        <rFont val="Consolas"/>
        <family val="3"/>
      </rPr>
      <t>(</t>
    </r>
    <r>
      <rPr>
        <sz val="11"/>
        <color rgb="FF0969DA"/>
        <rFont val="Consolas"/>
        <family val="3"/>
      </rPr>
      <t>default</t>
    </r>
    <r>
      <rPr>
        <sz val="11"/>
        <color rgb="FF000000"/>
        <rFont val="Consolas"/>
        <family val="3"/>
      </rPr>
      <t>),</t>
    </r>
  </si>
  <si>
    <r>
      <t xml:space="preserve">        </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</si>
  <si>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 xml:space="preserve">, </t>
    </r>
    <r>
      <rPr>
        <sz val="11"/>
        <color rgb="FF0969DA"/>
        <rFont val="Consolas"/>
        <family val="3"/>
      </rPr>
      <t>c</t>
    </r>
    <r>
      <rPr>
        <sz val="11"/>
        <color rgb="FF000000"/>
        <rFont val="Consolas"/>
        <family val="3"/>
      </rPr>
      <t>,</t>
    </r>
  </si>
  <si>
    <r>
      <t xml:space="preserve">            </t>
    </r>
    <r>
      <rPr>
        <sz val="11"/>
        <color rgb="FFC4432B"/>
        <rFont val="Consolas"/>
        <family val="3"/>
      </rPr>
      <t>LET</t>
    </r>
    <r>
      <rPr>
        <sz val="11"/>
        <color rgb="FF000000"/>
        <rFont val="Consolas"/>
        <family val="3"/>
      </rPr>
      <t>(</t>
    </r>
  </si>
  <si>
    <r>
      <t xml:space="preserve">                </t>
    </r>
    <r>
      <rPr>
        <sz val="11"/>
        <color rgb="FF0969DA"/>
        <rFont val="Consolas"/>
        <family val="3"/>
      </rPr>
      <t>i</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array</t>
    </r>
    <r>
      <rPr>
        <sz val="11"/>
        <color rgb="FF000000"/>
        <rFont val="Consolas"/>
        <family val="3"/>
      </rPr>
      <t>, [</t>
    </r>
    <r>
      <rPr>
        <sz val="11"/>
        <color rgb="FF0969DA"/>
        <rFont val="Consolas"/>
        <family val="3"/>
      </rPr>
      <t>index</t>
    </r>
    <r>
      <rPr>
        <sz val="11"/>
        <color rgb="FF000000"/>
        <rFont val="Consolas"/>
        <family val="3"/>
      </rPr>
      <t xml:space="preserve">], </t>
    </r>
    <r>
      <rPr>
        <sz val="11"/>
        <color rgb="FF033D8B"/>
        <rFont val="Consolas"/>
        <family val="3"/>
      </rPr>
      <t>INDEX</t>
    </r>
    <r>
      <rPr>
        <sz val="11"/>
        <color rgb="FF000000"/>
        <rFont val="Consolas"/>
        <family val="3"/>
      </rPr>
      <t>(</t>
    </r>
    <r>
      <rPr>
        <sz val="11"/>
        <color rgb="FF0969DA"/>
        <rFont val="Consolas"/>
        <family val="3"/>
      </rPr>
      <t>array</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index</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index</t>
    </r>
    <r>
      <rPr>
        <sz val="11"/>
        <color rgb="FF000000"/>
        <rFont val="Consolas"/>
        <family val="3"/>
      </rPr>
      <t>))),</t>
    </r>
  </si>
  <si>
    <r>
      <t xml:space="preserve">                </t>
    </r>
    <r>
      <rPr>
        <sz val="11"/>
        <color rgb="FF0969DA"/>
        <rFont val="Consolas"/>
        <family val="3"/>
      </rPr>
      <t>idx</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opt_idx</t>
    </r>
    <r>
      <rPr>
        <sz val="11"/>
        <color rgb="FF000000"/>
        <rFont val="Consolas"/>
        <family val="3"/>
      </rPr>
      <t>),</t>
    </r>
  </si>
  <si>
    <r>
      <t xml:space="preserve">                </t>
    </r>
    <r>
      <rPr>
        <sz val="11"/>
        <color rgb="FF0969DA"/>
        <rFont val="Consolas"/>
        <family val="3"/>
      </rPr>
      <t>dft</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j</t>
    </r>
    <r>
      <rPr>
        <sz val="11"/>
        <color rgb="FF000000"/>
        <rFont val="Consolas"/>
        <family val="3"/>
      </rPr>
      <t>(</t>
    </r>
    <r>
      <rPr>
        <sz val="11"/>
        <color rgb="FF0969DA"/>
        <rFont val="Consolas"/>
        <family val="3"/>
      </rPr>
      <t>default</t>
    </r>
    <r>
      <rPr>
        <sz val="11"/>
        <color rgb="FF000000"/>
        <rFont val="Consolas"/>
        <family val="3"/>
      </rPr>
      <t xml:space="preserve">, </t>
    </r>
    <r>
      <rPr>
        <sz val="11"/>
        <color rgb="FF098658"/>
        <rFont val="Consolas"/>
        <family val="3"/>
      </rPr>
      <t>2</t>
    </r>
    <r>
      <rPr>
        <sz val="11"/>
        <color rgb="FF000000"/>
        <rFont val="Consolas"/>
        <family val="3"/>
      </rPr>
      <t>)),</t>
    </r>
  </si>
  <si>
    <r>
      <t xml:space="preserve">                </t>
    </r>
    <r>
      <rPr>
        <sz val="11"/>
        <color rgb="FF0969DA"/>
        <rFont val="Consolas"/>
        <family val="3"/>
      </rPr>
      <t>val</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j</t>
    </r>
    <r>
      <rPr>
        <sz val="11"/>
        <color rgb="FF000000"/>
        <rFont val="Consolas"/>
        <family val="3"/>
      </rPr>
      <t>(</t>
    </r>
    <r>
      <rPr>
        <sz val="11"/>
        <color rgb="FF0969DA"/>
        <rFont val="Consolas"/>
        <family val="3"/>
      </rPr>
      <t>opt</t>
    </r>
    <r>
      <rPr>
        <sz val="11"/>
        <color rgb="FF000000"/>
        <rFont val="Consolas"/>
        <family val="3"/>
      </rPr>
      <t xml:space="preserve">, </t>
    </r>
    <r>
      <rPr>
        <sz val="11"/>
        <color rgb="FF098658"/>
        <rFont val="Consolas"/>
        <family val="3"/>
      </rPr>
      <t>2</t>
    </r>
    <r>
      <rPr>
        <sz val="11"/>
        <color rgb="FF000000"/>
        <rFont val="Consolas"/>
        <family val="3"/>
      </rPr>
      <t xml:space="preserve">), </t>
    </r>
    <r>
      <rPr>
        <sz val="11"/>
        <color rgb="FF0969DA"/>
        <rFont val="Consolas"/>
        <family val="3"/>
      </rPr>
      <t>idx</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</si>
  <si>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idx</t>
    </r>
    <r>
      <rPr>
        <sz val="11"/>
        <color rgb="FF000000"/>
        <rFont val="Consolas"/>
        <family val="3"/>
      </rPr>
      <t xml:space="preserve">), </t>
    </r>
    <r>
      <rPr>
        <sz val="11"/>
        <color rgb="FF0969DA"/>
        <rFont val="Consolas"/>
        <family val="3"/>
      </rPr>
      <t>dft</t>
    </r>
    <r>
      <rPr>
        <sz val="11"/>
        <color rgb="FF000000"/>
        <rFont val="Consolas"/>
        <family val="3"/>
      </rPr>
      <t xml:space="preserve">, </t>
    </r>
    <r>
      <rPr>
        <sz val="11"/>
        <color rgb="FF0969DA"/>
        <rFont val="Consolas"/>
        <family val="3"/>
      </rPr>
      <t>val</t>
    </r>
    <r>
      <rPr>
        <sz val="11"/>
        <color rgb="FF000000"/>
        <rFont val="Consolas"/>
        <family val="3"/>
      </rPr>
      <t>),</t>
    </r>
  </si>
  <si>
    <r>
      <t xml:space="preserve">                </t>
    </r>
    <r>
      <rPr>
        <sz val="11"/>
        <color rgb="FF0969DA"/>
        <rFont val="Consolas"/>
        <family val="3"/>
      </rPr>
      <t>return</t>
    </r>
  </si>
  <si>
    <r>
      <t xml:space="preserve">    </t>
    </r>
    <r>
      <rPr>
        <sz val="11"/>
        <color rgb="FF0969DA"/>
        <rFont val="Consolas"/>
        <family val="3"/>
      </rPr>
      <t>unk_opt</t>
    </r>
    <r>
      <rPr>
        <sz val="11"/>
        <color rgb="FF000000"/>
        <rFont val="Consolas"/>
        <family val="3"/>
      </rPr>
      <t xml:space="preserve">, </t>
    </r>
    <r>
      <rPr>
        <sz val="11"/>
        <color rgb="FF033D8B"/>
        <rFont val="Consolas"/>
        <family val="3"/>
      </rPr>
      <t>FILTER</t>
    </r>
    <r>
      <rPr>
        <sz val="11"/>
        <color rgb="FF000000"/>
        <rFont val="Consolas"/>
        <family val="3"/>
      </rPr>
      <t>(</t>
    </r>
    <r>
      <rPr>
        <sz val="11"/>
        <color rgb="FF0969DA"/>
        <rFont val="Consolas"/>
        <family val="3"/>
      </rPr>
      <t>opt_lbls</t>
    </r>
    <r>
      <rPr>
        <sz val="11"/>
        <color rgb="FF000000"/>
        <rFont val="Consolas"/>
        <family val="3"/>
      </rPr>
      <t xml:space="preserve">, </t>
    </r>
    <r>
      <rPr>
        <sz val="11"/>
        <color rgb="FF033D8B"/>
        <rFont val="Consolas"/>
        <family val="3"/>
      </rPr>
      <t>ISERROR</t>
    </r>
    <r>
      <rPr>
        <sz val="11"/>
        <color rgb="FF000000"/>
        <rFont val="Consolas"/>
        <family val="3"/>
      </rPr>
      <t>(</t>
    </r>
    <r>
      <rPr>
        <sz val="11"/>
        <color rgb="FF033D8B"/>
        <rFont val="Consolas"/>
        <family val="3"/>
      </rPr>
      <t>XMATCH</t>
    </r>
    <r>
      <rPr>
        <sz val="11"/>
        <color rgb="FF000000"/>
        <rFont val="Consolas"/>
        <family val="3"/>
      </rPr>
      <t>(</t>
    </r>
    <r>
      <rPr>
        <sz val="11"/>
        <color rgb="FF0969DA"/>
        <rFont val="Consolas"/>
        <family val="3"/>
      </rPr>
      <t>opt_lbls</t>
    </r>
    <r>
      <rPr>
        <sz val="11"/>
        <color rgb="FF000000"/>
        <rFont val="Consolas"/>
        <family val="3"/>
      </rPr>
      <t xml:space="preserve">, </t>
    </r>
    <r>
      <rPr>
        <sz val="11"/>
        <color rgb="FF0969DA"/>
        <rFont val="Consolas"/>
        <family val="3"/>
      </rPr>
      <t>dft_lbls</t>
    </r>
    <r>
      <rPr>
        <sz val="11"/>
        <color rgb="FF000000"/>
        <rFont val="Consolas"/>
        <family val="3"/>
      </rPr>
      <t xml:space="preserve">, </t>
    </r>
    <r>
      <rPr>
        <sz val="11"/>
        <color rgb="FF098658"/>
        <rFont val="Consolas"/>
        <family val="3"/>
      </rPr>
      <t>0</t>
    </r>
    <r>
      <rPr>
        <sz val="11"/>
        <color rgb="FF000000"/>
        <rFont val="Consolas"/>
        <family val="3"/>
      </rPr>
      <t xml:space="preserve">)), </t>
    </r>
    <r>
      <rPr>
        <sz val="11"/>
        <color rgb="FFA31515"/>
        <rFont val="Consolas"/>
        <family val="3"/>
      </rPr>
      <t>""</t>
    </r>
    <r>
      <rPr>
        <sz val="11"/>
        <color rgb="FF000000"/>
        <rFont val="Consolas"/>
        <family val="3"/>
      </rPr>
      <t>),</t>
    </r>
  </si>
  <si>
    <r>
      <t xml:space="preserve">    </t>
    </r>
    <r>
      <rPr>
        <sz val="11"/>
        <color rgb="FF0969DA"/>
        <rFont val="Consolas"/>
        <family val="3"/>
      </rPr>
      <t>is_unk</t>
    </r>
    <r>
      <rPr>
        <sz val="11"/>
        <color rgb="FF000000"/>
        <rFont val="Consolas"/>
        <family val="3"/>
      </rPr>
      <t xml:space="preserve">, </t>
    </r>
    <r>
      <rPr>
        <sz val="11"/>
        <color rgb="FF0969DA"/>
        <rFont val="Consolas"/>
        <family val="3"/>
      </rPr>
      <t>unk_opt</t>
    </r>
    <r>
      <rPr>
        <sz val="11"/>
        <color rgb="FF000000"/>
        <rFont val="Consolas"/>
        <family val="3"/>
      </rPr>
      <t xml:space="preserve"> &lt;&gt; </t>
    </r>
    <r>
      <rPr>
        <sz val="11"/>
        <color rgb="FFA31515"/>
        <rFont val="Consolas"/>
        <family val="3"/>
      </rPr>
      <t>""</t>
    </r>
    <r>
      <rPr>
        <sz val="11"/>
        <color rgb="FF000000"/>
        <rFont val="Consolas"/>
        <family val="3"/>
      </rPr>
      <t>,</t>
    </r>
  </si>
  <si>
    <r>
      <t xml:space="preserve">    </t>
    </r>
    <r>
      <rPr>
        <sz val="11"/>
        <color rgb="FF0969DA"/>
        <rFont val="Consolas"/>
        <family val="3"/>
      </rPr>
      <t>unk_msg</t>
    </r>
    <r>
      <rPr>
        <sz val="11"/>
        <color rgb="FF000000"/>
        <rFont val="Consolas"/>
        <family val="3"/>
      </rPr>
      <t xml:space="preserve">, </t>
    </r>
    <r>
      <rPr>
        <sz val="11"/>
        <color rgb="FFA31515"/>
        <rFont val="Consolas"/>
        <family val="3"/>
      </rPr>
      <t>"#UNK OPT! ["</t>
    </r>
    <r>
      <rPr>
        <sz val="11"/>
        <color rgb="FF000000"/>
        <rFont val="Consolas"/>
        <family val="3"/>
      </rPr>
      <t xml:space="preserve"> &amp; </t>
    </r>
    <r>
      <rPr>
        <sz val="11"/>
        <color rgb="FF033D8B"/>
        <rFont val="Consolas"/>
        <family val="3"/>
      </rPr>
      <t>ARRAYTOTEXT</t>
    </r>
    <r>
      <rPr>
        <sz val="11"/>
        <color rgb="FF000000"/>
        <rFont val="Consolas"/>
        <family val="3"/>
      </rPr>
      <t>(</t>
    </r>
    <r>
      <rPr>
        <sz val="11"/>
        <color rgb="FF0969DA"/>
        <rFont val="Consolas"/>
        <family val="3"/>
      </rPr>
      <t>unk_opt</t>
    </r>
    <r>
      <rPr>
        <sz val="11"/>
        <color rgb="FF000000"/>
        <rFont val="Consolas"/>
        <family val="3"/>
      </rPr>
      <t xml:space="preserve">) &amp; </t>
    </r>
    <r>
      <rPr>
        <sz val="11"/>
        <color rgb="FFA31515"/>
        <rFont val="Consolas"/>
        <family val="3"/>
      </rPr>
      <t>"]"</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</si>
  <si>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AND</t>
    </r>
    <r>
      <rPr>
        <sz val="11"/>
        <color rgb="FF000000"/>
        <rFont val="Consolas"/>
        <family val="3"/>
      </rPr>
      <t>(</t>
    </r>
    <r>
      <rPr>
        <sz val="11"/>
        <color rgb="FF0969DA"/>
        <rFont val="Consolas"/>
        <family val="3"/>
      </rPr>
      <t>is_unk</t>
    </r>
    <r>
      <rPr>
        <sz val="11"/>
        <color rgb="FF000000"/>
        <rFont val="Consolas"/>
        <family val="3"/>
      </rPr>
      <t xml:space="preserve">, </t>
    </r>
    <r>
      <rPr>
        <sz val="11"/>
        <color rgb="FF0969DA"/>
        <rFont val="Consolas"/>
        <family val="3"/>
      </rPr>
      <t>rpt_unk</t>
    </r>
    <r>
      <rPr>
        <sz val="11"/>
        <color rgb="FF000000"/>
        <rFont val="Consolas"/>
        <family val="3"/>
      </rPr>
      <t xml:space="preserve">), </t>
    </r>
    <r>
      <rPr>
        <sz val="11"/>
        <color rgb="FF0969DA"/>
        <rFont val="Consolas"/>
        <family val="3"/>
      </rPr>
      <t>unk_msg</t>
    </r>
    <r>
      <rPr>
        <sz val="11"/>
        <color rgb="FF000000"/>
        <rFont val="Consolas"/>
        <family val="3"/>
      </rPr>
      <t xml:space="preserve">, </t>
    </r>
    <r>
      <rPr>
        <sz val="11"/>
        <color rgb="FF0969DA"/>
        <rFont val="Consolas"/>
        <family val="3"/>
      </rPr>
      <t>tbl</t>
    </r>
    <r>
      <rPr>
        <sz val="11"/>
        <color rgb="FF000000"/>
        <rFont val="Consolas"/>
        <family val="3"/>
      </rPr>
      <t>),</t>
    </r>
  </si>
  <si>
    <t>GET_OPTIONS</t>
  </si>
  <si>
    <t>{"3σ", "Run7", "Trd7", "2σ2"}</t>
  </si>
  <si>
    <r>
      <t>{</t>
    </r>
    <r>
      <rPr>
        <sz val="11"/>
        <rFont val="Consolas"/>
        <family val="3"/>
      </rPr>
      <t>"avg"; "cma"; "sma"; "wma"; "ema"; "emal"; "trim"; "med"}</t>
    </r>
  </si>
  <si>
    <t>T/F</t>
  </si>
  <si>
    <t>show_cl</t>
  </si>
  <si>
    <t>headers / data</t>
  </si>
  <si>
    <t>show_z</t>
  </si>
  <si>
    <t>Always</t>
  </si>
  <si>
    <t>show_avg</t>
  </si>
  <si>
    <t>trim x outliers</t>
  </si>
  <si>
    <r>
      <t xml:space="preserve">    </t>
    </r>
    <r>
      <rPr>
        <sz val="11"/>
        <color rgb="FF0969DA"/>
        <rFont val="Consolas"/>
        <family val="3"/>
      </rPr>
      <t>arr</t>
    </r>
    <r>
      <rPr>
        <sz val="11"/>
        <color rgb="FF000000"/>
        <rFont val="Consolas"/>
        <family val="3"/>
      </rPr>
      <t>, F30:F40,</t>
    </r>
  </si>
  <si>
    <r>
      <t xml:space="preserve">    </t>
    </r>
    <r>
      <rPr>
        <sz val="11"/>
        <color rgb="FF0969DA"/>
        <rFont val="Consolas"/>
        <family val="3"/>
      </rPr>
      <t>p</t>
    </r>
    <r>
      <rPr>
        <sz val="11"/>
        <color rgb="FF000000"/>
        <rFont val="Consolas"/>
        <family val="3"/>
      </rPr>
      <t>, G27,</t>
    </r>
  </si>
  <si>
    <r>
      <t xml:space="preserve">    </t>
    </r>
    <r>
      <rPr>
        <sz val="11"/>
        <color rgb="FF0969DA"/>
        <rFont val="Consolas"/>
        <family val="3"/>
      </rPr>
      <t>trim</t>
    </r>
    <r>
      <rPr>
        <sz val="11"/>
        <color rgb="FF000000"/>
        <rFont val="Consolas"/>
        <family val="3"/>
      </rPr>
      <t>, G28,</t>
    </r>
  </si>
  <si>
    <r>
      <t xml:space="preserve">    </t>
    </r>
    <r>
      <rPr>
        <sz val="11"/>
        <color rgb="FF0969DA"/>
        <rFont val="Consolas"/>
        <family val="3"/>
      </rPr>
      <t>subset</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t>
    </r>
    <r>
      <rPr>
        <sz val="11"/>
        <color rgb="FF0969DA"/>
        <rFont val="Consolas"/>
        <family val="3"/>
      </rPr>
      <t>row</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IF</t>
    </r>
    <r>
      <rPr>
        <sz val="11"/>
        <color rgb="FF000000"/>
        <rFont val="Consolas"/>
        <family val="3"/>
      </rPr>
      <t>(</t>
    </r>
    <r>
      <rPr>
        <sz val="11"/>
        <color rgb="FF033D8B"/>
        <rFont val="Consolas"/>
        <family val="3"/>
      </rPr>
      <t>ISOMITTED</t>
    </r>
    <r>
      <rPr>
        <sz val="11"/>
        <color rgb="FF000000"/>
        <rFont val="Consolas"/>
        <family val="3"/>
      </rPr>
      <t>(</t>
    </r>
    <r>
      <rPr>
        <sz val="11"/>
        <color rgb="FF0969DA"/>
        <rFont val="Consolas"/>
        <family val="3"/>
      </rPr>
      <t>p</t>
    </r>
    <r>
      <rPr>
        <sz val="11"/>
        <color rgb="FF000000"/>
        <rFont val="Consolas"/>
        <family val="3"/>
      </rPr>
      <t xml:space="preserve">), </t>
    </r>
    <r>
      <rPr>
        <sz val="11"/>
        <color rgb="FF033D8B"/>
        <rFont val="Consolas"/>
        <family val="3"/>
      </rPr>
      <t>TAKE</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row</t>
    </r>
    <r>
      <rPr>
        <sz val="11"/>
        <color rgb="FF000000"/>
        <rFont val="Consolas"/>
        <family val="3"/>
      </rPr>
      <t xml:space="preserve">), </t>
    </r>
    <r>
      <rPr>
        <sz val="11"/>
        <color rgb="FF033D8B"/>
        <rFont val="Consolas"/>
        <family val="3"/>
      </rPr>
      <t>TAKE</t>
    </r>
    <r>
      <rPr>
        <sz val="11"/>
        <color rgb="FF000000"/>
        <rFont val="Consolas"/>
        <family val="3"/>
      </rPr>
      <t>(</t>
    </r>
    <r>
      <rPr>
        <sz val="11"/>
        <color rgb="FF033D8B"/>
        <rFont val="Consolas"/>
        <family val="3"/>
      </rPr>
      <t>TAKE</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row</t>
    </r>
    <r>
      <rPr>
        <sz val="11"/>
        <color rgb="FF000000"/>
        <rFont val="Consolas"/>
        <family val="3"/>
      </rPr>
      <t>), -</t>
    </r>
    <r>
      <rPr>
        <sz val="11"/>
        <color rgb="FF0969DA"/>
        <rFont val="Consolas"/>
        <family val="3"/>
      </rPr>
      <t>p</t>
    </r>
    <r>
      <rPr>
        <sz val="11"/>
        <color rgb="FF000000"/>
        <rFont val="Consolas"/>
        <family val="3"/>
      </rPr>
      <t>))),</t>
    </r>
  </si>
  <si>
    <r>
      <t xml:space="preserve">    </t>
    </r>
    <r>
      <rPr>
        <sz val="11"/>
        <color rgb="FF0969DA"/>
        <rFont val="Consolas"/>
        <family val="3"/>
      </rPr>
      <t>trim_y</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z</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</si>
  <si>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33D8B"/>
        <rFont val="Consolas"/>
        <family val="3"/>
      </rPr>
      <t>MAKEARRAY</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arr</t>
    </r>
    <r>
      <rPr>
        <sz val="11"/>
        <color rgb="FF000000"/>
        <rFont val="Consolas"/>
        <family val="3"/>
      </rPr>
      <t>),</t>
    </r>
    <r>
      <rPr>
        <sz val="11"/>
        <color rgb="FF098658"/>
        <rFont val="Consolas"/>
        <family val="3"/>
      </rPr>
      <t>1</t>
    </r>
    <r>
      <rPr>
        <sz val="11"/>
        <color rgb="FF000000"/>
        <rFont val="Consolas"/>
        <family val="3"/>
      </rPr>
      <t>,</t>
    </r>
  </si>
  <si>
    <r>
      <t xml:space="preserve">        </t>
    </r>
    <r>
      <rPr>
        <sz val="11"/>
        <color rgb="FFC4432B"/>
        <rFont val="Consolas"/>
        <family val="3"/>
      </rPr>
      <t>LAMBDA</t>
    </r>
    <r>
      <rPr>
        <sz val="11"/>
        <color rgb="FF000000"/>
        <rFont val="Consolas"/>
        <family val="3"/>
      </rPr>
      <t>(</t>
    </r>
    <r>
      <rPr>
        <sz val="11"/>
        <color rgb="FF0969DA"/>
        <rFont val="Consolas"/>
        <family val="3"/>
      </rPr>
      <t>r</t>
    </r>
    <r>
      <rPr>
        <sz val="11"/>
        <color rgb="FF000000"/>
        <rFont val="Consolas"/>
        <family val="3"/>
      </rPr>
      <t>,</t>
    </r>
    <r>
      <rPr>
        <sz val="11"/>
        <color rgb="FF0969DA"/>
        <rFont val="Consolas"/>
        <family val="3"/>
      </rPr>
      <t>c</t>
    </r>
    <r>
      <rPr>
        <sz val="11"/>
        <color rgb="FF000000"/>
        <rFont val="Consolas"/>
        <family val="3"/>
      </rPr>
      <t>,</t>
    </r>
  </si>
  <si>
    <r>
      <t xml:space="preserve">                </t>
    </r>
    <r>
      <rPr>
        <sz val="11"/>
        <color rgb="FF0969DA"/>
        <rFont val="Consolas"/>
        <family val="3"/>
      </rPr>
      <t>i</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sub_arr</t>
    </r>
    <r>
      <rPr>
        <sz val="11"/>
        <color rgb="FF000000"/>
        <rFont val="Consolas"/>
        <family val="3"/>
      </rPr>
      <t xml:space="preserve">, </t>
    </r>
    <r>
      <rPr>
        <sz val="11"/>
        <color rgb="FF033D8B"/>
        <rFont val="Consolas"/>
        <family val="3"/>
      </rPr>
      <t>SEQUENCE</t>
    </r>
    <r>
      <rPr>
        <sz val="11"/>
        <color rgb="FF000000"/>
        <rFont val="Consolas"/>
        <family val="3"/>
      </rPr>
      <t>(</t>
    </r>
    <r>
      <rPr>
        <sz val="11"/>
        <color rgb="FF033D8B"/>
        <rFont val="Consolas"/>
        <family val="3"/>
      </rPr>
      <t>ROWS</t>
    </r>
    <r>
      <rPr>
        <sz val="11"/>
        <color rgb="FF000000"/>
        <rFont val="Consolas"/>
        <family val="3"/>
      </rPr>
      <t>(</t>
    </r>
    <r>
      <rPr>
        <sz val="11"/>
        <color rgb="FF0969DA"/>
        <rFont val="Consolas"/>
        <family val="3"/>
      </rPr>
      <t>sub_arr</t>
    </r>
    <r>
      <rPr>
        <sz val="11"/>
        <color rgb="FF000000"/>
        <rFont val="Consolas"/>
        <family val="3"/>
      </rPr>
      <t>))),</t>
    </r>
  </si>
  <si>
    <r>
      <t xml:space="preserve">                </t>
    </r>
    <r>
      <rPr>
        <sz val="11"/>
        <color rgb="FF0969DA"/>
        <rFont val="Consolas"/>
        <family val="3"/>
      </rPr>
      <t>abs_diff</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 xml:space="preserve">, </t>
    </r>
    <r>
      <rPr>
        <sz val="11"/>
        <color rgb="FF033D8B"/>
        <rFont val="Consolas"/>
        <family val="3"/>
      </rPr>
      <t>ABS</t>
    </r>
    <r>
      <rPr>
        <sz val="11"/>
        <color rgb="FF000000"/>
        <rFont val="Consolas"/>
        <family val="3"/>
      </rPr>
      <t>(</t>
    </r>
    <r>
      <rPr>
        <sz val="11"/>
        <color rgb="FF0969DA"/>
        <rFont val="Consolas"/>
        <family val="3"/>
      </rPr>
      <t>arr</t>
    </r>
    <r>
      <rPr>
        <sz val="11"/>
        <color rgb="FF000000"/>
        <rFont val="Consolas"/>
        <family val="3"/>
      </rPr>
      <t xml:space="preserve"> - </t>
    </r>
    <r>
      <rPr>
        <sz val="11"/>
        <color rgb="FF033D8B"/>
        <rFont val="Consolas"/>
        <family val="3"/>
      </rPr>
      <t>AVERAGE</t>
    </r>
    <r>
      <rPr>
        <sz val="11"/>
        <color rgb="FF000000"/>
        <rFont val="Consolas"/>
        <family val="3"/>
      </rPr>
      <t>(</t>
    </r>
    <r>
      <rPr>
        <sz val="11"/>
        <color rgb="FF0969DA"/>
        <rFont val="Consolas"/>
        <family val="3"/>
      </rPr>
      <t>arr</t>
    </r>
    <r>
      <rPr>
        <sz val="11"/>
        <color rgb="FF000000"/>
        <rFont val="Consolas"/>
        <family val="3"/>
      </rPr>
      <t>))),</t>
    </r>
  </si>
  <si>
    <r>
      <t xml:space="preserve">                </t>
    </r>
    <r>
      <rPr>
        <sz val="11"/>
        <color rgb="FF0969DA"/>
        <rFont val="Consolas"/>
        <family val="3"/>
      </rPr>
      <t>avg_trim</t>
    </r>
    <r>
      <rPr>
        <sz val="11"/>
        <color rgb="FF000000"/>
        <rFont val="Consolas"/>
        <family val="3"/>
      </rPr>
      <t xml:space="preserve">, </t>
    </r>
    <r>
      <rPr>
        <sz val="11"/>
        <color rgb="FFC4432B"/>
        <rFont val="Consolas"/>
        <family val="3"/>
      </rPr>
      <t>LAMBDA</t>
    </r>
    <r>
      <rPr>
        <sz val="11"/>
        <color rgb="FF000000"/>
        <rFont val="Consolas"/>
        <family val="3"/>
      </rPr>
      <t>(</t>
    </r>
    <r>
      <rPr>
        <sz val="11"/>
        <color rgb="FF0969DA"/>
        <rFont val="Consolas"/>
        <family val="3"/>
      </rPr>
      <t>arr</t>
    </r>
    <r>
      <rPr>
        <sz val="11"/>
        <color rgb="FF000000"/>
        <rFont val="Consolas"/>
        <family val="3"/>
      </rPr>
      <t xml:space="preserve">, </t>
    </r>
    <r>
      <rPr>
        <sz val="11"/>
        <color rgb="FF033D8B"/>
        <rFont val="Consolas"/>
        <family val="3"/>
      </rPr>
      <t>AVERAGE</t>
    </r>
    <r>
      <rPr>
        <sz val="11"/>
        <color rgb="FF000000"/>
        <rFont val="Consolas"/>
        <family val="3"/>
      </rPr>
      <t>(</t>
    </r>
    <r>
      <rPr>
        <sz val="11"/>
        <color rgb="FF033D8B"/>
        <rFont val="Consolas"/>
        <family val="3"/>
      </rPr>
      <t>DROP</t>
    </r>
    <r>
      <rPr>
        <sz val="11"/>
        <color rgb="FF000000"/>
        <rFont val="Consolas"/>
        <family val="3"/>
      </rPr>
      <t>(</t>
    </r>
    <r>
      <rPr>
        <sz val="11"/>
        <color rgb="FF033D8B"/>
        <rFont val="Consolas"/>
        <family val="3"/>
      </rPr>
      <t>SORTBY</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abs_diff</t>
    </r>
    <r>
      <rPr>
        <sz val="11"/>
        <color rgb="FF000000"/>
        <rFont val="Consolas"/>
        <family val="3"/>
      </rPr>
      <t>(</t>
    </r>
    <r>
      <rPr>
        <sz val="11"/>
        <color rgb="FF0969DA"/>
        <rFont val="Consolas"/>
        <family val="3"/>
      </rPr>
      <t>arr</t>
    </r>
    <r>
      <rPr>
        <sz val="11"/>
        <color rgb="FF000000"/>
        <rFont val="Consolas"/>
        <family val="3"/>
      </rPr>
      <t xml:space="preserve">), </t>
    </r>
    <r>
      <rPr>
        <sz val="11"/>
        <color rgb="FF098658"/>
        <rFont val="Consolas"/>
        <family val="3"/>
      </rPr>
      <t>1</t>
    </r>
    <r>
      <rPr>
        <sz val="11"/>
        <color rgb="FF000000"/>
        <rFont val="Consolas"/>
        <family val="3"/>
      </rPr>
      <t xml:space="preserve">, </t>
    </r>
    <r>
      <rPr>
        <sz val="11"/>
        <color rgb="FF0969DA"/>
        <rFont val="Consolas"/>
        <family val="3"/>
      </rPr>
      <t>i</t>
    </r>
    <r>
      <rPr>
        <sz val="11"/>
        <color rgb="FF000000"/>
        <rFont val="Consolas"/>
        <family val="3"/>
      </rPr>
      <t>(</t>
    </r>
    <r>
      <rPr>
        <sz val="11"/>
        <color rgb="FF0969DA"/>
        <rFont val="Consolas"/>
        <family val="3"/>
      </rPr>
      <t>arr</t>
    </r>
    <r>
      <rPr>
        <sz val="11"/>
        <color rgb="FF000000"/>
        <rFont val="Consolas"/>
        <family val="3"/>
      </rPr>
      <t xml:space="preserve">), </t>
    </r>
    <r>
      <rPr>
        <sz val="11"/>
        <color rgb="FF098658"/>
        <rFont val="Consolas"/>
        <family val="3"/>
      </rPr>
      <t>-1</t>
    </r>
    <r>
      <rPr>
        <sz val="11"/>
        <color rgb="FF000000"/>
        <rFont val="Consolas"/>
        <family val="3"/>
      </rPr>
      <t>),</t>
    </r>
    <r>
      <rPr>
        <sz val="11"/>
        <color rgb="FF098658"/>
        <rFont val="Consolas"/>
        <family val="3"/>
      </rPr>
      <t>-1</t>
    </r>
    <r>
      <rPr>
        <sz val="11"/>
        <color rgb="FF000000"/>
        <rFont val="Consolas"/>
        <family val="3"/>
      </rPr>
      <t>))),</t>
    </r>
  </si>
  <si>
    <r>
      <t xml:space="preserve">                </t>
    </r>
    <r>
      <rPr>
        <sz val="11"/>
        <color rgb="FF0969DA"/>
        <rFont val="Consolas"/>
        <family val="3"/>
      </rPr>
      <t>sub_part</t>
    </r>
    <r>
      <rPr>
        <sz val="11"/>
        <color rgb="FF000000"/>
        <rFont val="Consolas"/>
        <family val="3"/>
      </rPr>
      <t xml:space="preserve">, </t>
    </r>
    <r>
      <rPr>
        <sz val="11"/>
        <color rgb="FF0969DA"/>
        <rFont val="Consolas"/>
        <family val="3"/>
      </rPr>
      <t>subset</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t>
    </r>
    <r>
      <rPr>
        <sz val="11"/>
        <color rgb="FF000000"/>
        <rFont val="Consolas"/>
        <family val="3"/>
      </rPr>
      <t>),</t>
    </r>
  </si>
  <si>
    <r>
      <t xml:space="preserve">                </t>
    </r>
    <r>
      <rPr>
        <sz val="11"/>
        <color rgb="FF0969DA"/>
        <rFont val="Consolas"/>
        <family val="3"/>
      </rPr>
      <t>sub_full</t>
    </r>
    <r>
      <rPr>
        <sz val="11"/>
        <color rgb="FF000000"/>
        <rFont val="Consolas"/>
        <family val="3"/>
      </rPr>
      <t xml:space="preserve">, </t>
    </r>
    <r>
      <rPr>
        <sz val="11"/>
        <color rgb="FF0969DA"/>
        <rFont val="Consolas"/>
        <family val="3"/>
      </rPr>
      <t>subset</t>
    </r>
    <r>
      <rPr>
        <sz val="11"/>
        <color rgb="FF000000"/>
        <rFont val="Consolas"/>
        <family val="3"/>
      </rPr>
      <t>(</t>
    </r>
    <r>
      <rPr>
        <sz val="11"/>
        <color rgb="FF0969DA"/>
        <rFont val="Consolas"/>
        <family val="3"/>
      </rPr>
      <t>arr</t>
    </r>
    <r>
      <rPr>
        <sz val="11"/>
        <color rgb="FF000000"/>
        <rFont val="Consolas"/>
        <family val="3"/>
      </rPr>
      <t xml:space="preserve">, </t>
    </r>
    <r>
      <rPr>
        <sz val="11"/>
        <color rgb="FF0969DA"/>
        <rFont val="Consolas"/>
        <family val="3"/>
      </rPr>
      <t>r</t>
    </r>
    <r>
      <rPr>
        <sz val="11"/>
        <color rgb="FF000000"/>
        <rFont val="Consolas"/>
        <family val="3"/>
      </rPr>
      <t xml:space="preserve">, </t>
    </r>
    <r>
      <rPr>
        <sz val="11"/>
        <color rgb="FF0969DA"/>
        <rFont val="Consolas"/>
        <family val="3"/>
      </rPr>
      <t>p</t>
    </r>
    <r>
      <rPr>
        <sz val="11"/>
        <color rgb="FF000000"/>
        <rFont val="Consolas"/>
        <family val="3"/>
      </rPr>
      <t>),</t>
    </r>
  </si>
  <si>
    <r>
      <t xml:space="preserve">                </t>
    </r>
    <r>
      <rPr>
        <sz val="11"/>
        <color rgb="FF0969DA"/>
        <rFont val="Consolas"/>
        <family val="3"/>
      </rPr>
      <t>return</t>
    </r>
    <r>
      <rPr>
        <sz val="11"/>
        <color rgb="FF000000"/>
        <rFont val="Consolas"/>
        <family val="3"/>
      </rPr>
      <t xml:space="preserve">, </t>
    </r>
    <r>
      <rPr>
        <sz val="11"/>
        <color rgb="FF033D8B"/>
        <rFont val="Consolas"/>
        <family val="3"/>
      </rPr>
      <t>IFS</t>
    </r>
    <r>
      <rPr>
        <sz val="11"/>
        <color rgb="FF000000"/>
        <rFont val="Consolas"/>
        <family val="3"/>
      </rPr>
      <t>(</t>
    </r>
  </si>
  <si>
    <r>
      <t xml:space="preserve">                    </t>
    </r>
    <r>
      <rPr>
        <sz val="11"/>
        <color rgb="FF033D8B"/>
        <rFont val="Consolas"/>
        <family val="3"/>
      </rPr>
      <t>AND</t>
    </r>
    <r>
      <rPr>
        <sz val="11"/>
        <color rgb="FF000000"/>
        <rFont val="Consolas"/>
        <family val="3"/>
      </rPr>
      <t>(</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r</t>
    </r>
    <r>
      <rPr>
        <sz val="11"/>
        <color rgb="FF000000"/>
        <rFont val="Consolas"/>
        <family val="3"/>
      </rPr>
      <t xml:space="preserve"> &lt;= </t>
    </r>
    <r>
      <rPr>
        <sz val="11"/>
        <color rgb="FF0969DA"/>
        <rFont val="Consolas"/>
        <family val="3"/>
      </rPr>
      <t>trim</t>
    </r>
    <r>
      <rPr>
        <sz val="11"/>
        <color rgb="FF000000"/>
        <rFont val="Consolas"/>
        <family val="3"/>
      </rPr>
      <t xml:space="preserve"> + </t>
    </r>
    <r>
      <rPr>
        <sz val="11"/>
        <color rgb="FF098658"/>
        <rFont val="Consolas"/>
        <family val="3"/>
      </rPr>
      <t>1</t>
    </r>
    <r>
      <rPr>
        <sz val="11"/>
        <color rgb="FF000000"/>
        <rFont val="Consolas"/>
        <family val="3"/>
      </rPr>
      <t xml:space="preserve">), </t>
    </r>
    <r>
      <rPr>
        <sz val="11"/>
        <color rgb="FF033D8B"/>
        <rFont val="Consolas"/>
        <family val="3"/>
      </rPr>
      <t>AVERAGE</t>
    </r>
    <r>
      <rPr>
        <sz val="11"/>
        <color rgb="FF000000"/>
        <rFont val="Consolas"/>
        <family val="3"/>
      </rPr>
      <t>(</t>
    </r>
    <r>
      <rPr>
        <sz val="11"/>
        <color rgb="FF0969DA"/>
        <rFont val="Consolas"/>
        <family val="3"/>
      </rPr>
      <t>sub_part</t>
    </r>
    <r>
      <rPr>
        <sz val="11"/>
        <color rgb="FF000000"/>
        <rFont val="Consolas"/>
        <family val="3"/>
      </rPr>
      <t>),</t>
    </r>
  </si>
  <si>
    <r>
      <t xml:space="preserve">                    </t>
    </r>
    <r>
      <rPr>
        <sz val="11"/>
        <color rgb="FF0969DA"/>
        <rFont val="Consolas"/>
        <family val="3"/>
      </rPr>
      <t>r</t>
    </r>
    <r>
      <rPr>
        <sz val="11"/>
        <color rgb="FF000000"/>
        <rFont val="Consolas"/>
        <family val="3"/>
      </rPr>
      <t xml:space="preserve"> &lt; </t>
    </r>
    <r>
      <rPr>
        <sz val="11"/>
        <color rgb="FF0969DA"/>
        <rFont val="Consolas"/>
        <family val="3"/>
      </rPr>
      <t>p</t>
    </r>
    <r>
      <rPr>
        <sz val="11"/>
        <color rgb="FF000000"/>
        <rFont val="Consolas"/>
        <family val="3"/>
      </rPr>
      <t xml:space="preserve">, </t>
    </r>
    <r>
      <rPr>
        <sz val="11"/>
        <color rgb="FF0969DA"/>
        <rFont val="Consolas"/>
        <family val="3"/>
      </rPr>
      <t>avg_trim</t>
    </r>
    <r>
      <rPr>
        <sz val="11"/>
        <color rgb="FF000000"/>
        <rFont val="Consolas"/>
        <family val="3"/>
      </rPr>
      <t>(</t>
    </r>
    <r>
      <rPr>
        <sz val="11"/>
        <color rgb="FF0969DA"/>
        <rFont val="Consolas"/>
        <family val="3"/>
      </rPr>
      <t>sub_part</t>
    </r>
    <r>
      <rPr>
        <sz val="11"/>
        <color rgb="FF000000"/>
        <rFont val="Consolas"/>
        <family val="3"/>
      </rPr>
      <t>),</t>
    </r>
  </si>
  <si>
    <r>
      <t xml:space="preserve">                    </t>
    </r>
    <r>
      <rPr>
        <sz val="11"/>
        <color rgb="FF0000FF"/>
        <rFont val="Consolas"/>
        <family val="3"/>
      </rPr>
      <t>TRUE</t>
    </r>
    <r>
      <rPr>
        <sz val="11"/>
        <color rgb="FF000000"/>
        <rFont val="Consolas"/>
        <family val="3"/>
      </rPr>
      <t xml:space="preserve">, </t>
    </r>
    <r>
      <rPr>
        <sz val="11"/>
        <color rgb="FF0969DA"/>
        <rFont val="Consolas"/>
        <family val="3"/>
      </rPr>
      <t>avg_trim</t>
    </r>
    <r>
      <rPr>
        <sz val="11"/>
        <color rgb="FF000000"/>
        <rFont val="Consolas"/>
        <family val="3"/>
      </rPr>
      <t>(</t>
    </r>
    <r>
      <rPr>
        <sz val="11"/>
        <color rgb="FF0969DA"/>
        <rFont val="Consolas"/>
        <family val="3"/>
      </rPr>
      <t>sub_full</t>
    </r>
    <r>
      <rPr>
        <sz val="11"/>
        <color rgb="FF000000"/>
        <rFont val="Consolas"/>
        <family val="3"/>
      </rPr>
      <t>)</t>
    </r>
  </si>
  <si>
    <t>    )</t>
  </si>
  <si>
    <r>
      <rPr>
        <sz val="11"/>
        <color rgb="FFC4432B"/>
        <rFont val="Consolas"/>
        <family val="3"/>
      </rPr>
      <t>LET</t>
    </r>
    <r>
      <rPr>
        <sz val="11"/>
        <color rgb="FF000000"/>
        <rFont val="Consolas"/>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</si>
</sst>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46">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sz val="10"/>
      <color theme="0" tint="-0.249977111117893"/>
      <name val="Consolas"/>
      <family val="3"/>
    </font>
    <font>
      <i/>
      <sz val="10"/>
      <color theme="1"/>
      <name val="Aptos Narrow"/>
      <family val="2"/>
      <scheme val="minor"/>
    </font>
    <font>
      <b/>
      <sz val="10"/>
      <color rgb="FFA31515"/>
      <name val="Consolas"/>
      <family val="3"/>
    </font>
    <font>
      <sz val="11"/>
      <color rgb="FFC4432B"/>
      <name val="Consolas"/>
      <family val="3"/>
    </font>
    <font>
      <sz val="11"/>
      <color rgb="FF0969DA"/>
      <name val="Consolas"/>
      <family val="3"/>
    </font>
    <font>
      <sz val="11"/>
      <color rgb="FFA31515"/>
      <name val="Consolas"/>
      <family val="3"/>
    </font>
    <font>
      <sz val="11"/>
      <color rgb="FF0000FF"/>
      <name val="Consolas"/>
      <family val="3"/>
    </font>
    <font>
      <sz val="11"/>
      <color rgb="FF033D8B"/>
      <name val="Consolas"/>
      <family val="3"/>
    </font>
    <font>
      <sz val="11"/>
      <name val="Aptos Narrow"/>
      <family val="2"/>
      <scheme val="minor"/>
    </font>
    <font>
      <sz val="11"/>
      <name val="Consolas"/>
      <family val="3"/>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100">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23" fillId="0" borderId="0" xfId="0" applyFont="1" applyAlignment="1">
      <alignment vertical="center"/>
    </xf>
    <xf numFmtId="0" fontId="19" fillId="0" borderId="0" xfId="0" applyFont="1"/>
    <xf numFmtId="0" fontId="36" fillId="0" borderId="0" xfId="0" applyFont="1" applyAlignment="1">
      <alignment horizontal="center"/>
    </xf>
    <xf numFmtId="0" fontId="37" fillId="2" borderId="0" xfId="0" applyFont="1" applyFill="1"/>
    <xf numFmtId="0" fontId="15" fillId="0" borderId="0" xfId="0" applyFont="1"/>
    <xf numFmtId="0" fontId="1" fillId="0" borderId="0" xfId="0" applyFont="1"/>
    <xf numFmtId="0" fontId="38" fillId="0" borderId="0" xfId="0" applyFont="1"/>
    <xf numFmtId="0" fontId="0" fillId="0" borderId="0" xfId="0" applyAlignment="1">
      <alignment horizontal="center"/>
    </xf>
    <xf numFmtId="0" fontId="44" fillId="0" borderId="0" xfId="0" applyFont="1"/>
    <xf numFmtId="0" fontId="0" fillId="0" borderId="0" xfId="0" applyAlignment="1">
      <alignment horizontal="center" wrapText="1"/>
    </xf>
    <xf numFmtId="0" fontId="1" fillId="0" borderId="0" xfId="0" applyFont="1" applyAlignment="1">
      <alignment horizontal="center"/>
    </xf>
    <xf numFmtId="165" fontId="0" fillId="0" borderId="0" xfId="0" applyNumberFormat="1"/>
    <xf numFmtId="0" fontId="17" fillId="0" borderId="0" xfId="0" applyFont="1" applyAlignment="1">
      <alignment horizontal="left" vertical="center" wrapText="1"/>
    </xf>
    <xf numFmtId="0" fontId="4" fillId="0" borderId="0" xfId="0" applyFont="1" applyAlignment="1">
      <alignment horizontal="left" vertical="center" wrapText="1"/>
    </xf>
    <xf numFmtId="0" fontId="15" fillId="0" borderId="0" xfId="0" applyFont="1" applyAlignment="1">
      <alignment horizontal="left" vertical="center" wrapText="1"/>
    </xf>
    <xf numFmtId="0" fontId="4" fillId="0" borderId="0" xfId="0" applyFont="1" applyAlignment="1">
      <alignment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0" fillId="0" borderId="0" xfId="0"/>
    <xf numFmtId="0" fontId="9" fillId="0" borderId="0" xfId="0" quotePrefix="1" applyFont="1" applyAlignment="1">
      <alignment vertical="center"/>
    </xf>
    <xf numFmtId="0" fontId="9" fillId="0" borderId="0" xfId="0" applyFont="1" applyAlignment="1">
      <alignment vertical="center"/>
    </xf>
    <xf numFmtId="0" fontId="15" fillId="0" borderId="0" xfId="0" applyFont="1"/>
    <xf numFmtId="0" fontId="25" fillId="0" borderId="0" xfId="0" applyFont="1"/>
    <xf numFmtId="0" fontId="19" fillId="0" borderId="0" xfId="0" applyFont="1" applyAlignment="1">
      <alignment vertical="center" wrapText="1"/>
    </xf>
    <xf numFmtId="0" fontId="7" fillId="2" borderId="0" xfId="0" applyFont="1" applyFill="1" applyAlignment="1">
      <alignment horizontal="center"/>
    </xf>
    <xf numFmtId="0" fontId="19" fillId="0" borderId="0" xfId="0" applyFont="1"/>
    <xf numFmtId="0" fontId="36" fillId="0" borderId="0" xfId="0" applyFont="1"/>
    <xf numFmtId="0" fontId="19" fillId="2" borderId="0" xfId="0" applyFont="1" applyFill="1" applyAlignment="1">
      <alignment horizontal="center"/>
    </xf>
    <xf numFmtId="0" fontId="0" fillId="0" borderId="0" xfId="0" applyAlignment="1">
      <alignment horizontal="left" indent="1"/>
    </xf>
    <xf numFmtId="0" fontId="14" fillId="0" borderId="0" xfId="0" applyFont="1" applyAlignment="1">
      <alignment horizontal="left" vertical="center" wrapText="1"/>
    </xf>
    <xf numFmtId="0" fontId="19" fillId="2" borderId="0" xfId="0" applyFont="1" applyFill="1" applyAlignment="1">
      <alignment horizontal="left"/>
    </xf>
    <xf numFmtId="0" fontId="4" fillId="0" borderId="0" xfId="0" applyFont="1"/>
    <xf numFmtId="0" fontId="4" fillId="0" borderId="0" xfId="0" applyFont="1" applyAlignment="1">
      <alignment horizontal="center"/>
    </xf>
    <xf numFmtId="0" fontId="19" fillId="2" borderId="0" xfId="0" applyFont="1" applyFill="1"/>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8" fillId="2" borderId="0" xfId="0" applyFont="1" applyFill="1" applyAlignment="1">
      <alignment horizontal="center"/>
    </xf>
    <xf numFmtId="0" fontId="25" fillId="0" borderId="0" xfId="0" applyFont="1" applyAlignment="1">
      <alignment horizontal="left" vertical="center"/>
    </xf>
    <xf numFmtId="0" fontId="25" fillId="0" borderId="0" xfId="0" applyFont="1" applyAlignment="1">
      <alignment horizontal="left"/>
    </xf>
    <xf numFmtId="0" fontId="25" fillId="0" borderId="0" xfId="0" applyFont="1" applyAlignment="1">
      <alignment horizontal="left" indent="1"/>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10" fillId="0" borderId="0" xfId="0" applyFont="1" applyAlignment="1">
      <alignment horizontal="left"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7" fillId="0" borderId="0" xfId="0" quotePrefix="1" applyFont="1" applyAlignment="1">
      <alignmen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CONTROL_CHART!$A$288</c:f>
          <c:strCache>
            <c:ptCount val="1"/>
            <c:pt idx="0">
              <c:v>Raw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101.36505088738789</c:v>
                </c:pt>
                <c:pt idx="1">
                  <c:v>99.904339289539735</c:v>
                </c:pt>
                <c:pt idx="2">
                  <c:v>98.921342814076439</c:v>
                </c:pt>
                <c:pt idx="3">
                  <c:v>99.3040832424916</c:v>
                </c:pt>
                <c:pt idx="4">
                  <c:v>101.23198542828969</c:v>
                </c:pt>
                <c:pt idx="5">
                  <c:v>101.41128810759064</c:v>
                </c:pt>
                <c:pt idx="6">
                  <c:v>99.981344446847828</c:v>
                </c:pt>
                <c:pt idx="7">
                  <c:v>100.08813348961792</c:v>
                </c:pt>
                <c:pt idx="8">
                  <c:v>100.29127220426915</c:v>
                </c:pt>
                <c:pt idx="9">
                  <c:v>101.49109439955154</c:v>
                </c:pt>
                <c:pt idx="10">
                  <c:v>101.8478912571297</c:v>
                </c:pt>
                <c:pt idx="11">
                  <c:v>102.61225205837468</c:v>
                </c:pt>
                <c:pt idx="12">
                  <c:v>102.91544894662319</c:v>
                </c:pt>
                <c:pt idx="13">
                  <c:v>101.19292801440309</c:v>
                </c:pt>
                <c:pt idx="14">
                  <c:v>101.18877151398694</c:v>
                </c:pt>
                <c:pt idx="15">
                  <c:v>102.51172520860352</c:v>
                </c:pt>
                <c:pt idx="16">
                  <c:v>101.46170120121275</c:v>
                </c:pt>
                <c:pt idx="17">
                  <c:v>100.98617324159139</c:v>
                </c:pt>
                <c:pt idx="18">
                  <c:v>102.38436059145359</c:v>
                </c:pt>
                <c:pt idx="19">
                  <c:v>100.56342821290229</c:v>
                </c:pt>
                <c:pt idx="20">
                  <c:v>102.10112252349826</c:v>
                </c:pt>
                <c:pt idx="21">
                  <c:v>103.26776841798022</c:v>
                </c:pt>
                <c:pt idx="22">
                  <c:v>102.10439124871772</c:v>
                </c:pt>
                <c:pt idx="23">
                  <c:v>102.93906186649721</c:v>
                </c:pt>
                <c:pt idx="24">
                  <c:v>101.83302318850863</c:v>
                </c:pt>
                <c:pt idx="25">
                  <c:v>103.78623961981395</c:v>
                </c:pt>
                <c:pt idx="26">
                  <c:v>101.02018921887273</c:v>
                </c:pt>
                <c:pt idx="27">
                  <c:v>101.34902127533248</c:v>
                </c:pt>
                <c:pt idx="28">
                  <c:v>102.76527936826061</c:v>
                </c:pt>
                <c:pt idx="29">
                  <c:v>99.271883910919072</c:v>
                </c:pt>
                <c:pt idx="30">
                  <c:v>102.21334949251076</c:v>
                </c:pt>
                <c:pt idx="31">
                  <c:v>100.63463002749609</c:v>
                </c:pt>
                <c:pt idx="32">
                  <c:v>102.95348352059906</c:v>
                </c:pt>
                <c:pt idx="33">
                  <c:v>100.73290576304878</c:v>
                </c:pt>
                <c:pt idx="34">
                  <c:v>101.96249027617345</c:v>
                </c:pt>
                <c:pt idx="35">
                  <c:v>101.12643502969293</c:v>
                </c:pt>
                <c:pt idx="36">
                  <c:v>102.25478513243162</c:v>
                </c:pt>
                <c:pt idx="37">
                  <c:v>98.649691520435155</c:v>
                </c:pt>
                <c:pt idx="38">
                  <c:v>102.55003970203212</c:v>
                </c:pt>
                <c:pt idx="39">
                  <c:v>99.994153468834028</c:v>
                </c:pt>
                <c:pt idx="40">
                  <c:v>101.25931766751697</c:v>
                </c:pt>
                <c:pt idx="41">
                  <c:v>102.55263696766552</c:v>
                </c:pt>
                <c:pt idx="42">
                  <c:v>100.95205299062445</c:v>
                </c:pt>
                <c:pt idx="43">
                  <c:v>101.99657614491721</c:v>
                </c:pt>
                <c:pt idx="44">
                  <c:v>100.67276264591368</c:v>
                </c:pt>
                <c:pt idx="45">
                  <c:v>99.674159673546797</c:v>
                </c:pt>
                <c:pt idx="46">
                  <c:v>99.588688617455375</c:v>
                </c:pt>
                <c:pt idx="47">
                  <c:v>101.69895025315316</c:v>
                </c:pt>
                <c:pt idx="48">
                  <c:v>101.79774591222657</c:v>
                </c:pt>
                <c:pt idx="49">
                  <c:v>99.300719968609044</c:v>
                </c:pt>
                <c:pt idx="50">
                  <c:v>101.07387028771382</c:v>
                </c:pt>
                <c:pt idx="51">
                  <c:v>99.478251576557668</c:v>
                </c:pt>
                <c:pt idx="52">
                  <c:v>98.577452337866148</c:v>
                </c:pt>
                <c:pt idx="53">
                  <c:v>98.658084258350584</c:v>
                </c:pt>
                <c:pt idx="54">
                  <c:v>100.48815142817944</c:v>
                </c:pt>
                <c:pt idx="55">
                  <c:v>98.781585539632601</c:v>
                </c:pt>
                <c:pt idx="56">
                  <c:v>99.529680255436773</c:v>
                </c:pt>
                <c:pt idx="57">
                  <c:v>97.621462806028376</c:v>
                </c:pt>
                <c:pt idx="58">
                  <c:v>98.931703392174114</c:v>
                </c:pt>
                <c:pt idx="59">
                  <c:v>101.34288192928447</c:v>
                </c:pt>
                <c:pt idx="60">
                  <c:v>98.122446799254973</c:v>
                </c:pt>
                <c:pt idx="61">
                  <c:v>97.902334681056871</c:v>
                </c:pt>
                <c:pt idx="62">
                  <c:v>99.857560601416424</c:v>
                </c:pt>
                <c:pt idx="63">
                  <c:v>100.0932841705654</c:v>
                </c:pt>
                <c:pt idx="64">
                  <c:v>99.271056144860182</c:v>
                </c:pt>
                <c:pt idx="65">
                  <c:v>98.879784311481487</c:v>
                </c:pt>
                <c:pt idx="66">
                  <c:v>98.356338532218913</c:v>
                </c:pt>
                <c:pt idx="67">
                  <c:v>98.438875424783674</c:v>
                </c:pt>
                <c:pt idx="68">
                  <c:v>98.223020894549734</c:v>
                </c:pt>
                <c:pt idx="69">
                  <c:v>96.243644354390284</c:v>
                </c:pt>
                <c:pt idx="70">
                  <c:v>97.983173718045165</c:v>
                </c:pt>
                <c:pt idx="71">
                  <c:v>97.930892879987496</c:v>
                </c:pt>
                <c:pt idx="72">
                  <c:v>98.250199902076886</c:v>
                </c:pt>
                <c:pt idx="73">
                  <c:v>99.801095636987498</c:v>
                </c:pt>
                <c:pt idx="74">
                  <c:v>98.15051225113298</c:v>
                </c:pt>
                <c:pt idx="75">
                  <c:v>98.148040951591355</c:v>
                </c:pt>
                <c:pt idx="76">
                  <c:v>98.374115587441722</c:v>
                </c:pt>
                <c:pt idx="77">
                  <c:v>96.438507698359103</c:v>
                </c:pt>
                <c:pt idx="78">
                  <c:v>97.672405439164933</c:v>
                </c:pt>
                <c:pt idx="79">
                  <c:v>97.238870644448809</c:v>
                </c:pt>
                <c:pt idx="80">
                  <c:v>99.116103354731734</c:v>
                </c:pt>
                <c:pt idx="81">
                  <c:v>97.818005556523957</c:v>
                </c:pt>
                <c:pt idx="82">
                  <c:v>96.951347223192485</c:v>
                </c:pt>
                <c:pt idx="83">
                  <c:v>99.141677344243661</c:v>
                </c:pt>
                <c:pt idx="84">
                  <c:v>97.663924774051367</c:v>
                </c:pt>
                <c:pt idx="85">
                  <c:v>99.444053647343011</c:v>
                </c:pt>
                <c:pt idx="86">
                  <c:v>98.667373047356094</c:v>
                </c:pt>
                <c:pt idx="87">
                  <c:v>101.29287043110877</c:v>
                </c:pt>
                <c:pt idx="88">
                  <c:v>98.398843939077267</c:v>
                </c:pt>
                <c:pt idx="89">
                  <c:v>97.408908878553802</c:v>
                </c:pt>
                <c:pt idx="90">
                  <c:v>99.615865978367822</c:v>
                </c:pt>
                <c:pt idx="91">
                  <c:v>99.799821165165881</c:v>
                </c:pt>
                <c:pt idx="92">
                  <c:v>98.401183439923187</c:v>
                </c:pt>
                <c:pt idx="93">
                  <c:v>99.572296276966924</c:v>
                </c:pt>
                <c:pt idx="94">
                  <c:v>98.167193850513726</c:v>
                </c:pt>
                <c:pt idx="95">
                  <c:v>100.33456272639829</c:v>
                </c:pt>
                <c:pt idx="96">
                  <c:v>98.644005462496935</c:v>
                </c:pt>
                <c:pt idx="97">
                  <c:v>99.640053492679854</c:v>
                </c:pt>
                <c:pt idx="98">
                  <c:v>97.365307289421835</c:v>
                </c:pt>
                <c:pt idx="99">
                  <c:v>99.581859346332479</c:v>
                </c:pt>
                <c:pt idx="100">
                  <c:v>100.94487671645904</c:v>
                </c:pt>
                <c:pt idx="101">
                  <c:v>98.652070705505182</c:v>
                </c:pt>
                <c:pt idx="102">
                  <c:v>100.51003299347791</c:v>
                </c:pt>
                <c:pt idx="103">
                  <c:v>100.38685409140433</c:v>
                </c:pt>
                <c:pt idx="104">
                  <c:v>100.23628530808742</c:v>
                </c:pt>
                <c:pt idx="105">
                  <c:v>100.69487082132805</c:v>
                </c:pt>
                <c:pt idx="106">
                  <c:v>101.69940538540585</c:v>
                </c:pt>
                <c:pt idx="107">
                  <c:v>102.09728568418149</c:v>
                </c:pt>
                <c:pt idx="108">
                  <c:v>100.98201268819082</c:v>
                </c:pt>
                <c:pt idx="109">
                  <c:v>99.718649264567148</c:v>
                </c:pt>
                <c:pt idx="110">
                  <c:v>101.43367784631961</c:v>
                </c:pt>
                <c:pt idx="111">
                  <c:v>101.18992813998879</c:v>
                </c:pt>
                <c:pt idx="112">
                  <c:v>101.59397224446168</c:v>
                </c:pt>
                <c:pt idx="113">
                  <c:v>100.63361027894149</c:v>
                </c:pt>
                <c:pt idx="114">
                  <c:v>101.66015521659233</c:v>
                </c:pt>
                <c:pt idx="115">
                  <c:v>101.24828454107954</c:v>
                </c:pt>
                <c:pt idx="116">
                  <c:v>100.09815953331032</c:v>
                </c:pt>
                <c:pt idx="117">
                  <c:v>99.890319112527621</c:v>
                </c:pt>
                <c:pt idx="118">
                  <c:v>102.29046810954914</c:v>
                </c:pt>
                <c:pt idx="119">
                  <c:v>100.74871560249694</c:v>
                </c:pt>
                <c:pt idx="120">
                  <c:v>101.43743197027879</c:v>
                </c:pt>
                <c:pt idx="121">
                  <c:v>102.34775364951727</c:v>
                </c:pt>
                <c:pt idx="122">
                  <c:v>103.24262794237077</c:v>
                </c:pt>
                <c:pt idx="123">
                  <c:v>102.47712398932792</c:v>
                </c:pt>
                <c:pt idx="124">
                  <c:v>101.52894339826364</c:v>
                </c:pt>
                <c:pt idx="125">
                  <c:v>101.97904414279334</c:v>
                </c:pt>
                <c:pt idx="126">
                  <c:v>102.78747592678246</c:v>
                </c:pt>
                <c:pt idx="127">
                  <c:v>101.35133192115599</c:v>
                </c:pt>
                <c:pt idx="128">
                  <c:v>102.09085442348794</c:v>
                </c:pt>
                <c:pt idx="129">
                  <c:v>101.30427870650745</c:v>
                </c:pt>
                <c:pt idx="130">
                  <c:v>100.72188224294807</c:v>
                </c:pt>
                <c:pt idx="131">
                  <c:v>102.49608679031248</c:v>
                </c:pt>
                <c:pt idx="132">
                  <c:v>101.82265459856552</c:v>
                </c:pt>
                <c:pt idx="133">
                  <c:v>100.842501375187</c:v>
                </c:pt>
                <c:pt idx="134">
                  <c:v>104.0380963400121</c:v>
                </c:pt>
                <c:pt idx="135">
                  <c:v>102.01830829450886</c:v>
                </c:pt>
                <c:pt idx="136">
                  <c:v>99.116773458607767</c:v>
                </c:pt>
                <c:pt idx="137">
                  <c:v>101.87511144736955</c:v>
                </c:pt>
                <c:pt idx="138">
                  <c:v>100.2335333265119</c:v>
                </c:pt>
                <c:pt idx="139">
                  <c:v>101.97848451618044</c:v>
                </c:pt>
                <c:pt idx="140">
                  <c:v>100.41860371946335</c:v>
                </c:pt>
                <c:pt idx="141">
                  <c:v>102.64816152317181</c:v>
                </c:pt>
                <c:pt idx="142">
                  <c:v>100.95838516513349</c:v>
                </c:pt>
                <c:pt idx="143">
                  <c:v>100.64665372240904</c:v>
                </c:pt>
                <c:pt idx="144">
                  <c:v>100.65554321451457</c:v>
                </c:pt>
                <c:pt idx="145">
                  <c:v>100.80314565464246</c:v>
                </c:pt>
                <c:pt idx="146">
                  <c:v>100.45045247367803</c:v>
                </c:pt>
                <c:pt idx="147">
                  <c:v>100.94449285130428</c:v>
                </c:pt>
                <c:pt idx="148">
                  <c:v>98.581627476005565</c:v>
                </c:pt>
                <c:pt idx="149">
                  <c:v>100.14465773718383</c:v>
                </c:pt>
                <c:pt idx="150">
                  <c:v>101.93389906290388</c:v>
                </c:pt>
                <c:pt idx="151">
                  <c:v>99.279908689282436</c:v>
                </c:pt>
                <c:pt idx="152">
                  <c:v>97.846386618149353</c:v>
                </c:pt>
                <c:pt idx="153">
                  <c:v>100.22351164521693</c:v>
                </c:pt>
                <c:pt idx="154">
                  <c:v>97.360130751245961</c:v>
                </c:pt>
                <c:pt idx="155">
                  <c:v>100.27583217759161</c:v>
                </c:pt>
                <c:pt idx="156">
                  <c:v>99.932046230224785</c:v>
                </c:pt>
                <c:pt idx="157">
                  <c:v>98.719183849575458</c:v>
                </c:pt>
                <c:pt idx="158">
                  <c:v>98.711233346120281</c:v>
                </c:pt>
                <c:pt idx="159">
                  <c:v>99.081993131850325</c:v>
                </c:pt>
                <c:pt idx="160">
                  <c:v>97.13660162171837</c:v>
                </c:pt>
                <c:pt idx="161">
                  <c:v>100.22808165911668</c:v>
                </c:pt>
                <c:pt idx="162">
                  <c:v>100.61779632967036</c:v>
                </c:pt>
                <c:pt idx="163">
                  <c:v>97.329663665521991</c:v>
                </c:pt>
                <c:pt idx="164">
                  <c:v>97.912474554514063</c:v>
                </c:pt>
                <c:pt idx="165">
                  <c:v>98.338429409355953</c:v>
                </c:pt>
                <c:pt idx="166">
                  <c:v>98.647646993607836</c:v>
                </c:pt>
                <c:pt idx="167">
                  <c:v>96.84582675951674</c:v>
                </c:pt>
                <c:pt idx="168">
                  <c:v>97.838589457713866</c:v>
                </c:pt>
                <c:pt idx="169">
                  <c:v>97.111472703752426</c:v>
                </c:pt>
                <c:pt idx="170">
                  <c:v>98.105043646305944</c:v>
                </c:pt>
                <c:pt idx="171">
                  <c:v>97.138898059032101</c:v>
                </c:pt>
                <c:pt idx="172">
                  <c:v>99.073854800878706</c:v>
                </c:pt>
                <c:pt idx="173">
                  <c:v>97.041087507756373</c:v>
                </c:pt>
                <c:pt idx="174">
                  <c:v>97.807294212306232</c:v>
                </c:pt>
                <c:pt idx="175">
                  <c:v>98.286992589507605</c:v>
                </c:pt>
                <c:pt idx="176">
                  <c:v>99.244760543857637</c:v>
                </c:pt>
                <c:pt idx="177">
                  <c:v>96.887286688682693</c:v>
                </c:pt>
                <c:pt idx="178">
                  <c:v>96.896738719579815</c:v>
                </c:pt>
                <c:pt idx="179">
                  <c:v>98.855586243668697</c:v>
                </c:pt>
                <c:pt idx="180">
                  <c:v>97.886272927000022</c:v>
                </c:pt>
                <c:pt idx="181">
                  <c:v>98.912232602970576</c:v>
                </c:pt>
                <c:pt idx="182">
                  <c:v>97.593460895501991</c:v>
                </c:pt>
                <c:pt idx="183">
                  <c:v>98.967733172626509</c:v>
                </c:pt>
                <c:pt idx="184">
                  <c:v>99.325836330980621</c:v>
                </c:pt>
                <c:pt idx="185">
                  <c:v>99.110926188466323</c:v>
                </c:pt>
                <c:pt idx="186">
                  <c:v>97.548180043316393</c:v>
                </c:pt>
                <c:pt idx="187">
                  <c:v>97.583576352307716</c:v>
                </c:pt>
                <c:pt idx="188">
                  <c:v>99.366560025228637</c:v>
                </c:pt>
                <c:pt idx="189">
                  <c:v>98.648900529511153</c:v>
                </c:pt>
                <c:pt idx="190">
                  <c:v>98.6106878111204</c:v>
                </c:pt>
                <c:pt idx="191">
                  <c:v>99.20395957892886</c:v>
                </c:pt>
                <c:pt idx="192">
                  <c:v>99.85426577496105</c:v>
                </c:pt>
                <c:pt idx="193">
                  <c:v>99.669884128531393</c:v>
                </c:pt>
                <c:pt idx="194">
                  <c:v>99.005330738513436</c:v>
                </c:pt>
                <c:pt idx="195">
                  <c:v>99.873847485603591</c:v>
                </c:pt>
                <c:pt idx="196">
                  <c:v>101.36165904703365</c:v>
                </c:pt>
                <c:pt idx="197">
                  <c:v>98.836327325969506</c:v>
                </c:pt>
                <c:pt idx="198">
                  <c:v>99.652924274957471</c:v>
                </c:pt>
                <c:pt idx="199">
                  <c:v>98.749938180549989</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accent6">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101.36505088738789</c:v>
                </c:pt>
                <c:pt idx="1">
                  <c:v>100.99987298792585</c:v>
                </c:pt>
                <c:pt idx="2">
                  <c:v>100.4802404444635</c:v>
                </c:pt>
                <c:pt idx="3">
                  <c:v>100.18620114397052</c:v>
                </c:pt>
                <c:pt idx="4">
                  <c:v>100.44764721505032</c:v>
                </c:pt>
                <c:pt idx="5">
                  <c:v>100.6885574381854</c:v>
                </c:pt>
                <c:pt idx="6">
                  <c:v>100.51175419035101</c:v>
                </c:pt>
                <c:pt idx="7">
                  <c:v>100.40584901516775</c:v>
                </c:pt>
                <c:pt idx="8">
                  <c:v>100.3772048124431</c:v>
                </c:pt>
                <c:pt idx="9">
                  <c:v>100.65567720922022</c:v>
                </c:pt>
                <c:pt idx="10">
                  <c:v>100.95373072119759</c:v>
                </c:pt>
                <c:pt idx="11">
                  <c:v>101.36836105549186</c:v>
                </c:pt>
                <c:pt idx="12">
                  <c:v>101.7551330282747</c:v>
                </c:pt>
                <c:pt idx="13">
                  <c:v>101.61458177480679</c:v>
                </c:pt>
                <c:pt idx="14">
                  <c:v>101.50812920960183</c:v>
                </c:pt>
                <c:pt idx="15">
                  <c:v>101.75902820935225</c:v>
                </c:pt>
                <c:pt idx="16">
                  <c:v>101.68469645731737</c:v>
                </c:pt>
                <c:pt idx="17">
                  <c:v>101.51006565338588</c:v>
                </c:pt>
                <c:pt idx="18">
                  <c:v>101.7286393879028</c:v>
                </c:pt>
                <c:pt idx="19">
                  <c:v>101.43733659415267</c:v>
                </c:pt>
                <c:pt idx="20">
                  <c:v>101.60328307648906</c:v>
                </c:pt>
                <c:pt idx="21">
                  <c:v>102.01940441186186</c:v>
                </c:pt>
                <c:pt idx="22">
                  <c:v>102.04065112107583</c:v>
                </c:pt>
                <c:pt idx="23">
                  <c:v>102.26525380743118</c:v>
                </c:pt>
                <c:pt idx="24">
                  <c:v>102.15719615270055</c:v>
                </c:pt>
                <c:pt idx="25">
                  <c:v>102.56445701947891</c:v>
                </c:pt>
                <c:pt idx="26">
                  <c:v>102.17839006932735</c:v>
                </c:pt>
                <c:pt idx="27">
                  <c:v>101.97104787082863</c:v>
                </c:pt>
                <c:pt idx="28">
                  <c:v>102.16960574518663</c:v>
                </c:pt>
                <c:pt idx="29">
                  <c:v>101.44517528661974</c:v>
                </c:pt>
                <c:pt idx="30">
                  <c:v>101.63721883809249</c:v>
                </c:pt>
                <c:pt idx="31">
                  <c:v>101.38657163544339</c:v>
                </c:pt>
                <c:pt idx="32">
                  <c:v>101.7782996067323</c:v>
                </c:pt>
                <c:pt idx="33">
                  <c:v>101.51695114581143</c:v>
                </c:pt>
                <c:pt idx="34">
                  <c:v>101.62833592840194</c:v>
                </c:pt>
                <c:pt idx="35">
                  <c:v>101.50286070372468</c:v>
                </c:pt>
                <c:pt idx="36">
                  <c:v>101.69084181090142</c:v>
                </c:pt>
                <c:pt idx="37">
                  <c:v>100.93055423828486</c:v>
                </c:pt>
                <c:pt idx="38">
                  <c:v>101.33542560422167</c:v>
                </c:pt>
                <c:pt idx="39">
                  <c:v>101.00010757037477</c:v>
                </c:pt>
                <c:pt idx="40">
                  <c:v>101.06491009466032</c:v>
                </c:pt>
                <c:pt idx="41">
                  <c:v>101.43684181291162</c:v>
                </c:pt>
                <c:pt idx="42">
                  <c:v>101.31564460733983</c:v>
                </c:pt>
                <c:pt idx="43">
                  <c:v>101.48587749173419</c:v>
                </c:pt>
                <c:pt idx="44">
                  <c:v>101.28259878027906</c:v>
                </c:pt>
                <c:pt idx="45">
                  <c:v>100.880489003596</c:v>
                </c:pt>
                <c:pt idx="46">
                  <c:v>100.55753890706085</c:v>
                </c:pt>
                <c:pt idx="47">
                  <c:v>100.84289174358392</c:v>
                </c:pt>
                <c:pt idx="48">
                  <c:v>101.08160528574459</c:v>
                </c:pt>
                <c:pt idx="49">
                  <c:v>100.6363839564607</c:v>
                </c:pt>
                <c:pt idx="50">
                  <c:v>100.74575553927399</c:v>
                </c:pt>
                <c:pt idx="51">
                  <c:v>100.42887954859491</c:v>
                </c:pt>
                <c:pt idx="52">
                  <c:v>99.96602274591271</c:v>
                </c:pt>
                <c:pt idx="53">
                  <c:v>99.639038124022179</c:v>
                </c:pt>
                <c:pt idx="54">
                  <c:v>99.851316450061489</c:v>
                </c:pt>
                <c:pt idx="55">
                  <c:v>99.58388372245426</c:v>
                </c:pt>
                <c:pt idx="56">
                  <c:v>99.570332855699888</c:v>
                </c:pt>
                <c:pt idx="57">
                  <c:v>99.083115343282003</c:v>
                </c:pt>
                <c:pt idx="58">
                  <c:v>99.045262355505031</c:v>
                </c:pt>
                <c:pt idx="59">
                  <c:v>99.619667248949895</c:v>
                </c:pt>
                <c:pt idx="60">
                  <c:v>99.245362136526168</c:v>
                </c:pt>
                <c:pt idx="61">
                  <c:v>98.909605272658837</c:v>
                </c:pt>
                <c:pt idx="62">
                  <c:v>99.146594104848234</c:v>
                </c:pt>
                <c:pt idx="63">
                  <c:v>99.383266621277528</c:v>
                </c:pt>
                <c:pt idx="64">
                  <c:v>99.355214002173199</c:v>
                </c:pt>
                <c:pt idx="65">
                  <c:v>99.236356579500281</c:v>
                </c:pt>
                <c:pt idx="66">
                  <c:v>99.016352067679932</c:v>
                </c:pt>
                <c:pt idx="67">
                  <c:v>98.871982906955878</c:v>
                </c:pt>
                <c:pt idx="68">
                  <c:v>98.709742403854349</c:v>
                </c:pt>
                <c:pt idx="69">
                  <c:v>98.093217891488337</c:v>
                </c:pt>
                <c:pt idx="70">
                  <c:v>98.065706848127547</c:v>
                </c:pt>
                <c:pt idx="71">
                  <c:v>98.032003356092531</c:v>
                </c:pt>
                <c:pt idx="72">
                  <c:v>98.086552492588609</c:v>
                </c:pt>
                <c:pt idx="73">
                  <c:v>98.515188278688328</c:v>
                </c:pt>
                <c:pt idx="74">
                  <c:v>98.42401927179948</c:v>
                </c:pt>
                <c:pt idx="75">
                  <c:v>98.355024691747445</c:v>
                </c:pt>
                <c:pt idx="76">
                  <c:v>98.359797415671025</c:v>
                </c:pt>
                <c:pt idx="77">
                  <c:v>97.879474986343041</c:v>
                </c:pt>
                <c:pt idx="78">
                  <c:v>97.827707599548518</c:v>
                </c:pt>
                <c:pt idx="79">
                  <c:v>97.680498360773598</c:v>
                </c:pt>
                <c:pt idx="80">
                  <c:v>98.039399609263143</c:v>
                </c:pt>
                <c:pt idx="81">
                  <c:v>97.98405109607836</c:v>
                </c:pt>
                <c:pt idx="82">
                  <c:v>97.725875127856895</c:v>
                </c:pt>
                <c:pt idx="83">
                  <c:v>98.079825681953579</c:v>
                </c:pt>
                <c:pt idx="84">
                  <c:v>97.97585045497803</c:v>
                </c:pt>
                <c:pt idx="85">
                  <c:v>98.342901253069272</c:v>
                </c:pt>
                <c:pt idx="86">
                  <c:v>98.424019201640974</c:v>
                </c:pt>
                <c:pt idx="87">
                  <c:v>99.141232009007922</c:v>
                </c:pt>
                <c:pt idx="88">
                  <c:v>98.955634991525258</c:v>
                </c:pt>
                <c:pt idx="89">
                  <c:v>98.568953463282398</c:v>
                </c:pt>
                <c:pt idx="90">
                  <c:v>98.83068159205375</c:v>
                </c:pt>
                <c:pt idx="91">
                  <c:v>99.07296648533179</c:v>
                </c:pt>
                <c:pt idx="92">
                  <c:v>98.905020723979646</c:v>
                </c:pt>
                <c:pt idx="93">
                  <c:v>99.071839612226469</c:v>
                </c:pt>
                <c:pt idx="94">
                  <c:v>98.845678171798284</c:v>
                </c:pt>
                <c:pt idx="95">
                  <c:v>99.217899310448288</c:v>
                </c:pt>
                <c:pt idx="96">
                  <c:v>99.07442584846045</c:v>
                </c:pt>
                <c:pt idx="97">
                  <c:v>99.215832759515294</c:v>
                </c:pt>
                <c:pt idx="98">
                  <c:v>98.753201391991922</c:v>
                </c:pt>
                <c:pt idx="99">
                  <c:v>98.960365880577058</c:v>
                </c:pt>
                <c:pt idx="100">
                  <c:v>99.456493589547549</c:v>
                </c:pt>
                <c:pt idx="101">
                  <c:v>99.255387868536957</c:v>
                </c:pt>
                <c:pt idx="102">
                  <c:v>99.569049149772198</c:v>
                </c:pt>
                <c:pt idx="103">
                  <c:v>99.773500385180228</c:v>
                </c:pt>
                <c:pt idx="104">
                  <c:v>99.889196615907025</c:v>
                </c:pt>
                <c:pt idx="105">
                  <c:v>100.09061516726227</c:v>
                </c:pt>
                <c:pt idx="106">
                  <c:v>100.49281272179816</c:v>
                </c:pt>
                <c:pt idx="107">
                  <c:v>100.89393096239399</c:v>
                </c:pt>
                <c:pt idx="108">
                  <c:v>100.9159513938432</c:v>
                </c:pt>
                <c:pt idx="109">
                  <c:v>100.61662586152418</c:v>
                </c:pt>
                <c:pt idx="110">
                  <c:v>100.82088885772303</c:v>
                </c:pt>
                <c:pt idx="111">
                  <c:v>100.91314867828947</c:v>
                </c:pt>
                <c:pt idx="112">
                  <c:v>101.08335456983252</c:v>
                </c:pt>
                <c:pt idx="113">
                  <c:v>100.97091849710976</c:v>
                </c:pt>
                <c:pt idx="114">
                  <c:v>101.1432276769804</c:v>
                </c:pt>
                <c:pt idx="115">
                  <c:v>101.16949189300519</c:v>
                </c:pt>
                <c:pt idx="116">
                  <c:v>100.90165880308146</c:v>
                </c:pt>
                <c:pt idx="117">
                  <c:v>100.648823880443</c:v>
                </c:pt>
                <c:pt idx="118">
                  <c:v>101.05923493771954</c:v>
                </c:pt>
                <c:pt idx="119">
                  <c:v>100.98160510391388</c:v>
                </c:pt>
                <c:pt idx="120">
                  <c:v>101.09556182050511</c:v>
                </c:pt>
                <c:pt idx="121">
                  <c:v>101.40860977775816</c:v>
                </c:pt>
                <c:pt idx="122">
                  <c:v>101.86711431891132</c:v>
                </c:pt>
                <c:pt idx="123">
                  <c:v>102.01961673651547</c:v>
                </c:pt>
                <c:pt idx="124">
                  <c:v>101.89694840195253</c:v>
                </c:pt>
                <c:pt idx="125">
                  <c:v>101.91747233716274</c:v>
                </c:pt>
                <c:pt idx="126">
                  <c:v>102.13497323456767</c:v>
                </c:pt>
                <c:pt idx="127">
                  <c:v>101.93906290621474</c:v>
                </c:pt>
                <c:pt idx="128">
                  <c:v>101.97701078553304</c:v>
                </c:pt>
                <c:pt idx="129">
                  <c:v>101.80882776577664</c:v>
                </c:pt>
                <c:pt idx="130">
                  <c:v>101.5370913850695</c:v>
                </c:pt>
                <c:pt idx="131">
                  <c:v>101.77684023638024</c:v>
                </c:pt>
                <c:pt idx="132">
                  <c:v>101.78829382692656</c:v>
                </c:pt>
                <c:pt idx="133">
                  <c:v>101.55184571399167</c:v>
                </c:pt>
                <c:pt idx="134">
                  <c:v>102.17340837049677</c:v>
                </c:pt>
                <c:pt idx="135">
                  <c:v>102.1346333514998</c:v>
                </c:pt>
                <c:pt idx="136">
                  <c:v>101.38016837827679</c:v>
                </c:pt>
                <c:pt idx="137">
                  <c:v>101.50390414554998</c:v>
                </c:pt>
                <c:pt idx="138">
                  <c:v>101.18631144079046</c:v>
                </c:pt>
                <c:pt idx="139">
                  <c:v>101.38435470963796</c:v>
                </c:pt>
                <c:pt idx="140">
                  <c:v>101.14291696209432</c:v>
                </c:pt>
                <c:pt idx="141">
                  <c:v>101.51922810236368</c:v>
                </c:pt>
                <c:pt idx="142">
                  <c:v>101.37901736805614</c:v>
                </c:pt>
                <c:pt idx="143">
                  <c:v>101.19592645664437</c:v>
                </c:pt>
                <c:pt idx="144">
                  <c:v>101.06083064611192</c:v>
                </c:pt>
                <c:pt idx="145">
                  <c:v>100.99640939824457</c:v>
                </c:pt>
                <c:pt idx="146">
                  <c:v>100.85992016710293</c:v>
                </c:pt>
                <c:pt idx="147">
                  <c:v>100.88106333815327</c:v>
                </c:pt>
                <c:pt idx="148">
                  <c:v>100.30620437261635</c:v>
                </c:pt>
                <c:pt idx="149">
                  <c:v>100.26581771375822</c:v>
                </c:pt>
                <c:pt idx="150">
                  <c:v>100.68283805104464</c:v>
                </c:pt>
                <c:pt idx="151">
                  <c:v>100.33210571060408</c:v>
                </c:pt>
                <c:pt idx="152">
                  <c:v>99.710675937490407</c:v>
                </c:pt>
                <c:pt idx="153">
                  <c:v>99.838884864422042</c:v>
                </c:pt>
                <c:pt idx="154">
                  <c:v>99.219196336128022</c:v>
                </c:pt>
                <c:pt idx="155">
                  <c:v>99.483355296493926</c:v>
                </c:pt>
                <c:pt idx="156">
                  <c:v>99.595528029926641</c:v>
                </c:pt>
                <c:pt idx="157">
                  <c:v>99.376441984838848</c:v>
                </c:pt>
                <c:pt idx="158">
                  <c:v>99.210139825159217</c:v>
                </c:pt>
                <c:pt idx="159">
                  <c:v>99.178103151831991</c:v>
                </c:pt>
                <c:pt idx="160">
                  <c:v>98.667727769303582</c:v>
                </c:pt>
                <c:pt idx="161">
                  <c:v>99.057816241756854</c:v>
                </c:pt>
                <c:pt idx="162">
                  <c:v>99.447811263735218</c:v>
                </c:pt>
                <c:pt idx="163">
                  <c:v>98.918274364181912</c:v>
                </c:pt>
                <c:pt idx="164">
                  <c:v>98.666824411764949</c:v>
                </c:pt>
                <c:pt idx="165">
                  <c:v>98.584725661162707</c:v>
                </c:pt>
                <c:pt idx="166">
                  <c:v>98.600455994274</c:v>
                </c:pt>
                <c:pt idx="167">
                  <c:v>98.161798685584685</c:v>
                </c:pt>
                <c:pt idx="168">
                  <c:v>98.080996378616973</c:v>
                </c:pt>
                <c:pt idx="169">
                  <c:v>97.838615459900836</c:v>
                </c:pt>
                <c:pt idx="170">
                  <c:v>97.905222506502113</c:v>
                </c:pt>
                <c:pt idx="171">
                  <c:v>97.713641394634607</c:v>
                </c:pt>
                <c:pt idx="172">
                  <c:v>98.053694746195646</c:v>
                </c:pt>
                <c:pt idx="173">
                  <c:v>97.800542936585828</c:v>
                </c:pt>
                <c:pt idx="174">
                  <c:v>97.802230755515922</c:v>
                </c:pt>
                <c:pt idx="175">
                  <c:v>97.923421214013842</c:v>
                </c:pt>
                <c:pt idx="176">
                  <c:v>98.253756046474791</c:v>
                </c:pt>
                <c:pt idx="177">
                  <c:v>97.91213870702677</c:v>
                </c:pt>
                <c:pt idx="178">
                  <c:v>97.658288710165039</c:v>
                </c:pt>
                <c:pt idx="179">
                  <c:v>97.957613093540957</c:v>
                </c:pt>
                <c:pt idx="180">
                  <c:v>97.939778051905733</c:v>
                </c:pt>
                <c:pt idx="181">
                  <c:v>98.182891689671948</c:v>
                </c:pt>
                <c:pt idx="182">
                  <c:v>98.035533991129469</c:v>
                </c:pt>
                <c:pt idx="183">
                  <c:v>98.26858378650374</c:v>
                </c:pt>
                <c:pt idx="184">
                  <c:v>98.532896922622953</c:v>
                </c:pt>
                <c:pt idx="185">
                  <c:v>98.677404239083785</c:v>
                </c:pt>
                <c:pt idx="186">
                  <c:v>98.395098190141937</c:v>
                </c:pt>
                <c:pt idx="187">
                  <c:v>98.192217730683382</c:v>
                </c:pt>
                <c:pt idx="188">
                  <c:v>98.485803304319688</c:v>
                </c:pt>
                <c:pt idx="189">
                  <c:v>98.526577610617551</c:v>
                </c:pt>
                <c:pt idx="190">
                  <c:v>98.547605160743259</c:v>
                </c:pt>
                <c:pt idx="191">
                  <c:v>98.711693765289652</c:v>
                </c:pt>
                <c:pt idx="192">
                  <c:v>98.997336767707509</c:v>
                </c:pt>
                <c:pt idx="193">
                  <c:v>99.165473607913484</c:v>
                </c:pt>
                <c:pt idx="194">
                  <c:v>99.125437890563461</c:v>
                </c:pt>
                <c:pt idx="195">
                  <c:v>99.312540289323493</c:v>
                </c:pt>
                <c:pt idx="196">
                  <c:v>99.824819978751037</c:v>
                </c:pt>
                <c:pt idx="197">
                  <c:v>99.57769681555564</c:v>
                </c:pt>
                <c:pt idx="198">
                  <c:v>99.596503680406087</c:v>
                </c:pt>
                <c:pt idx="199">
                  <c:v>99.384862305442056</c:v>
                </c:pt>
              </c:numCache>
            </c:numRef>
          </c:yVal>
          <c:smooth val="0"/>
          <c:extLst>
            <c:ext xmlns:c16="http://schemas.microsoft.com/office/drawing/2014/chart" uri="{C3380CC4-5D6E-409C-BE32-E72D297353CC}">
              <c16:uniqueId val="{00000000-E71D-4257-9AEB-899C8DDA3250}"/>
            </c:ext>
          </c:extLst>
        </c:ser>
        <c:ser>
          <c:idx val="2"/>
          <c:order val="2"/>
          <c:tx>
            <c:strRef>
              <c:f>CONTROL_CHART!$G$291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CONTROL_CHART!$G$292:$G$491</c:f>
              <c:numCache>
                <c:formatCode>General</c:formatCode>
                <c:ptCount val="200"/>
                <c:pt idx="0">
                  <c:v>#N/A</c:v>
                </c:pt>
                <c:pt idx="1">
                  <c:v>104.46425472829392</c:v>
                </c:pt>
                <c:pt idx="2">
                  <c:v>104.47413712186973</c:v>
                </c:pt>
                <c:pt idx="3">
                  <c:v>103.58346389919731</c:v>
                </c:pt>
                <c:pt idx="4">
                  <c:v>103.92989103362824</c:v>
                </c:pt>
                <c:pt idx="5">
                  <c:v>104.22044086682573</c:v>
                </c:pt>
                <c:pt idx="6">
                  <c:v>103.68054916147784</c:v>
                </c:pt>
                <c:pt idx="7">
                  <c:v>103.31541468099574</c:v>
                </c:pt>
                <c:pt idx="8">
                  <c:v>103.20176344077522</c:v>
                </c:pt>
                <c:pt idx="9">
                  <c:v>103.20639142731785</c:v>
                </c:pt>
                <c:pt idx="10">
                  <c:v>103.24786851714865</c:v>
                </c:pt>
                <c:pt idx="11">
                  <c:v>104.49494985162123</c:v>
                </c:pt>
                <c:pt idx="12">
                  <c:v>105.67190627691022</c:v>
                </c:pt>
                <c:pt idx="13">
                  <c:v>104.85871532330053</c:v>
                </c:pt>
                <c:pt idx="14">
                  <c:v>104.24604264241421</c:v>
                </c:pt>
                <c:pt idx="15">
                  <c:v>104.00308700799295</c:v>
                </c:pt>
                <c:pt idx="16">
                  <c:v>104.01597019164173</c:v>
                </c:pt>
                <c:pt idx="17">
                  <c:v>104.15785176321037</c:v>
                </c:pt>
                <c:pt idx="18">
                  <c:v>104.06936574919131</c:v>
                </c:pt>
                <c:pt idx="19">
                  <c:v>103.60777780373988</c:v>
                </c:pt>
                <c:pt idx="20">
                  <c:v>103.84064131399467</c:v>
                </c:pt>
                <c:pt idx="21">
                  <c:v>104.87574723156804</c:v>
                </c:pt>
                <c:pt idx="22">
                  <c:v>104.8498236282128</c:v>
                </c:pt>
                <c:pt idx="23">
                  <c:v>105.27979669817533</c:v>
                </c:pt>
                <c:pt idx="24">
                  <c:v>104.76892127208184</c:v>
                </c:pt>
                <c:pt idx="25">
                  <c:v>105.82632294397257</c:v>
                </c:pt>
                <c:pt idx="26">
                  <c:v>105.13373282558429</c:v>
                </c:pt>
                <c:pt idx="27">
                  <c:v>105.2668035253774</c:v>
                </c:pt>
                <c:pt idx="28">
                  <c:v>105.08656979456568</c:v>
                </c:pt>
                <c:pt idx="29">
                  <c:v>106.11182841210761</c:v>
                </c:pt>
                <c:pt idx="30">
                  <c:v>105.93599822155903</c:v>
                </c:pt>
                <c:pt idx="31">
                  <c:v>105.88919912360174</c:v>
                </c:pt>
                <c:pt idx="32">
                  <c:v>105.82061930157451</c:v>
                </c:pt>
                <c:pt idx="33">
                  <c:v>105.49853330383065</c:v>
                </c:pt>
                <c:pt idx="34">
                  <c:v>105.66157331927444</c:v>
                </c:pt>
                <c:pt idx="35">
                  <c:v>105.23501204221964</c:v>
                </c:pt>
                <c:pt idx="36">
                  <c:v>104.32073243814604</c:v>
                </c:pt>
                <c:pt idx="37">
                  <c:v>105.22206837824123</c:v>
                </c:pt>
                <c:pt idx="38">
                  <c:v>105.74309601958849</c:v>
                </c:pt>
                <c:pt idx="39">
                  <c:v>105.1581913655134</c:v>
                </c:pt>
                <c:pt idx="40">
                  <c:v>105.20890144482564</c:v>
                </c:pt>
                <c:pt idx="41">
                  <c:v>105.87485881027384</c:v>
                </c:pt>
                <c:pt idx="42">
                  <c:v>105.71874849331545</c:v>
                </c:pt>
                <c:pt idx="43">
                  <c:v>105.92491784071228</c:v>
                </c:pt>
                <c:pt idx="44">
                  <c:v>104.25016372280399</c:v>
                </c:pt>
                <c:pt idx="45">
                  <c:v>103.99681695184053</c:v>
                </c:pt>
                <c:pt idx="46">
                  <c:v>104.11387525884007</c:v>
                </c:pt>
                <c:pt idx="47">
                  <c:v>104.29981367395975</c:v>
                </c:pt>
                <c:pt idx="48">
                  <c:v>104.11264058161706</c:v>
                </c:pt>
                <c:pt idx="49">
                  <c:v>104.12997687239938</c:v>
                </c:pt>
                <c:pt idx="50">
                  <c:v>103.91675708124956</c:v>
                </c:pt>
                <c:pt idx="51">
                  <c:v>103.75036601687316</c:v>
                </c:pt>
                <c:pt idx="52">
                  <c:v>103.90365483912167</c:v>
                </c:pt>
                <c:pt idx="53">
                  <c:v>104.08733223333502</c:v>
                </c:pt>
                <c:pt idx="54">
                  <c:v>103.56163672964691</c:v>
                </c:pt>
                <c:pt idx="55">
                  <c:v>102.49321123851036</c:v>
                </c:pt>
                <c:pt idx="56">
                  <c:v>102.45649264649326</c:v>
                </c:pt>
                <c:pt idx="57">
                  <c:v>101.81991295833284</c:v>
                </c:pt>
                <c:pt idx="58">
                  <c:v>101.72713733240317</c:v>
                </c:pt>
                <c:pt idx="59">
                  <c:v>103.45860642397027</c:v>
                </c:pt>
                <c:pt idx="60">
                  <c:v>103.16385860721613</c:v>
                </c:pt>
                <c:pt idx="61">
                  <c:v>102.70744594312626</c:v>
                </c:pt>
                <c:pt idx="62">
                  <c:v>103.10484585531772</c:v>
                </c:pt>
                <c:pt idx="63">
                  <c:v>103.56534623381661</c:v>
                </c:pt>
                <c:pt idx="64">
                  <c:v>102.93954250576131</c:v>
                </c:pt>
                <c:pt idx="65">
                  <c:v>102.85016875959469</c:v>
                </c:pt>
                <c:pt idx="66">
                  <c:v>101.59316949544713</c:v>
                </c:pt>
                <c:pt idx="67">
                  <c:v>101.32635126981532</c:v>
                </c:pt>
                <c:pt idx="68">
                  <c:v>101.16254371425565</c:v>
                </c:pt>
                <c:pt idx="69">
                  <c:v>101.89441589254817</c:v>
                </c:pt>
                <c:pt idx="70">
                  <c:v>100.98737976712181</c:v>
                </c:pt>
                <c:pt idx="71">
                  <c:v>100.55295377685805</c:v>
                </c:pt>
                <c:pt idx="72">
                  <c:v>100.43395985400508</c:v>
                </c:pt>
                <c:pt idx="73">
                  <c:v>101.89142458815792</c:v>
                </c:pt>
                <c:pt idx="74">
                  <c:v>101.71794826645647</c:v>
                </c:pt>
                <c:pt idx="75">
                  <c:v>101.5867885038833</c:v>
                </c:pt>
                <c:pt idx="76">
                  <c:v>100.29783873810874</c:v>
                </c:pt>
                <c:pt idx="77">
                  <c:v>100.95340202202692</c:v>
                </c:pt>
                <c:pt idx="78">
                  <c:v>100.9579152301786</c:v>
                </c:pt>
                <c:pt idx="79">
                  <c:v>100.9565908816986</c:v>
                </c:pt>
                <c:pt idx="80">
                  <c:v>100.67583497452181</c:v>
                </c:pt>
                <c:pt idx="81">
                  <c:v>100.5905653583238</c:v>
                </c:pt>
                <c:pt idx="82">
                  <c:v>100.42550815298253</c:v>
                </c:pt>
                <c:pt idx="83">
                  <c:v>101.34567973496569</c:v>
                </c:pt>
                <c:pt idx="84">
                  <c:v>100.56419934303666</c:v>
                </c:pt>
                <c:pt idx="85">
                  <c:v>101.4267913492166</c:v>
                </c:pt>
                <c:pt idx="86">
                  <c:v>101.21887086557803</c:v>
                </c:pt>
                <c:pt idx="87">
                  <c:v>103.67026363466258</c:v>
                </c:pt>
                <c:pt idx="88">
                  <c:v>103.16537904713448</c:v>
                </c:pt>
                <c:pt idx="89">
                  <c:v>102.57836875517145</c:v>
                </c:pt>
                <c:pt idx="90">
                  <c:v>102.8277479359607</c:v>
                </c:pt>
                <c:pt idx="91">
                  <c:v>102.80326910544076</c:v>
                </c:pt>
                <c:pt idx="92">
                  <c:v>102.7415599941444</c:v>
                </c:pt>
                <c:pt idx="93">
                  <c:v>102.88183923874304</c:v>
                </c:pt>
                <c:pt idx="94">
                  <c:v>101.57150887665919</c:v>
                </c:pt>
                <c:pt idx="95">
                  <c:v>102.43806966329331</c:v>
                </c:pt>
                <c:pt idx="96">
                  <c:v>101.55940954314444</c:v>
                </c:pt>
                <c:pt idx="97">
                  <c:v>101.66223180692852</c:v>
                </c:pt>
                <c:pt idx="98">
                  <c:v>101.84276981264327</c:v>
                </c:pt>
                <c:pt idx="99">
                  <c:v>102.05500386871095</c:v>
                </c:pt>
                <c:pt idx="100">
                  <c:v>103.27706778750809</c:v>
                </c:pt>
                <c:pt idx="101">
                  <c:v>102.84364514411165</c:v>
                </c:pt>
                <c:pt idx="102">
                  <c:v>103.31135952230215</c:v>
                </c:pt>
                <c:pt idx="103">
                  <c:v>103.52896409196291</c:v>
                </c:pt>
                <c:pt idx="104">
                  <c:v>103.73555577491265</c:v>
                </c:pt>
                <c:pt idx="105">
                  <c:v>102.44901047342093</c:v>
                </c:pt>
                <c:pt idx="106">
                  <c:v>103.27670831261224</c:v>
                </c:pt>
                <c:pt idx="107">
                  <c:v>104.35790622082445</c:v>
                </c:pt>
                <c:pt idx="108">
                  <c:v>103.02637241863025</c:v>
                </c:pt>
                <c:pt idx="109">
                  <c:v>103.21707124247924</c:v>
                </c:pt>
                <c:pt idx="110">
                  <c:v>103.38263397319376</c:v>
                </c:pt>
                <c:pt idx="111">
                  <c:v>103.31538322163014</c:v>
                </c:pt>
                <c:pt idx="112">
                  <c:v>103.43125162659071</c:v>
                </c:pt>
                <c:pt idx="113">
                  <c:v>103.29505982146443</c:v>
                </c:pt>
                <c:pt idx="114">
                  <c:v>103.21881824301664</c:v>
                </c:pt>
                <c:pt idx="115">
                  <c:v>103.25136640009515</c:v>
                </c:pt>
                <c:pt idx="116">
                  <c:v>102.74218943585535</c:v>
                </c:pt>
                <c:pt idx="117">
                  <c:v>102.9227089582311</c:v>
                </c:pt>
                <c:pt idx="118">
                  <c:v>103.70590563906234</c:v>
                </c:pt>
                <c:pt idx="119">
                  <c:v>103.54813670934061</c:v>
                </c:pt>
                <c:pt idx="120">
                  <c:v>103.68046697672528</c:v>
                </c:pt>
                <c:pt idx="121">
                  <c:v>104.44443263310221</c:v>
                </c:pt>
                <c:pt idx="122">
                  <c:v>105.88730895180807</c:v>
                </c:pt>
                <c:pt idx="123">
                  <c:v>105.56379663361018</c:v>
                </c:pt>
                <c:pt idx="124">
                  <c:v>104.39811668836869</c:v>
                </c:pt>
                <c:pt idx="125">
                  <c:v>104.36866579336599</c:v>
                </c:pt>
                <c:pt idx="126">
                  <c:v>104.14488040353334</c:v>
                </c:pt>
                <c:pt idx="127">
                  <c:v>104.1943395624117</c:v>
                </c:pt>
                <c:pt idx="128">
                  <c:v>104.13824539199514</c:v>
                </c:pt>
                <c:pt idx="129">
                  <c:v>103.56457212772838</c:v>
                </c:pt>
                <c:pt idx="130">
                  <c:v>103.5933420635203</c:v>
                </c:pt>
                <c:pt idx="131">
                  <c:v>103.96618929281651</c:v>
                </c:pt>
                <c:pt idx="132">
                  <c:v>103.96355220304287</c:v>
                </c:pt>
                <c:pt idx="133">
                  <c:v>103.50720872747335</c:v>
                </c:pt>
                <c:pt idx="134">
                  <c:v>105.71134290583825</c:v>
                </c:pt>
                <c:pt idx="135">
                  <c:v>105.6459668105186</c:v>
                </c:pt>
                <c:pt idx="136">
                  <c:v>106.08520630019993</c:v>
                </c:pt>
                <c:pt idx="137">
                  <c:v>106.09406939762646</c:v>
                </c:pt>
                <c:pt idx="138">
                  <c:v>105.93182293516465</c:v>
                </c:pt>
                <c:pt idx="139">
                  <c:v>106.09572295248559</c:v>
                </c:pt>
                <c:pt idx="140">
                  <c:v>106.01726634694543</c:v>
                </c:pt>
                <c:pt idx="141">
                  <c:v>105.48734752846818</c:v>
                </c:pt>
                <c:pt idx="142">
                  <c:v>105.20238056793958</c:v>
                </c:pt>
                <c:pt idx="143">
                  <c:v>103.95397838682125</c:v>
                </c:pt>
                <c:pt idx="144">
                  <c:v>103.74547579633969</c:v>
                </c:pt>
                <c:pt idx="145">
                  <c:v>103.53725518069187</c:v>
                </c:pt>
                <c:pt idx="146">
                  <c:v>103.20312385951476</c:v>
                </c:pt>
                <c:pt idx="147">
                  <c:v>103.1493034179362</c:v>
                </c:pt>
                <c:pt idx="148">
                  <c:v>102.84961320108428</c:v>
                </c:pt>
                <c:pt idx="149">
                  <c:v>102.69424615039325</c:v>
                </c:pt>
                <c:pt idx="150">
                  <c:v>103.78305485110779</c:v>
                </c:pt>
                <c:pt idx="151">
                  <c:v>103.65995950163754</c:v>
                </c:pt>
                <c:pt idx="152">
                  <c:v>103.97738197696589</c:v>
                </c:pt>
                <c:pt idx="153">
                  <c:v>104.03103611811409</c:v>
                </c:pt>
                <c:pt idx="154">
                  <c:v>103.96034340486125</c:v>
                </c:pt>
                <c:pt idx="155">
                  <c:v>104.20259402888385</c:v>
                </c:pt>
                <c:pt idx="156">
                  <c:v>104.27439215194141</c:v>
                </c:pt>
                <c:pt idx="157">
                  <c:v>102.98539193362163</c:v>
                </c:pt>
                <c:pt idx="158">
                  <c:v>102.77161564033209</c:v>
                </c:pt>
                <c:pt idx="159">
                  <c:v>102.3267107546134</c:v>
                </c:pt>
                <c:pt idx="160">
                  <c:v>102.22050438500523</c:v>
                </c:pt>
                <c:pt idx="161">
                  <c:v>102.42169877060628</c:v>
                </c:pt>
                <c:pt idx="162">
                  <c:v>103.07295849513321</c:v>
                </c:pt>
                <c:pt idx="163">
                  <c:v>102.8701065895989</c:v>
                </c:pt>
                <c:pt idx="164">
                  <c:v>102.75034810927005</c:v>
                </c:pt>
                <c:pt idx="165">
                  <c:v>102.6955827719957</c:v>
                </c:pt>
                <c:pt idx="166">
                  <c:v>102.6663163245632</c:v>
                </c:pt>
                <c:pt idx="167">
                  <c:v>102.58702581019638</c:v>
                </c:pt>
                <c:pt idx="168">
                  <c:v>101.75523593885219</c:v>
                </c:pt>
                <c:pt idx="169">
                  <c:v>99.844805540713097</c:v>
                </c:pt>
                <c:pt idx="170">
                  <c:v>99.855469214408814</c:v>
                </c:pt>
                <c:pt idx="171">
                  <c:v>99.791226605290163</c:v>
                </c:pt>
                <c:pt idx="172">
                  <c:v>100.68789098985536</c:v>
                </c:pt>
                <c:pt idx="173">
                  <c:v>100.28539864084064</c:v>
                </c:pt>
                <c:pt idx="174">
                  <c:v>99.995367874794198</c:v>
                </c:pt>
                <c:pt idx="175">
                  <c:v>100.23277291022171</c:v>
                </c:pt>
                <c:pt idx="176">
                  <c:v>100.87787687436058</c:v>
                </c:pt>
                <c:pt idx="177">
                  <c:v>100.83205120442189</c:v>
                </c:pt>
                <c:pt idx="178">
                  <c:v>100.77923358473235</c:v>
                </c:pt>
                <c:pt idx="179">
                  <c:v>100.88300105634725</c:v>
                </c:pt>
                <c:pt idx="180">
                  <c:v>100.64486375335053</c:v>
                </c:pt>
                <c:pt idx="181">
                  <c:v>101.06654121667552</c:v>
                </c:pt>
                <c:pt idx="182">
                  <c:v>100.96888080848959</c:v>
                </c:pt>
                <c:pt idx="183">
                  <c:v>101.17707788632089</c:v>
                </c:pt>
                <c:pt idx="184">
                  <c:v>101.28340662050599</c:v>
                </c:pt>
                <c:pt idx="185">
                  <c:v>100.64479265790777</c:v>
                </c:pt>
                <c:pt idx="186">
                  <c:v>100.71656902199139</c:v>
                </c:pt>
                <c:pt idx="187">
                  <c:v>100.75913239509431</c:v>
                </c:pt>
                <c:pt idx="188">
                  <c:v>101.11083151349477</c:v>
                </c:pt>
                <c:pt idx="189">
                  <c:v>100.89573648623744</c:v>
                </c:pt>
                <c:pt idx="190">
                  <c:v>100.85068039377995</c:v>
                </c:pt>
                <c:pt idx="191">
                  <c:v>100.99350891424349</c:v>
                </c:pt>
                <c:pt idx="192">
                  <c:v>101.81239229341259</c:v>
                </c:pt>
                <c:pt idx="193">
                  <c:v>101.56791470797282</c:v>
                </c:pt>
                <c:pt idx="194">
                  <c:v>100.57374650368139</c:v>
                </c:pt>
                <c:pt idx="195">
                  <c:v>100.94444515812586</c:v>
                </c:pt>
                <c:pt idx="196">
                  <c:v>102.54151761436502</c:v>
                </c:pt>
                <c:pt idx="197">
                  <c:v>102.13859310034621</c:v>
                </c:pt>
                <c:pt idx="198">
                  <c:v>102.10500598140125</c:v>
                </c:pt>
                <c:pt idx="199">
                  <c:v>102.16370828934238</c:v>
                </c:pt>
              </c:numCache>
            </c:numRef>
          </c:yVal>
          <c:smooth val="0"/>
          <c:extLst>
            <c:ext xmlns:c16="http://schemas.microsoft.com/office/drawing/2014/chart" uri="{C3380CC4-5D6E-409C-BE32-E72D297353CC}">
              <c16:uniqueId val="{00000001-E71D-4257-9AEB-899C8DDA3250}"/>
            </c:ext>
          </c:extLst>
        </c:ser>
        <c:ser>
          <c:idx val="3"/>
          <c:order val="3"/>
          <c:tx>
            <c:strRef>
              <c:f>CONTROL_CHART!$H$291</c:f>
              <c:strCache>
                <c:ptCount val="1"/>
                <c:pt idx="0">
                  <c:v>UWL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CONTROL_CHART!$H$292:$H$491</c:f>
              <c:numCache>
                <c:formatCode>General</c:formatCode>
                <c:ptCount val="200"/>
                <c:pt idx="0">
                  <c:v>#N/A</c:v>
                </c:pt>
                <c:pt idx="1">
                  <c:v>103.30946081483791</c:v>
                </c:pt>
                <c:pt idx="2">
                  <c:v>103.14283822940099</c:v>
                </c:pt>
                <c:pt idx="3">
                  <c:v>102.45104298078839</c:v>
                </c:pt>
                <c:pt idx="4">
                  <c:v>102.76914309410226</c:v>
                </c:pt>
                <c:pt idx="5">
                  <c:v>103.04314639061228</c:v>
                </c:pt>
                <c:pt idx="6">
                  <c:v>102.62428417110223</c:v>
                </c:pt>
                <c:pt idx="7">
                  <c:v>102.34555945905308</c:v>
                </c:pt>
                <c:pt idx="8">
                  <c:v>102.26024389799784</c:v>
                </c:pt>
                <c:pt idx="9">
                  <c:v>102.35615335461864</c:v>
                </c:pt>
                <c:pt idx="10">
                  <c:v>102.4831559184983</c:v>
                </c:pt>
                <c:pt idx="11">
                  <c:v>103.45275358624477</c:v>
                </c:pt>
                <c:pt idx="12">
                  <c:v>104.36631519403171</c:v>
                </c:pt>
                <c:pt idx="13">
                  <c:v>103.77733747380262</c:v>
                </c:pt>
                <c:pt idx="14">
                  <c:v>103.33340483147676</c:v>
                </c:pt>
                <c:pt idx="15">
                  <c:v>103.25506740844605</c:v>
                </c:pt>
                <c:pt idx="16">
                  <c:v>103.23887894686695</c:v>
                </c:pt>
                <c:pt idx="17">
                  <c:v>103.27525639326888</c:v>
                </c:pt>
                <c:pt idx="18">
                  <c:v>103.28912362876181</c:v>
                </c:pt>
                <c:pt idx="19">
                  <c:v>102.88429740054414</c:v>
                </c:pt>
                <c:pt idx="20">
                  <c:v>103.09485523482613</c:v>
                </c:pt>
                <c:pt idx="21">
                  <c:v>103.92363295833265</c:v>
                </c:pt>
                <c:pt idx="22">
                  <c:v>103.91343279250047</c:v>
                </c:pt>
                <c:pt idx="23">
                  <c:v>104.27494906792728</c:v>
                </c:pt>
                <c:pt idx="24">
                  <c:v>103.89834623228808</c:v>
                </c:pt>
                <c:pt idx="25">
                  <c:v>104.73903430247469</c:v>
                </c:pt>
                <c:pt idx="26">
                  <c:v>104.14861857349864</c:v>
                </c:pt>
                <c:pt idx="27">
                  <c:v>104.16821830719448</c:v>
                </c:pt>
                <c:pt idx="28">
                  <c:v>104.11424844477267</c:v>
                </c:pt>
                <c:pt idx="29">
                  <c:v>104.55627737027832</c:v>
                </c:pt>
                <c:pt idx="30">
                  <c:v>104.50307176040351</c:v>
                </c:pt>
                <c:pt idx="31">
                  <c:v>104.38832329421562</c:v>
                </c:pt>
                <c:pt idx="32">
                  <c:v>104.47317940329377</c:v>
                </c:pt>
                <c:pt idx="33">
                  <c:v>104.17133925115758</c:v>
                </c:pt>
                <c:pt idx="34">
                  <c:v>104.31716085565027</c:v>
                </c:pt>
                <c:pt idx="35">
                  <c:v>103.99096159605465</c:v>
                </c:pt>
                <c:pt idx="36">
                  <c:v>103.4441022290645</c:v>
                </c:pt>
                <c:pt idx="37">
                  <c:v>103.79156366492245</c:v>
                </c:pt>
                <c:pt idx="38">
                  <c:v>104.27387254779956</c:v>
                </c:pt>
                <c:pt idx="39">
                  <c:v>103.77216343380053</c:v>
                </c:pt>
                <c:pt idx="40">
                  <c:v>103.82757099477053</c:v>
                </c:pt>
                <c:pt idx="41">
                  <c:v>104.39551981115311</c:v>
                </c:pt>
                <c:pt idx="42">
                  <c:v>104.25104719799023</c:v>
                </c:pt>
                <c:pt idx="43">
                  <c:v>104.44523772438625</c:v>
                </c:pt>
                <c:pt idx="44">
                  <c:v>103.26097540862902</c:v>
                </c:pt>
                <c:pt idx="45">
                  <c:v>102.95804096909235</c:v>
                </c:pt>
                <c:pt idx="46">
                  <c:v>102.92842980824699</c:v>
                </c:pt>
                <c:pt idx="47">
                  <c:v>103.14750636383448</c:v>
                </c:pt>
                <c:pt idx="48">
                  <c:v>103.1022954829929</c:v>
                </c:pt>
                <c:pt idx="49">
                  <c:v>102.96544590041982</c:v>
                </c:pt>
                <c:pt idx="50">
                  <c:v>102.8597565672577</c:v>
                </c:pt>
                <c:pt idx="51">
                  <c:v>102.6432038607804</c:v>
                </c:pt>
                <c:pt idx="52">
                  <c:v>102.59111080805201</c:v>
                </c:pt>
                <c:pt idx="53">
                  <c:v>102.60456753023074</c:v>
                </c:pt>
                <c:pt idx="54">
                  <c:v>102.32486330311843</c:v>
                </c:pt>
                <c:pt idx="55">
                  <c:v>101.52343539982499</c:v>
                </c:pt>
                <c:pt idx="56">
                  <c:v>101.49443938289546</c:v>
                </c:pt>
                <c:pt idx="57">
                  <c:v>100.90764708664923</c:v>
                </c:pt>
                <c:pt idx="58">
                  <c:v>100.83317900677045</c:v>
                </c:pt>
                <c:pt idx="59">
                  <c:v>102.1789600322968</c:v>
                </c:pt>
                <c:pt idx="60">
                  <c:v>101.85769311698614</c:v>
                </c:pt>
                <c:pt idx="61">
                  <c:v>101.44149905297046</c:v>
                </c:pt>
                <c:pt idx="62">
                  <c:v>101.78542860516123</c:v>
                </c:pt>
                <c:pt idx="63">
                  <c:v>102.17131969630358</c:v>
                </c:pt>
                <c:pt idx="64">
                  <c:v>101.74476633789861</c:v>
                </c:pt>
                <c:pt idx="65">
                  <c:v>101.64556469956322</c:v>
                </c:pt>
                <c:pt idx="66">
                  <c:v>100.73423035285806</c:v>
                </c:pt>
                <c:pt idx="67">
                  <c:v>100.50822848219551</c:v>
                </c:pt>
                <c:pt idx="68">
                  <c:v>100.34494327745522</c:v>
                </c:pt>
                <c:pt idx="69">
                  <c:v>100.62734989219489</c:v>
                </c:pt>
                <c:pt idx="70">
                  <c:v>100.01348879412372</c:v>
                </c:pt>
                <c:pt idx="71">
                  <c:v>99.712636969936213</c:v>
                </c:pt>
                <c:pt idx="72">
                  <c:v>99.651490733532924</c:v>
                </c:pt>
                <c:pt idx="73">
                  <c:v>100.76601248500138</c:v>
                </c:pt>
                <c:pt idx="74">
                  <c:v>100.61997193490414</c:v>
                </c:pt>
                <c:pt idx="75">
                  <c:v>100.50953389983802</c:v>
                </c:pt>
                <c:pt idx="76">
                  <c:v>99.651824963962838</c:v>
                </c:pt>
                <c:pt idx="77">
                  <c:v>99.928759676798961</c:v>
                </c:pt>
                <c:pt idx="78">
                  <c:v>99.914512686635248</c:v>
                </c:pt>
                <c:pt idx="79">
                  <c:v>99.864560041390263</c:v>
                </c:pt>
                <c:pt idx="80">
                  <c:v>99.797023186102251</c:v>
                </c:pt>
                <c:pt idx="81">
                  <c:v>99.721727270908659</c:v>
                </c:pt>
                <c:pt idx="82">
                  <c:v>99.525630477940652</c:v>
                </c:pt>
                <c:pt idx="83">
                  <c:v>100.25706171729499</c:v>
                </c:pt>
                <c:pt idx="84">
                  <c:v>99.701416380350452</c:v>
                </c:pt>
                <c:pt idx="85">
                  <c:v>100.39882798383417</c:v>
                </c:pt>
                <c:pt idx="86">
                  <c:v>100.28725364426568</c:v>
                </c:pt>
                <c:pt idx="87">
                  <c:v>102.16058642611102</c:v>
                </c:pt>
                <c:pt idx="88">
                  <c:v>101.76213102859806</c:v>
                </c:pt>
                <c:pt idx="89">
                  <c:v>101.24189699120843</c:v>
                </c:pt>
                <c:pt idx="90">
                  <c:v>101.49539248799172</c:v>
                </c:pt>
                <c:pt idx="91">
                  <c:v>101.55983489873776</c:v>
                </c:pt>
                <c:pt idx="92">
                  <c:v>101.46271357075614</c:v>
                </c:pt>
                <c:pt idx="93">
                  <c:v>101.61183936323752</c:v>
                </c:pt>
                <c:pt idx="94">
                  <c:v>100.66289864170557</c:v>
                </c:pt>
                <c:pt idx="95">
                  <c:v>101.3646795456783</c:v>
                </c:pt>
                <c:pt idx="96">
                  <c:v>100.73108164491644</c:v>
                </c:pt>
                <c:pt idx="97">
                  <c:v>100.84676545779078</c:v>
                </c:pt>
                <c:pt idx="98">
                  <c:v>100.81291367242615</c:v>
                </c:pt>
                <c:pt idx="99">
                  <c:v>101.02345787266633</c:v>
                </c:pt>
                <c:pt idx="100">
                  <c:v>102.00354305485457</c:v>
                </c:pt>
                <c:pt idx="101">
                  <c:v>101.64755938558676</c:v>
                </c:pt>
                <c:pt idx="102">
                  <c:v>102.06392273145885</c:v>
                </c:pt>
                <c:pt idx="103">
                  <c:v>102.27714285636868</c:v>
                </c:pt>
                <c:pt idx="104">
                  <c:v>102.45343605524411</c:v>
                </c:pt>
                <c:pt idx="105">
                  <c:v>101.66287870470137</c:v>
                </c:pt>
                <c:pt idx="106">
                  <c:v>102.34874311567422</c:v>
                </c:pt>
                <c:pt idx="107">
                  <c:v>103.20324780134763</c:v>
                </c:pt>
                <c:pt idx="108">
                  <c:v>102.32289874370123</c:v>
                </c:pt>
                <c:pt idx="109">
                  <c:v>102.35025611549422</c:v>
                </c:pt>
                <c:pt idx="110">
                  <c:v>102.52871893470352</c:v>
                </c:pt>
                <c:pt idx="111">
                  <c:v>102.51463837384992</c:v>
                </c:pt>
                <c:pt idx="112">
                  <c:v>102.64861927433797</c:v>
                </c:pt>
                <c:pt idx="113">
                  <c:v>102.52034604667955</c:v>
                </c:pt>
                <c:pt idx="114">
                  <c:v>102.52695472100456</c:v>
                </c:pt>
                <c:pt idx="115">
                  <c:v>102.55740823106517</c:v>
                </c:pt>
                <c:pt idx="116">
                  <c:v>102.12867922493072</c:v>
                </c:pt>
                <c:pt idx="117">
                  <c:v>102.16474726563507</c:v>
                </c:pt>
                <c:pt idx="118">
                  <c:v>102.82368207194807</c:v>
                </c:pt>
                <c:pt idx="119">
                  <c:v>102.69262617419837</c:v>
                </c:pt>
                <c:pt idx="120">
                  <c:v>102.81883192465189</c:v>
                </c:pt>
                <c:pt idx="121">
                  <c:v>103.43249168132085</c:v>
                </c:pt>
                <c:pt idx="122">
                  <c:v>104.54724407417582</c:v>
                </c:pt>
                <c:pt idx="123">
                  <c:v>104.38240333457861</c:v>
                </c:pt>
                <c:pt idx="124">
                  <c:v>103.56439392622997</c:v>
                </c:pt>
                <c:pt idx="125">
                  <c:v>103.5516013079649</c:v>
                </c:pt>
                <c:pt idx="126">
                  <c:v>103.47491134721145</c:v>
                </c:pt>
                <c:pt idx="127">
                  <c:v>103.44258067701271</c:v>
                </c:pt>
                <c:pt idx="128">
                  <c:v>103.41783385650777</c:v>
                </c:pt>
                <c:pt idx="129">
                  <c:v>102.97932400707781</c:v>
                </c:pt>
                <c:pt idx="130">
                  <c:v>102.90792517070336</c:v>
                </c:pt>
                <c:pt idx="131">
                  <c:v>103.23640627400442</c:v>
                </c:pt>
                <c:pt idx="132">
                  <c:v>103.23846607767076</c:v>
                </c:pt>
                <c:pt idx="133">
                  <c:v>102.85542105631279</c:v>
                </c:pt>
                <c:pt idx="134">
                  <c:v>104.53203139405775</c:v>
                </c:pt>
                <c:pt idx="135">
                  <c:v>104.475522324179</c:v>
                </c:pt>
                <c:pt idx="136">
                  <c:v>104.51686032622555</c:v>
                </c:pt>
                <c:pt idx="137">
                  <c:v>104.56401431360096</c:v>
                </c:pt>
                <c:pt idx="138">
                  <c:v>104.34998577037325</c:v>
                </c:pt>
                <c:pt idx="139">
                  <c:v>104.52526687153637</c:v>
                </c:pt>
                <c:pt idx="140">
                  <c:v>104.39248321866172</c:v>
                </c:pt>
                <c:pt idx="141">
                  <c:v>104.16464105310001</c:v>
                </c:pt>
                <c:pt idx="142">
                  <c:v>103.92792616797844</c:v>
                </c:pt>
                <c:pt idx="143">
                  <c:v>103.03462774342896</c:v>
                </c:pt>
                <c:pt idx="144">
                  <c:v>102.8505940795971</c:v>
                </c:pt>
                <c:pt idx="145">
                  <c:v>102.69030658654277</c:v>
                </c:pt>
                <c:pt idx="146">
                  <c:v>102.42205596204414</c:v>
                </c:pt>
                <c:pt idx="147">
                  <c:v>102.39322339134189</c:v>
                </c:pt>
                <c:pt idx="148">
                  <c:v>102.00181025826164</c:v>
                </c:pt>
                <c:pt idx="149">
                  <c:v>101.88477000484824</c:v>
                </c:pt>
                <c:pt idx="150">
                  <c:v>102.74964925108674</c:v>
                </c:pt>
                <c:pt idx="151">
                  <c:v>102.55067490462639</c:v>
                </c:pt>
                <c:pt idx="152">
                  <c:v>102.55514663047407</c:v>
                </c:pt>
                <c:pt idx="153">
                  <c:v>102.6336523668834</c:v>
                </c:pt>
                <c:pt idx="154">
                  <c:v>102.37996104861683</c:v>
                </c:pt>
                <c:pt idx="155">
                  <c:v>102.62951445142055</c:v>
                </c:pt>
                <c:pt idx="156">
                  <c:v>102.71477077793649</c:v>
                </c:pt>
                <c:pt idx="157">
                  <c:v>101.7824086173607</c:v>
                </c:pt>
                <c:pt idx="158">
                  <c:v>101.58445703527447</c:v>
                </c:pt>
                <c:pt idx="159">
                  <c:v>101.2771748870196</c:v>
                </c:pt>
                <c:pt idx="160">
                  <c:v>101.03624551310467</c:v>
                </c:pt>
                <c:pt idx="161">
                  <c:v>101.30040459432314</c:v>
                </c:pt>
                <c:pt idx="162">
                  <c:v>101.86457608466721</c:v>
                </c:pt>
                <c:pt idx="163">
                  <c:v>101.55282918112657</c:v>
                </c:pt>
                <c:pt idx="164">
                  <c:v>101.38917354343501</c:v>
                </c:pt>
                <c:pt idx="165">
                  <c:v>101.3252970683847</c:v>
                </c:pt>
                <c:pt idx="166">
                  <c:v>101.31102954780013</c:v>
                </c:pt>
                <c:pt idx="167">
                  <c:v>101.11195010199248</c:v>
                </c:pt>
                <c:pt idx="168">
                  <c:v>100.53048941877378</c:v>
                </c:pt>
                <c:pt idx="169">
                  <c:v>99.176075513775672</c:v>
                </c:pt>
                <c:pt idx="170">
                  <c:v>99.205386978439918</c:v>
                </c:pt>
                <c:pt idx="171">
                  <c:v>99.098698201738301</c:v>
                </c:pt>
                <c:pt idx="172">
                  <c:v>99.809825575302128</c:v>
                </c:pt>
                <c:pt idx="173">
                  <c:v>99.457113406089036</c:v>
                </c:pt>
                <c:pt idx="174">
                  <c:v>99.264322168368111</c:v>
                </c:pt>
                <c:pt idx="175">
                  <c:v>99.462989011485746</c:v>
                </c:pt>
                <c:pt idx="176">
                  <c:v>100.00316993173199</c:v>
                </c:pt>
                <c:pt idx="177">
                  <c:v>99.858747038623505</c:v>
                </c:pt>
                <c:pt idx="178">
                  <c:v>99.738918626543253</c:v>
                </c:pt>
                <c:pt idx="179">
                  <c:v>99.907871735411831</c:v>
                </c:pt>
                <c:pt idx="180">
                  <c:v>99.743168519535601</c:v>
                </c:pt>
                <c:pt idx="181">
                  <c:v>100.10532470767433</c:v>
                </c:pt>
                <c:pt idx="182">
                  <c:v>99.991098536036219</c:v>
                </c:pt>
                <c:pt idx="183">
                  <c:v>100.2075798530485</c:v>
                </c:pt>
                <c:pt idx="184">
                  <c:v>100.36657005454497</c:v>
                </c:pt>
                <c:pt idx="185">
                  <c:v>99.988996518299771</c:v>
                </c:pt>
                <c:pt idx="186">
                  <c:v>99.942745411374901</c:v>
                </c:pt>
                <c:pt idx="187">
                  <c:v>99.903494173623997</c:v>
                </c:pt>
                <c:pt idx="188">
                  <c:v>100.2358221104364</c:v>
                </c:pt>
                <c:pt idx="189">
                  <c:v>100.10601686103081</c:v>
                </c:pt>
                <c:pt idx="190">
                  <c:v>100.0829886494344</c:v>
                </c:pt>
                <c:pt idx="191">
                  <c:v>100.23290386459222</c:v>
                </c:pt>
                <c:pt idx="192">
                  <c:v>100.87404045151089</c:v>
                </c:pt>
                <c:pt idx="193">
                  <c:v>100.76710100795304</c:v>
                </c:pt>
                <c:pt idx="194">
                  <c:v>100.09097696597541</c:v>
                </c:pt>
                <c:pt idx="195">
                  <c:v>100.40047686852508</c:v>
                </c:pt>
                <c:pt idx="196">
                  <c:v>101.63595173582702</c:v>
                </c:pt>
                <c:pt idx="197">
                  <c:v>101.28496100541602</c:v>
                </c:pt>
                <c:pt idx="198">
                  <c:v>101.26883854773619</c:v>
                </c:pt>
                <c:pt idx="199">
                  <c:v>101.23742629470894</c:v>
                </c:pt>
              </c:numCache>
            </c:numRef>
          </c:yVal>
          <c:smooth val="0"/>
          <c:extLst>
            <c:ext xmlns:c16="http://schemas.microsoft.com/office/drawing/2014/chart" uri="{C3380CC4-5D6E-409C-BE32-E72D297353CC}">
              <c16:uniqueId val="{00000002-E71D-4257-9AEB-899C8DDA3250}"/>
            </c:ext>
          </c:extLst>
        </c:ser>
        <c:ser>
          <c:idx val="4"/>
          <c:order val="4"/>
          <c:tx>
            <c:strRef>
              <c:f>CONTROL_CHART!$I$291</c:f>
              <c:strCache>
                <c:ptCount val="1"/>
                <c:pt idx="0">
                  <c:v>LWL</c:v>
                </c:pt>
              </c:strCache>
            </c:strRef>
          </c:tx>
          <c:spPr>
            <a:ln w="25400" cap="rnd">
              <a:solidFill>
                <a:schemeClr val="accent2">
                  <a:alpha val="2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CONTROL_CHART!$I$292:$I$491</c:f>
              <c:numCache>
                <c:formatCode>General</c:formatCode>
                <c:ptCount val="200"/>
                <c:pt idx="0">
                  <c:v>#N/A</c:v>
                </c:pt>
                <c:pt idx="1">
                  <c:v>98.690285161013804</c:v>
                </c:pt>
                <c:pt idx="2">
                  <c:v>97.817642659526015</c:v>
                </c:pt>
                <c:pt idx="3">
                  <c:v>97.921359307152656</c:v>
                </c:pt>
                <c:pt idx="4">
                  <c:v>98.126151335998387</c:v>
                </c:pt>
                <c:pt idx="5">
                  <c:v>98.333968485758518</c:v>
                </c:pt>
                <c:pt idx="6">
                  <c:v>98.399224209599794</c:v>
                </c:pt>
                <c:pt idx="7">
                  <c:v>98.466138571282414</c:v>
                </c:pt>
                <c:pt idx="8">
                  <c:v>98.494165726888355</c:v>
                </c:pt>
                <c:pt idx="9">
                  <c:v>98.955201063821789</c:v>
                </c:pt>
                <c:pt idx="10">
                  <c:v>99.424305523896876</c:v>
                </c:pt>
                <c:pt idx="11">
                  <c:v>99.283968524738953</c:v>
                </c:pt>
                <c:pt idx="12">
                  <c:v>99.143950862517684</c:v>
                </c:pt>
                <c:pt idx="13">
                  <c:v>99.45182607581097</c:v>
                </c:pt>
                <c:pt idx="14">
                  <c:v>99.68285358772691</c:v>
                </c:pt>
                <c:pt idx="15">
                  <c:v>100.26298901025845</c:v>
                </c:pt>
                <c:pt idx="16">
                  <c:v>100.1305139677678</c:v>
                </c:pt>
                <c:pt idx="17">
                  <c:v>99.744874913502883</c:v>
                </c:pt>
                <c:pt idx="18">
                  <c:v>100.16815514704379</c:v>
                </c:pt>
                <c:pt idx="19">
                  <c:v>99.990375787761195</c:v>
                </c:pt>
                <c:pt idx="20">
                  <c:v>100.111710918152</c:v>
                </c:pt>
                <c:pt idx="21">
                  <c:v>100.11517586539107</c:v>
                </c:pt>
                <c:pt idx="22">
                  <c:v>100.16786944965118</c:v>
                </c:pt>
                <c:pt idx="23">
                  <c:v>100.25555854693508</c:v>
                </c:pt>
                <c:pt idx="24">
                  <c:v>100.41604607311302</c:v>
                </c:pt>
                <c:pt idx="25">
                  <c:v>100.38987973648312</c:v>
                </c:pt>
                <c:pt idx="26">
                  <c:v>100.20816156515606</c:v>
                </c:pt>
                <c:pt idx="27">
                  <c:v>99.773877434462776</c:v>
                </c:pt>
                <c:pt idx="28">
                  <c:v>100.22496304560059</c:v>
                </c:pt>
                <c:pt idx="29">
                  <c:v>98.334073202961164</c:v>
                </c:pt>
                <c:pt idx="30">
                  <c:v>98.771365915781473</c:v>
                </c:pt>
                <c:pt idx="31">
                  <c:v>98.384819976671153</c:v>
                </c:pt>
                <c:pt idx="32">
                  <c:v>99.083419810170838</c:v>
                </c:pt>
                <c:pt idx="33">
                  <c:v>98.86256304046529</c:v>
                </c:pt>
                <c:pt idx="34">
                  <c:v>98.939511001153605</c:v>
                </c:pt>
                <c:pt idx="35">
                  <c:v>99.014759811394711</c:v>
                </c:pt>
                <c:pt idx="36">
                  <c:v>99.937581392738338</c:v>
                </c:pt>
                <c:pt idx="37">
                  <c:v>98.069544811647262</c:v>
                </c:pt>
                <c:pt idx="38">
                  <c:v>98.396978660643782</c:v>
                </c:pt>
                <c:pt idx="39">
                  <c:v>98.228051706949003</c:v>
                </c:pt>
                <c:pt idx="40">
                  <c:v>98.302249194550114</c:v>
                </c:pt>
                <c:pt idx="41">
                  <c:v>98.47816381467014</c:v>
                </c:pt>
                <c:pt idx="42">
                  <c:v>98.380242016689436</c:v>
                </c:pt>
                <c:pt idx="43">
                  <c:v>98.526517259082127</c:v>
                </c:pt>
                <c:pt idx="44">
                  <c:v>99.304222151929096</c:v>
                </c:pt>
                <c:pt idx="45">
                  <c:v>98.802937038099643</c:v>
                </c:pt>
                <c:pt idx="46">
                  <c:v>98.186648005874702</c:v>
                </c:pt>
                <c:pt idx="47">
                  <c:v>98.538277123333359</c:v>
                </c:pt>
                <c:pt idx="48">
                  <c:v>99.060915088496273</c:v>
                </c:pt>
                <c:pt idx="49">
                  <c:v>98.307322012501587</c:v>
                </c:pt>
                <c:pt idx="50">
                  <c:v>98.631754511290268</c:v>
                </c:pt>
                <c:pt idx="51">
                  <c:v>98.21455523640941</c:v>
                </c:pt>
                <c:pt idx="52">
                  <c:v>97.340934683773412</c:v>
                </c:pt>
                <c:pt idx="53">
                  <c:v>96.673508717813618</c:v>
                </c:pt>
                <c:pt idx="54">
                  <c:v>97.377769597004544</c:v>
                </c:pt>
                <c:pt idx="55">
                  <c:v>97.64433204508353</c:v>
                </c:pt>
                <c:pt idx="56">
                  <c:v>97.646226328504312</c:v>
                </c:pt>
                <c:pt idx="57">
                  <c:v>97.258583599914772</c:v>
                </c:pt>
                <c:pt idx="58">
                  <c:v>97.257345704239611</c:v>
                </c:pt>
                <c:pt idx="59">
                  <c:v>97.06037446560299</c:v>
                </c:pt>
                <c:pt idx="60">
                  <c:v>96.633031156066195</c:v>
                </c:pt>
                <c:pt idx="61">
                  <c:v>96.377711492347217</c:v>
                </c:pt>
                <c:pt idx="62">
                  <c:v>96.507759604535238</c:v>
                </c:pt>
                <c:pt idx="63">
                  <c:v>96.595213546251472</c:v>
                </c:pt>
                <c:pt idx="64">
                  <c:v>96.965661666447787</c:v>
                </c:pt>
                <c:pt idx="65">
                  <c:v>96.827148459437339</c:v>
                </c:pt>
                <c:pt idx="66">
                  <c:v>97.298473782501802</c:v>
                </c:pt>
                <c:pt idx="67">
                  <c:v>97.235737331716251</c:v>
                </c:pt>
                <c:pt idx="68">
                  <c:v>97.074541530253484</c:v>
                </c:pt>
                <c:pt idx="69">
                  <c:v>95.559085890781787</c:v>
                </c:pt>
                <c:pt idx="70">
                  <c:v>96.117924902131378</c:v>
                </c:pt>
                <c:pt idx="71">
                  <c:v>96.351369742248849</c:v>
                </c:pt>
                <c:pt idx="72">
                  <c:v>96.521614251644294</c:v>
                </c:pt>
                <c:pt idx="73">
                  <c:v>96.264364072375272</c:v>
                </c:pt>
                <c:pt idx="74">
                  <c:v>96.228066608694817</c:v>
                </c:pt>
                <c:pt idx="75">
                  <c:v>96.200515483656872</c:v>
                </c:pt>
                <c:pt idx="76">
                  <c:v>97.067769867379212</c:v>
                </c:pt>
                <c:pt idx="77">
                  <c:v>95.830190295887121</c:v>
                </c:pt>
                <c:pt idx="78">
                  <c:v>95.740902512461787</c:v>
                </c:pt>
                <c:pt idx="79">
                  <c:v>95.496436680156933</c:v>
                </c:pt>
                <c:pt idx="80">
                  <c:v>96.281776032424034</c:v>
                </c:pt>
                <c:pt idx="81">
                  <c:v>96.246374921248062</c:v>
                </c:pt>
                <c:pt idx="82">
                  <c:v>95.926119777773138</c:v>
                </c:pt>
                <c:pt idx="83">
                  <c:v>95.902589646612171</c:v>
                </c:pt>
                <c:pt idx="84">
                  <c:v>96.250284529605608</c:v>
                </c:pt>
                <c:pt idx="85">
                  <c:v>96.286974522304376</c:v>
                </c:pt>
                <c:pt idx="86">
                  <c:v>96.560784759016272</c:v>
                </c:pt>
                <c:pt idx="87">
                  <c:v>96.12187759190482</c:v>
                </c:pt>
                <c:pt idx="88">
                  <c:v>96.149138954452454</c:v>
                </c:pt>
                <c:pt idx="89">
                  <c:v>95.896009935356361</c:v>
                </c:pt>
                <c:pt idx="90">
                  <c:v>96.165970696115778</c:v>
                </c:pt>
                <c:pt idx="91">
                  <c:v>96.586098071925818</c:v>
                </c:pt>
                <c:pt idx="92">
                  <c:v>96.347327877203156</c:v>
                </c:pt>
                <c:pt idx="93">
                  <c:v>96.531839861215417</c:v>
                </c:pt>
                <c:pt idx="94">
                  <c:v>97.028457701891</c:v>
                </c:pt>
                <c:pt idx="95">
                  <c:v>97.071119075218277</c:v>
                </c:pt>
                <c:pt idx="96">
                  <c:v>97.417770052004457</c:v>
                </c:pt>
                <c:pt idx="97">
                  <c:v>97.584900061239807</c:v>
                </c:pt>
                <c:pt idx="98">
                  <c:v>96.693489111557696</c:v>
                </c:pt>
                <c:pt idx="99">
                  <c:v>96.897273888487788</c:v>
                </c:pt>
                <c:pt idx="100">
                  <c:v>96.909444124240522</c:v>
                </c:pt>
                <c:pt idx="101">
                  <c:v>96.863216351487154</c:v>
                </c:pt>
                <c:pt idx="102">
                  <c:v>97.07417556808555</c:v>
                </c:pt>
                <c:pt idx="103">
                  <c:v>97.269857913991771</c:v>
                </c:pt>
                <c:pt idx="104">
                  <c:v>97.324957176569939</c:v>
                </c:pt>
                <c:pt idx="105">
                  <c:v>98.518351629823172</c:v>
                </c:pt>
                <c:pt idx="106">
                  <c:v>98.636882327922095</c:v>
                </c:pt>
                <c:pt idx="107">
                  <c:v>98.58461412344036</c:v>
                </c:pt>
                <c:pt idx="108">
                  <c:v>99.509004043985172</c:v>
                </c:pt>
                <c:pt idx="109">
                  <c:v>98.88299560755415</c:v>
                </c:pt>
                <c:pt idx="110">
                  <c:v>99.113058780742548</c:v>
                </c:pt>
                <c:pt idx="111">
                  <c:v>99.311658982729028</c:v>
                </c:pt>
                <c:pt idx="112">
                  <c:v>99.51808986532707</c:v>
                </c:pt>
                <c:pt idx="113">
                  <c:v>99.421490947539979</c:v>
                </c:pt>
                <c:pt idx="114">
                  <c:v>99.759500632956247</c:v>
                </c:pt>
                <c:pt idx="115">
                  <c:v>99.781575554945206</c:v>
                </c:pt>
                <c:pt idx="116">
                  <c:v>99.674638381232199</c:v>
                </c:pt>
                <c:pt idx="117">
                  <c:v>99.132900495250937</c:v>
                </c:pt>
                <c:pt idx="118">
                  <c:v>99.294787803491005</c:v>
                </c:pt>
                <c:pt idx="119">
                  <c:v>99.27058403362939</c:v>
                </c:pt>
                <c:pt idx="120">
                  <c:v>99.372291716358333</c:v>
                </c:pt>
                <c:pt idx="121">
                  <c:v>99.384727874195463</c:v>
                </c:pt>
                <c:pt idx="122">
                  <c:v>99.186984563646817</c:v>
                </c:pt>
                <c:pt idx="123">
                  <c:v>99.656830138452335</c:v>
                </c:pt>
                <c:pt idx="124">
                  <c:v>100.22950287767509</c:v>
                </c:pt>
                <c:pt idx="125">
                  <c:v>100.28334336636057</c:v>
                </c:pt>
                <c:pt idx="126">
                  <c:v>100.79503512192389</c:v>
                </c:pt>
                <c:pt idx="127">
                  <c:v>100.43554513541677</c:v>
                </c:pt>
                <c:pt idx="128">
                  <c:v>100.53618771455831</c:v>
                </c:pt>
                <c:pt idx="129">
                  <c:v>100.63833152447548</c:v>
                </c:pt>
                <c:pt idx="130">
                  <c:v>100.16625759943564</c:v>
                </c:pt>
                <c:pt idx="131">
                  <c:v>100.31727419875605</c:v>
                </c:pt>
                <c:pt idx="132">
                  <c:v>100.33812157618236</c:v>
                </c:pt>
                <c:pt idx="133">
                  <c:v>100.24827037167054</c:v>
                </c:pt>
                <c:pt idx="134">
                  <c:v>99.814785346935793</c:v>
                </c:pt>
                <c:pt idx="135">
                  <c:v>99.793744378820605</c:v>
                </c:pt>
                <c:pt idx="136">
                  <c:v>98.24347643032803</c:v>
                </c:pt>
                <c:pt idx="137">
                  <c:v>98.443793977498999</c:v>
                </c:pt>
                <c:pt idx="138">
                  <c:v>98.022637111207672</c:v>
                </c:pt>
                <c:pt idx="139">
                  <c:v>98.243442547739548</c:v>
                </c:pt>
                <c:pt idx="140">
                  <c:v>97.893350705526913</c:v>
                </c:pt>
                <c:pt idx="141">
                  <c:v>98.873815151627355</c:v>
                </c:pt>
                <c:pt idx="142">
                  <c:v>98.830108568133838</c:v>
                </c:pt>
                <c:pt idx="143">
                  <c:v>99.357225169859788</c:v>
                </c:pt>
                <c:pt idx="144">
                  <c:v>99.271067212626747</c:v>
                </c:pt>
                <c:pt idx="145">
                  <c:v>99.302512209946357</c:v>
                </c:pt>
                <c:pt idx="146">
                  <c:v>99.297784372161715</c:v>
                </c:pt>
                <c:pt idx="147">
                  <c:v>99.368903284964645</c:v>
                </c:pt>
                <c:pt idx="148">
                  <c:v>98.610598486971057</c:v>
                </c:pt>
                <c:pt idx="149">
                  <c:v>98.646865422668213</c:v>
                </c:pt>
                <c:pt idx="150">
                  <c:v>98.616026851002545</c:v>
                </c:pt>
                <c:pt idx="151">
                  <c:v>98.113536516581775</c:v>
                </c:pt>
                <c:pt idx="152">
                  <c:v>96.866205244506745</c:v>
                </c:pt>
                <c:pt idx="153">
                  <c:v>97.044117361960687</c:v>
                </c:pt>
                <c:pt idx="154">
                  <c:v>96.058431623639208</c:v>
                </c:pt>
                <c:pt idx="155">
                  <c:v>96.337196141567304</c:v>
                </c:pt>
                <c:pt idx="156">
                  <c:v>96.476285281916788</c:v>
                </c:pt>
                <c:pt idx="157">
                  <c:v>96.970475352316996</c:v>
                </c:pt>
                <c:pt idx="158">
                  <c:v>96.835822615043966</c:v>
                </c:pt>
                <c:pt idx="159">
                  <c:v>97.079031416644384</c:v>
                </c:pt>
                <c:pt idx="160">
                  <c:v>96.299210025502489</c:v>
                </c:pt>
                <c:pt idx="161">
                  <c:v>96.815227889190567</c:v>
                </c:pt>
                <c:pt idx="162">
                  <c:v>97.03104644280323</c:v>
                </c:pt>
                <c:pt idx="163">
                  <c:v>96.283719547237254</c:v>
                </c:pt>
                <c:pt idx="164">
                  <c:v>95.944475280094892</c:v>
                </c:pt>
                <c:pt idx="165">
                  <c:v>95.844154253940715</c:v>
                </c:pt>
                <c:pt idx="166">
                  <c:v>95.889882440747868</c:v>
                </c:pt>
                <c:pt idx="167">
                  <c:v>95.211647269176893</c:v>
                </c:pt>
                <c:pt idx="168">
                  <c:v>95.631503338460163</c:v>
                </c:pt>
                <c:pt idx="169">
                  <c:v>96.501155406026001</c:v>
                </c:pt>
                <c:pt idx="170">
                  <c:v>96.605058034564308</c:v>
                </c:pt>
                <c:pt idx="171">
                  <c:v>96.328584587530912</c:v>
                </c:pt>
                <c:pt idx="172">
                  <c:v>96.297563917089164</c:v>
                </c:pt>
                <c:pt idx="173">
                  <c:v>96.143972467082619</c:v>
                </c:pt>
                <c:pt idx="174">
                  <c:v>96.340139342663733</c:v>
                </c:pt>
                <c:pt idx="175">
                  <c:v>96.383853416541939</c:v>
                </c:pt>
                <c:pt idx="176">
                  <c:v>96.504342161217593</c:v>
                </c:pt>
                <c:pt idx="177">
                  <c:v>95.965530375430035</c:v>
                </c:pt>
                <c:pt idx="178">
                  <c:v>95.577658793786824</c:v>
                </c:pt>
                <c:pt idx="179">
                  <c:v>96.007354451670082</c:v>
                </c:pt>
                <c:pt idx="180">
                  <c:v>96.136387584275866</c:v>
                </c:pt>
                <c:pt idx="181">
                  <c:v>96.260458671669568</c:v>
                </c:pt>
                <c:pt idx="182">
                  <c:v>96.079969446222719</c:v>
                </c:pt>
                <c:pt idx="183">
                  <c:v>96.32958771995898</c:v>
                </c:pt>
                <c:pt idx="184">
                  <c:v>96.699223790700941</c:v>
                </c:pt>
                <c:pt idx="185">
                  <c:v>97.365811959867798</c:v>
                </c:pt>
                <c:pt idx="186">
                  <c:v>96.847450968908973</c:v>
                </c:pt>
                <c:pt idx="187">
                  <c:v>96.480941287742766</c:v>
                </c:pt>
                <c:pt idx="188">
                  <c:v>96.735784498202975</c:v>
                </c:pt>
                <c:pt idx="189">
                  <c:v>96.947138360204292</c:v>
                </c:pt>
                <c:pt idx="190">
                  <c:v>97.012221672052121</c:v>
                </c:pt>
                <c:pt idx="191">
                  <c:v>97.190483665987088</c:v>
                </c:pt>
                <c:pt idx="192">
                  <c:v>97.120633083904124</c:v>
                </c:pt>
                <c:pt idx="193">
                  <c:v>97.563846207873922</c:v>
                </c:pt>
                <c:pt idx="194">
                  <c:v>98.159898815151507</c:v>
                </c:pt>
                <c:pt idx="195">
                  <c:v>98.224603710121912</c:v>
                </c:pt>
                <c:pt idx="196">
                  <c:v>98.013688221675054</c:v>
                </c:pt>
                <c:pt idx="197">
                  <c:v>97.870432625695258</c:v>
                </c:pt>
                <c:pt idx="198">
                  <c:v>97.92416881307598</c:v>
                </c:pt>
                <c:pt idx="199">
                  <c:v>97.532298316175172</c:v>
                </c:pt>
              </c:numCache>
            </c:numRef>
          </c:yVal>
          <c:smooth val="0"/>
          <c:extLst>
            <c:ext xmlns:c16="http://schemas.microsoft.com/office/drawing/2014/chart" uri="{C3380CC4-5D6E-409C-BE32-E72D297353CC}">
              <c16:uniqueId val="{00000003-E71D-4257-9AEB-899C8DDA3250}"/>
            </c:ext>
          </c:extLst>
        </c:ser>
        <c:ser>
          <c:idx val="5"/>
          <c:order val="5"/>
          <c:tx>
            <c:strRef>
              <c:f>CONTROL_CHART!$J$291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CONTROL_CHART!$J$292:$J$491</c:f>
              <c:numCache>
                <c:formatCode>General</c:formatCode>
                <c:ptCount val="200"/>
                <c:pt idx="0">
                  <c:v>#N/A</c:v>
                </c:pt>
                <c:pt idx="1">
                  <c:v>97.535491247557786</c:v>
                </c:pt>
                <c:pt idx="2">
                  <c:v>96.486343767057278</c:v>
                </c:pt>
                <c:pt idx="3">
                  <c:v>96.78893838874373</c:v>
                </c:pt>
                <c:pt idx="4">
                  <c:v>96.965403396472411</c:v>
                </c:pt>
                <c:pt idx="5">
                  <c:v>97.156674009545071</c:v>
                </c:pt>
                <c:pt idx="6">
                  <c:v>97.342959219224184</c:v>
                </c:pt>
                <c:pt idx="7">
                  <c:v>97.496283349339748</c:v>
                </c:pt>
                <c:pt idx="8">
                  <c:v>97.552646184110969</c:v>
                </c:pt>
                <c:pt idx="9">
                  <c:v>98.104962991122576</c:v>
                </c:pt>
                <c:pt idx="10">
                  <c:v>98.659592925246528</c:v>
                </c:pt>
                <c:pt idx="11">
                  <c:v>98.241772259362492</c:v>
                </c:pt>
                <c:pt idx="12">
                  <c:v>97.838359779639177</c:v>
                </c:pt>
                <c:pt idx="13">
                  <c:v>98.370448226313059</c:v>
                </c:pt>
                <c:pt idx="14">
                  <c:v>98.770215776789456</c:v>
                </c:pt>
                <c:pt idx="15">
                  <c:v>99.514969410711558</c:v>
                </c:pt>
                <c:pt idx="16">
                  <c:v>99.353422722993017</c:v>
                </c:pt>
                <c:pt idx="17">
                  <c:v>98.862279543561385</c:v>
                </c:pt>
                <c:pt idx="18">
                  <c:v>99.387913026614299</c:v>
                </c:pt>
                <c:pt idx="19">
                  <c:v>99.266895384565458</c:v>
                </c:pt>
                <c:pt idx="20">
                  <c:v>99.36592483898346</c:v>
                </c:pt>
                <c:pt idx="21">
                  <c:v>99.163061592155671</c:v>
                </c:pt>
                <c:pt idx="22">
                  <c:v>99.231478613938847</c:v>
                </c:pt>
                <c:pt idx="23">
                  <c:v>99.250710916687026</c:v>
                </c:pt>
                <c:pt idx="24">
                  <c:v>99.545471033319259</c:v>
                </c:pt>
                <c:pt idx="25">
                  <c:v>99.302591094985246</c:v>
                </c:pt>
                <c:pt idx="26">
                  <c:v>99.22304731307041</c:v>
                </c:pt>
                <c:pt idx="27">
                  <c:v>98.675292216279857</c:v>
                </c:pt>
                <c:pt idx="28">
                  <c:v>99.252641695807583</c:v>
                </c:pt>
                <c:pt idx="29">
                  <c:v>96.778522161131875</c:v>
                </c:pt>
                <c:pt idx="30">
                  <c:v>97.338439454625956</c:v>
                </c:pt>
                <c:pt idx="31">
                  <c:v>96.883944147285035</c:v>
                </c:pt>
                <c:pt idx="32">
                  <c:v>97.735979911890098</c:v>
                </c:pt>
                <c:pt idx="33">
                  <c:v>97.535368987792211</c:v>
                </c:pt>
                <c:pt idx="34">
                  <c:v>97.595098537529438</c:v>
                </c:pt>
                <c:pt idx="35">
                  <c:v>97.77070936522972</c:v>
                </c:pt>
                <c:pt idx="36">
                  <c:v>99.060951183656798</c:v>
                </c:pt>
                <c:pt idx="37">
                  <c:v>96.639040098328479</c:v>
                </c:pt>
                <c:pt idx="38">
                  <c:v>96.927755188854846</c:v>
                </c:pt>
                <c:pt idx="39">
                  <c:v>96.842023775236129</c:v>
                </c:pt>
                <c:pt idx="40">
                  <c:v>96.920918744494998</c:v>
                </c:pt>
                <c:pt idx="41">
                  <c:v>96.998824815549412</c:v>
                </c:pt>
                <c:pt idx="42">
                  <c:v>96.912540721364223</c:v>
                </c:pt>
                <c:pt idx="43">
                  <c:v>97.04683714275609</c:v>
                </c:pt>
                <c:pt idx="44">
                  <c:v>98.315033837754129</c:v>
                </c:pt>
                <c:pt idx="45">
                  <c:v>97.764161055351465</c:v>
                </c:pt>
                <c:pt idx="46">
                  <c:v>97.001202555281623</c:v>
                </c:pt>
                <c:pt idx="47">
                  <c:v>97.385969813208092</c:v>
                </c:pt>
                <c:pt idx="48">
                  <c:v>98.050569989872116</c:v>
                </c:pt>
                <c:pt idx="49">
                  <c:v>97.142791040522027</c:v>
                </c:pt>
                <c:pt idx="50">
                  <c:v>97.574753997298416</c:v>
                </c:pt>
                <c:pt idx="51">
                  <c:v>97.107393080316655</c:v>
                </c:pt>
                <c:pt idx="52">
                  <c:v>96.028390652703749</c:v>
                </c:pt>
                <c:pt idx="53">
                  <c:v>95.190744014709338</c:v>
                </c:pt>
                <c:pt idx="54">
                  <c:v>96.140996170476072</c:v>
                </c:pt>
                <c:pt idx="55">
                  <c:v>96.674556206398165</c:v>
                </c:pt>
                <c:pt idx="56">
                  <c:v>96.684173064906517</c:v>
                </c:pt>
                <c:pt idx="57">
                  <c:v>96.34631772823117</c:v>
                </c:pt>
                <c:pt idx="58">
                  <c:v>96.363387378606888</c:v>
                </c:pt>
                <c:pt idx="59">
                  <c:v>95.780728073929524</c:v>
                </c:pt>
                <c:pt idx="60">
                  <c:v>95.326865665836209</c:v>
                </c:pt>
                <c:pt idx="61">
                  <c:v>95.111764602191414</c:v>
                </c:pt>
                <c:pt idx="62">
                  <c:v>95.188342354378747</c:v>
                </c:pt>
                <c:pt idx="63">
                  <c:v>95.201187008738444</c:v>
                </c:pt>
                <c:pt idx="64">
                  <c:v>95.770885498585088</c:v>
                </c:pt>
                <c:pt idx="65">
                  <c:v>95.622544399405868</c:v>
                </c:pt>
                <c:pt idx="66">
                  <c:v>96.439534639912736</c:v>
                </c:pt>
                <c:pt idx="67">
                  <c:v>96.417614544096438</c:v>
                </c:pt>
                <c:pt idx="68">
                  <c:v>96.256941093453051</c:v>
                </c:pt>
                <c:pt idx="69">
                  <c:v>94.292019890428506</c:v>
                </c:pt>
                <c:pt idx="70">
                  <c:v>95.144033929133286</c:v>
                </c:pt>
                <c:pt idx="71">
                  <c:v>95.511052935327015</c:v>
                </c:pt>
                <c:pt idx="72">
                  <c:v>95.739145131172137</c:v>
                </c:pt>
                <c:pt idx="73">
                  <c:v>95.138951969218738</c:v>
                </c:pt>
                <c:pt idx="74">
                  <c:v>95.130090277142486</c:v>
                </c:pt>
                <c:pt idx="75">
                  <c:v>95.123260879611593</c:v>
                </c:pt>
                <c:pt idx="76">
                  <c:v>96.421756093233313</c:v>
                </c:pt>
                <c:pt idx="77">
                  <c:v>94.805547950659161</c:v>
                </c:pt>
                <c:pt idx="78">
                  <c:v>94.697499968918436</c:v>
                </c:pt>
                <c:pt idx="79">
                  <c:v>94.404405839848593</c:v>
                </c:pt>
                <c:pt idx="80">
                  <c:v>95.40296424400448</c:v>
                </c:pt>
                <c:pt idx="81">
                  <c:v>95.37753683383292</c:v>
                </c:pt>
                <c:pt idx="82">
                  <c:v>95.02624210273126</c:v>
                </c:pt>
                <c:pt idx="83">
                  <c:v>94.813971628941474</c:v>
                </c:pt>
                <c:pt idx="84">
                  <c:v>95.387501566919397</c:v>
                </c:pt>
                <c:pt idx="85">
                  <c:v>95.259011156921943</c:v>
                </c:pt>
                <c:pt idx="86">
                  <c:v>95.629167537703921</c:v>
                </c:pt>
                <c:pt idx="87">
                  <c:v>94.612200383353269</c:v>
                </c:pt>
                <c:pt idx="88">
                  <c:v>94.745890935916037</c:v>
                </c:pt>
                <c:pt idx="89">
                  <c:v>94.559538171393342</c:v>
                </c:pt>
                <c:pt idx="90">
                  <c:v>94.833615248146799</c:v>
                </c:pt>
                <c:pt idx="91">
                  <c:v>95.342663865222818</c:v>
                </c:pt>
                <c:pt idx="92">
                  <c:v>95.068481453814897</c:v>
                </c:pt>
                <c:pt idx="93">
                  <c:v>95.261839985709898</c:v>
                </c:pt>
                <c:pt idx="94">
                  <c:v>96.119847466937372</c:v>
                </c:pt>
                <c:pt idx="95">
                  <c:v>95.997728957603272</c:v>
                </c:pt>
                <c:pt idx="96">
                  <c:v>96.58944215377646</c:v>
                </c:pt>
                <c:pt idx="97">
                  <c:v>96.769433712102071</c:v>
                </c:pt>
                <c:pt idx="98">
                  <c:v>95.663632971340576</c:v>
                </c:pt>
                <c:pt idx="99">
                  <c:v>95.865727892443161</c:v>
                </c:pt>
                <c:pt idx="100">
                  <c:v>95.635919391587009</c:v>
                </c:pt>
                <c:pt idx="101">
                  <c:v>95.667130592962266</c:v>
                </c:pt>
                <c:pt idx="102">
                  <c:v>95.826738777242241</c:v>
                </c:pt>
                <c:pt idx="103">
                  <c:v>96.01803667839755</c:v>
                </c:pt>
                <c:pt idx="104">
                  <c:v>96.042837456901395</c:v>
                </c:pt>
                <c:pt idx="105">
                  <c:v>97.732219861103616</c:v>
                </c:pt>
                <c:pt idx="106">
                  <c:v>97.708917130984076</c:v>
                </c:pt>
                <c:pt idx="107">
                  <c:v>97.429955703963543</c:v>
                </c:pt>
                <c:pt idx="108">
                  <c:v>98.805530369056157</c:v>
                </c:pt>
                <c:pt idx="109">
                  <c:v>98.016180480569133</c:v>
                </c:pt>
                <c:pt idx="110">
                  <c:v>98.259143742252306</c:v>
                </c:pt>
                <c:pt idx="111">
                  <c:v>98.510914134948806</c:v>
                </c:pt>
                <c:pt idx="112">
                  <c:v>98.735457513074337</c:v>
                </c:pt>
                <c:pt idx="113">
                  <c:v>98.646777172755094</c:v>
                </c:pt>
                <c:pt idx="114">
                  <c:v>99.067637110944162</c:v>
                </c:pt>
                <c:pt idx="115">
                  <c:v>99.087617385915223</c:v>
                </c:pt>
                <c:pt idx="116">
                  <c:v>99.061128170307569</c:v>
                </c:pt>
                <c:pt idx="117">
                  <c:v>98.37493880265491</c:v>
                </c:pt>
                <c:pt idx="118">
                  <c:v>98.412564236376738</c:v>
                </c:pt>
                <c:pt idx="119">
                  <c:v>98.415073498487146</c:v>
                </c:pt>
                <c:pt idx="120">
                  <c:v>98.510656664284937</c:v>
                </c:pt>
                <c:pt idx="121">
                  <c:v>98.372786922414107</c:v>
                </c:pt>
                <c:pt idx="122">
                  <c:v>97.846919686014573</c:v>
                </c:pt>
                <c:pt idx="123">
                  <c:v>98.475436839420766</c:v>
                </c:pt>
                <c:pt idx="124">
                  <c:v>99.395780115536368</c:v>
                </c:pt>
                <c:pt idx="125">
                  <c:v>99.466278880959479</c:v>
                </c:pt>
                <c:pt idx="126">
                  <c:v>100.125066065602</c:v>
                </c:pt>
                <c:pt idx="127">
                  <c:v>99.683786250017789</c:v>
                </c:pt>
                <c:pt idx="128">
                  <c:v>99.815776179070937</c:v>
                </c:pt>
                <c:pt idx="129">
                  <c:v>100.0530834038249</c:v>
                </c:pt>
                <c:pt idx="130">
                  <c:v>99.480840706618707</c:v>
                </c:pt>
                <c:pt idx="131">
                  <c:v>99.587491179943967</c:v>
                </c:pt>
                <c:pt idx="132">
                  <c:v>99.613035450810258</c:v>
                </c:pt>
                <c:pt idx="133">
                  <c:v>99.596482700509981</c:v>
                </c:pt>
                <c:pt idx="134">
                  <c:v>98.635473835155295</c:v>
                </c:pt>
                <c:pt idx="135">
                  <c:v>98.623299892481</c:v>
                </c:pt>
                <c:pt idx="136">
                  <c:v>96.675130456353656</c:v>
                </c:pt>
                <c:pt idx="137">
                  <c:v>96.913738893473507</c:v>
                </c:pt>
                <c:pt idx="138">
                  <c:v>96.440799946416277</c:v>
                </c:pt>
                <c:pt idx="139">
                  <c:v>96.672986466790334</c:v>
                </c:pt>
                <c:pt idx="140">
                  <c:v>96.268567577243203</c:v>
                </c:pt>
                <c:pt idx="141">
                  <c:v>97.55110867625919</c:v>
                </c:pt>
                <c:pt idx="142">
                  <c:v>97.555654168172694</c:v>
                </c:pt>
                <c:pt idx="143">
                  <c:v>98.437874526467496</c:v>
                </c:pt>
                <c:pt idx="144">
                  <c:v>98.376185495884158</c:v>
                </c:pt>
                <c:pt idx="145">
                  <c:v>98.45556361579726</c:v>
                </c:pt>
                <c:pt idx="146">
                  <c:v>98.516716474691094</c:v>
                </c:pt>
                <c:pt idx="147">
                  <c:v>98.612823258370341</c:v>
                </c:pt>
                <c:pt idx="148">
                  <c:v>97.762795544148418</c:v>
                </c:pt>
                <c:pt idx="149">
                  <c:v>97.837389277123194</c:v>
                </c:pt>
                <c:pt idx="150">
                  <c:v>97.582621250981489</c:v>
                </c:pt>
                <c:pt idx="151">
                  <c:v>97.004251919570621</c:v>
                </c:pt>
                <c:pt idx="152">
                  <c:v>95.443969898014927</c:v>
                </c:pt>
                <c:pt idx="153">
                  <c:v>95.646733610729996</c:v>
                </c:pt>
                <c:pt idx="154">
                  <c:v>94.478049267394795</c:v>
                </c:pt>
                <c:pt idx="155">
                  <c:v>94.764116564104</c:v>
                </c:pt>
                <c:pt idx="156">
                  <c:v>94.916663907911868</c:v>
                </c:pt>
                <c:pt idx="157">
                  <c:v>95.767492036056069</c:v>
                </c:pt>
                <c:pt idx="158">
                  <c:v>95.648664009986348</c:v>
                </c:pt>
                <c:pt idx="159">
                  <c:v>96.02949554905058</c:v>
                </c:pt>
                <c:pt idx="160">
                  <c:v>95.114951153601936</c:v>
                </c:pt>
                <c:pt idx="161">
                  <c:v>95.693933712907423</c:v>
                </c:pt>
                <c:pt idx="162">
                  <c:v>95.822664032337229</c:v>
                </c:pt>
                <c:pt idx="163">
                  <c:v>94.966442138764918</c:v>
                </c:pt>
                <c:pt idx="164">
                  <c:v>94.583300714259849</c:v>
                </c:pt>
                <c:pt idx="165">
                  <c:v>94.473868550329712</c:v>
                </c:pt>
                <c:pt idx="166">
                  <c:v>94.534595663984803</c:v>
                </c:pt>
                <c:pt idx="167">
                  <c:v>93.73657156097299</c:v>
                </c:pt>
                <c:pt idx="168">
                  <c:v>94.406756818381751</c:v>
                </c:pt>
                <c:pt idx="169">
                  <c:v>95.832425379088576</c:v>
                </c:pt>
                <c:pt idx="170">
                  <c:v>95.954975798595413</c:v>
                </c:pt>
                <c:pt idx="171">
                  <c:v>95.636056183979051</c:v>
                </c:pt>
                <c:pt idx="172">
                  <c:v>95.41949850253593</c:v>
                </c:pt>
                <c:pt idx="173">
                  <c:v>95.315687232331015</c:v>
                </c:pt>
                <c:pt idx="174">
                  <c:v>95.609093636237645</c:v>
                </c:pt>
                <c:pt idx="175">
                  <c:v>95.614069517805973</c:v>
                </c:pt>
                <c:pt idx="176">
                  <c:v>95.629635218589002</c:v>
                </c:pt>
                <c:pt idx="177">
                  <c:v>94.992226209631653</c:v>
                </c:pt>
                <c:pt idx="178">
                  <c:v>94.537343835597724</c:v>
                </c:pt>
                <c:pt idx="179">
                  <c:v>95.032225130734659</c:v>
                </c:pt>
                <c:pt idx="180">
                  <c:v>95.234692350460932</c:v>
                </c:pt>
                <c:pt idx="181">
                  <c:v>95.299242162668378</c:v>
                </c:pt>
                <c:pt idx="182">
                  <c:v>95.102187173769352</c:v>
                </c:pt>
                <c:pt idx="183">
                  <c:v>95.360089686686592</c:v>
                </c:pt>
                <c:pt idx="184">
                  <c:v>95.782387224739921</c:v>
                </c:pt>
                <c:pt idx="185">
                  <c:v>96.710015820259798</c:v>
                </c:pt>
                <c:pt idx="186">
                  <c:v>96.073627358292484</c:v>
                </c:pt>
                <c:pt idx="187">
                  <c:v>95.625303066272451</c:v>
                </c:pt>
                <c:pt idx="188">
                  <c:v>95.860775095144604</c:v>
                </c:pt>
                <c:pt idx="189">
                  <c:v>96.157418734997663</c:v>
                </c:pt>
                <c:pt idx="190">
                  <c:v>96.244529927706566</c:v>
                </c:pt>
                <c:pt idx="191">
                  <c:v>96.429878616335813</c:v>
                </c:pt>
                <c:pt idx="192">
                  <c:v>96.182281242002432</c:v>
                </c:pt>
                <c:pt idx="193">
                  <c:v>96.763032507854149</c:v>
                </c:pt>
                <c:pt idx="194">
                  <c:v>97.67712927744553</c:v>
                </c:pt>
                <c:pt idx="195">
                  <c:v>97.680635420521128</c:v>
                </c:pt>
                <c:pt idx="196">
                  <c:v>97.108122343137055</c:v>
                </c:pt>
                <c:pt idx="197">
                  <c:v>97.016800530765067</c:v>
                </c:pt>
                <c:pt idx="198">
                  <c:v>97.088001379410926</c:v>
                </c:pt>
                <c:pt idx="199">
                  <c:v>96.60601632154173</c:v>
                </c:pt>
              </c:numCache>
            </c:numRef>
          </c:yVal>
          <c:smooth val="0"/>
          <c:extLst>
            <c:ext xmlns:c16="http://schemas.microsoft.com/office/drawing/2014/chart" uri="{C3380CC4-5D6E-409C-BE32-E72D297353CC}">
              <c16:uniqueId val="{00000004-E71D-4257-9AEB-899C8DDA3250}"/>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CONTROL_CHART!$M$288</c:f>
          <c:strCache>
            <c:ptCount val="1"/>
            <c:pt idx="0">
              <c:v>Z-Score Control Chart: Exponentially Weighted Moving Average (n=200, p=7, λ=0.25)
[Control Limits - UCL: σ+3, UWL: σ+2, LWL: σ-2, LCL: σ-3]</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CONTROL_CHART!$O$291</c:f>
              <c:strCache>
                <c:ptCount val="1"/>
                <c:pt idx="0">
                  <c:v>z</c:v>
                </c:pt>
              </c:strCache>
            </c:strRef>
          </c:tx>
          <c:spPr>
            <a:ln w="25400" cap="rnd">
              <a:noFill/>
              <a:round/>
            </a:ln>
            <a:effectLst/>
          </c:spPr>
          <c:marker>
            <c:symbol val="circle"/>
            <c:size val="5"/>
            <c:spPr>
              <a:solidFill>
                <a:srgbClr val="8250DF">
                  <a:alpha val="25000"/>
                </a:srgbClr>
              </a:solidFill>
              <a:ln w="9525">
                <a:solidFill>
                  <a:srgbClr val="8250DF">
                    <a:alpha val="75000"/>
                  </a:srgbClr>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CONTROL_CHART!$O$292:$O$491</c:f>
              <c:numCache>
                <c:formatCode>General</c:formatCode>
                <c:ptCount val="200"/>
                <c:pt idx="0">
                  <c:v>#N/A</c:v>
                </c:pt>
                <c:pt idx="1">
                  <c:v>-0.94868329805051377</c:v>
                </c:pt>
                <c:pt idx="2">
                  <c:v>-1.1709599093080201</c:v>
                </c:pt>
                <c:pt idx="3">
                  <c:v>-0.77896644890515532</c:v>
                </c:pt>
                <c:pt idx="4">
                  <c:v>0.67571794575803956</c:v>
                </c:pt>
                <c:pt idx="5">
                  <c:v>0.61389115808117245</c:v>
                </c:pt>
                <c:pt idx="6">
                  <c:v>-0.50215594413914111</c:v>
                </c:pt>
                <c:pt idx="7">
                  <c:v>-0.3275906737022361</c:v>
                </c:pt>
                <c:pt idx="8">
                  <c:v>-9.1270126927431514E-2</c:v>
                </c:pt>
                <c:pt idx="9">
                  <c:v>0.9825685500993443</c:v>
                </c:pt>
                <c:pt idx="10">
                  <c:v>1.1692765850990612</c:v>
                </c:pt>
                <c:pt idx="11">
                  <c:v>1.1935285552318766</c:v>
                </c:pt>
                <c:pt idx="12">
                  <c:v>0.88872843386022271</c:v>
                </c:pt>
                <c:pt idx="13">
                  <c:v>-0.38992269038937227</c:v>
                </c:pt>
                <c:pt idx="14">
                  <c:v>-0.34992818814602283</c:v>
                </c:pt>
                <c:pt idx="15">
                  <c:v>1.006253044314886</c:v>
                </c:pt>
                <c:pt idx="16">
                  <c:v>-0.28696148310003489</c:v>
                </c:pt>
                <c:pt idx="17">
                  <c:v>-0.59358164526652524</c:v>
                </c:pt>
                <c:pt idx="18">
                  <c:v>0.84040733816039792</c:v>
                </c:pt>
                <c:pt idx="19">
                  <c:v>-1.2079226712847628</c:v>
                </c:pt>
                <c:pt idx="20">
                  <c:v>0.66753652409848196</c:v>
                </c:pt>
                <c:pt idx="21">
                  <c:v>1.3111493454207743</c:v>
                </c:pt>
                <c:pt idx="22">
                  <c:v>6.8070003689650244E-2</c:v>
                </c:pt>
                <c:pt idx="23">
                  <c:v>0.67055744451494725</c:v>
                </c:pt>
                <c:pt idx="24">
                  <c:v>-0.37236648120386318</c:v>
                </c:pt>
                <c:pt idx="25">
                  <c:v>1.1236966465977918</c:v>
                </c:pt>
                <c:pt idx="26">
                  <c:v>-1.1757020548657373</c:v>
                </c:pt>
                <c:pt idx="27">
                  <c:v>-0.56620695891484263</c:v>
                </c:pt>
                <c:pt idx="28">
                  <c:v>0.61263040578177352</c:v>
                </c:pt>
                <c:pt idx="29">
                  <c:v>-1.3971199383756205</c:v>
                </c:pt>
                <c:pt idx="30">
                  <c:v>0.40206575147874096</c:v>
                </c:pt>
                <c:pt idx="31">
                  <c:v>-0.50100187718717371</c:v>
                </c:pt>
                <c:pt idx="32">
                  <c:v>0.87216054338767546</c:v>
                </c:pt>
                <c:pt idx="33">
                  <c:v>-0.59075414117741665</c:v>
                </c:pt>
                <c:pt idx="34">
                  <c:v>0.24855046855987065</c:v>
                </c:pt>
                <c:pt idx="35">
                  <c:v>-0.30258071543011189</c:v>
                </c:pt>
                <c:pt idx="36">
                  <c:v>0.64330810835398422</c:v>
                </c:pt>
                <c:pt idx="37">
                  <c:v>-1.5944461396132426</c:v>
                </c:pt>
                <c:pt idx="38">
                  <c:v>0.82670480095960219</c:v>
                </c:pt>
                <c:pt idx="39">
                  <c:v>-0.7257819835546615</c:v>
                </c:pt>
                <c:pt idx="40">
                  <c:v>0.14073936678141846</c:v>
                </c:pt>
                <c:pt idx="41">
                  <c:v>0.75425251103167146</c:v>
                </c:pt>
                <c:pt idx="42">
                  <c:v>-0.24772862017187264</c:v>
                </c:pt>
                <c:pt idx="43">
                  <c:v>0.34514125556479441</c:v>
                </c:pt>
                <c:pt idx="44">
                  <c:v>-0.6165015554940193</c:v>
                </c:pt>
                <c:pt idx="45">
                  <c:v>-1.1612988267766289</c:v>
                </c:pt>
                <c:pt idx="46">
                  <c:v>-0.81728795628745166</c:v>
                </c:pt>
                <c:pt idx="47">
                  <c:v>0.74290816524991732</c:v>
                </c:pt>
                <c:pt idx="48">
                  <c:v>0.70880793845310319</c:v>
                </c:pt>
                <c:pt idx="49">
                  <c:v>-1.1469544563346359</c:v>
                </c:pt>
                <c:pt idx="50">
                  <c:v>0.31042061389419312</c:v>
                </c:pt>
                <c:pt idx="51">
                  <c:v>-0.85861674986441794</c:v>
                </c:pt>
                <c:pt idx="52">
                  <c:v>-1.0579229154811298</c:v>
                </c:pt>
                <c:pt idx="53">
                  <c:v>-0.66157082348797069</c:v>
                </c:pt>
                <c:pt idx="54">
                  <c:v>0.51491644666516934</c:v>
                </c:pt>
                <c:pt idx="55">
                  <c:v>-0.82730271349022311</c:v>
                </c:pt>
                <c:pt idx="56">
                  <c:v>-4.2256080615627023E-2</c:v>
                </c:pt>
                <c:pt idx="57">
                  <c:v>-1.6022220962361622</c:v>
                </c:pt>
                <c:pt idx="58">
                  <c:v>-0.12702937046930415</c:v>
                </c:pt>
                <c:pt idx="59">
                  <c:v>1.346633485271699</c:v>
                </c:pt>
                <c:pt idx="60">
                  <c:v>-0.85970372488823954</c:v>
                </c:pt>
                <c:pt idx="61">
                  <c:v>-0.79566575773016279</c:v>
                </c:pt>
                <c:pt idx="62">
                  <c:v>0.53884887171504192</c:v>
                </c:pt>
                <c:pt idx="63">
                  <c:v>0.50932857458693337</c:v>
                </c:pt>
                <c:pt idx="64">
                  <c:v>-7.0438178779179697E-2</c:v>
                </c:pt>
                <c:pt idx="65">
                  <c:v>-0.29600785839081362</c:v>
                </c:pt>
                <c:pt idx="66">
                  <c:v>-0.76840546988179537</c:v>
                </c:pt>
                <c:pt idx="67">
                  <c:v>-0.52939178412601795</c:v>
                </c:pt>
                <c:pt idx="68">
                  <c:v>-0.59530485478864525</c:v>
                </c:pt>
                <c:pt idx="69">
                  <c:v>-1.4597294352325496</c:v>
                </c:pt>
                <c:pt idx="70">
                  <c:v>-8.474575940293072E-2</c:v>
                </c:pt>
                <c:pt idx="71">
                  <c:v>-0.12032423399385792</c:v>
                </c:pt>
                <c:pt idx="72">
                  <c:v>0.20914232294499885</c:v>
                </c:pt>
                <c:pt idx="73">
                  <c:v>1.1426102089114605</c:v>
                </c:pt>
                <c:pt idx="74">
                  <c:v>-0.2491010168496185</c:v>
                </c:pt>
                <c:pt idx="75">
                  <c:v>-0.1921400376279008</c:v>
                </c:pt>
                <c:pt idx="76">
                  <c:v>2.2163880003374024E-2</c:v>
                </c:pt>
                <c:pt idx="77">
                  <c:v>-1.4063124510663794</c:v>
                </c:pt>
                <c:pt idx="78">
                  <c:v>-0.14884203737531945</c:v>
                </c:pt>
                <c:pt idx="79">
                  <c:v>-0.40440956429407765</c:v>
                </c:pt>
                <c:pt idx="80">
                  <c:v>1.2251812727784659</c:v>
                </c:pt>
                <c:pt idx="81">
                  <c:v>-0.19111217839033781</c:v>
                </c:pt>
                <c:pt idx="82">
                  <c:v>-0.86070354465496035</c:v>
                </c:pt>
                <c:pt idx="83">
                  <c:v>0.97541253686220053</c:v>
                </c:pt>
                <c:pt idx="84">
                  <c:v>-0.36153435384897453</c:v>
                </c:pt>
                <c:pt idx="85">
                  <c:v>1.071198090667429</c:v>
                </c:pt>
                <c:pt idx="86">
                  <c:v>0.26121655992180187</c:v>
                </c:pt>
                <c:pt idx="87">
                  <c:v>1.4252307777536244</c:v>
                </c:pt>
                <c:pt idx="88">
                  <c:v>-0.39678734271702537</c:v>
                </c:pt>
                <c:pt idx="89">
                  <c:v>-0.86799034293753563</c:v>
                </c:pt>
                <c:pt idx="90">
                  <c:v>0.58932050565859861</c:v>
                </c:pt>
                <c:pt idx="91">
                  <c:v>0.58455419347146054</c:v>
                </c:pt>
                <c:pt idx="92">
                  <c:v>-0.39397794359197874</c:v>
                </c:pt>
                <c:pt idx="93">
                  <c:v>0.39406040456598218</c:v>
                </c:pt>
                <c:pt idx="94">
                  <c:v>-0.74672757931147027</c:v>
                </c:pt>
                <c:pt idx="95">
                  <c:v>1.0403146047507352</c:v>
                </c:pt>
                <c:pt idx="96">
                  <c:v>-0.51962560585523343</c:v>
                </c:pt>
                <c:pt idx="97">
                  <c:v>0.52021856403164113</c:v>
                </c:pt>
                <c:pt idx="98">
                  <c:v>-1.3476582295052277</c:v>
                </c:pt>
                <c:pt idx="99">
                  <c:v>0.60248740059917905</c:v>
                </c:pt>
                <c:pt idx="100">
                  <c:v>1.1687115991931283</c:v>
                </c:pt>
                <c:pt idx="101">
                  <c:v>-0.5044096200725865</c:v>
                </c:pt>
                <c:pt idx="102">
                  <c:v>0.75433388738644092</c:v>
                </c:pt>
                <c:pt idx="103">
                  <c:v>0.48996908566817088</c:v>
                </c:pt>
                <c:pt idx="104">
                  <c:v>0.27071472878532937</c:v>
                </c:pt>
                <c:pt idx="105">
                  <c:v>0.76864423765750034</c:v>
                </c:pt>
                <c:pt idx="106">
                  <c:v>1.3002563755505498</c:v>
                </c:pt>
                <c:pt idx="107">
                  <c:v>1.0421737732036278</c:v>
                </c:pt>
                <c:pt idx="108">
                  <c:v>9.3907272868860886E-2</c:v>
                </c:pt>
                <c:pt idx="109">
                  <c:v>-1.0359493841326977</c:v>
                </c:pt>
                <c:pt idx="110">
                  <c:v>0.71762290271876705</c:v>
                </c:pt>
                <c:pt idx="111">
                  <c:v>0.34565250399873443</c:v>
                </c:pt>
                <c:pt idx="112">
                  <c:v>0.65243619581965684</c:v>
                </c:pt>
                <c:pt idx="113">
                  <c:v>-0.43539721268275211</c:v>
                </c:pt>
                <c:pt idx="114">
                  <c:v>0.74715247034357057</c:v>
                </c:pt>
                <c:pt idx="115">
                  <c:v>0.11354091873360485</c:v>
                </c:pt>
                <c:pt idx="116">
                  <c:v>-1.3096754633638037</c:v>
                </c:pt>
                <c:pt idx="117">
                  <c:v>-1.0007164944147675</c:v>
                </c:pt>
                <c:pt idx="118">
                  <c:v>1.3956022234329311</c:v>
                </c:pt>
                <c:pt idx="119">
                  <c:v>-0.27222283285875898</c:v>
                </c:pt>
                <c:pt idx="120">
                  <c:v>0.39676908332713051</c:v>
                </c:pt>
                <c:pt idx="121">
                  <c:v>0.92806192901464268</c:v>
                </c:pt>
                <c:pt idx="122">
                  <c:v>1.0264530071781583</c:v>
                </c:pt>
                <c:pt idx="123">
                  <c:v>0.38726074812467909</c:v>
                </c:pt>
                <c:pt idx="124">
                  <c:v>-0.44139973190231979</c:v>
                </c:pt>
                <c:pt idx="125">
                  <c:v>7.535733926849339E-2</c:v>
                </c:pt>
                <c:pt idx="126">
                  <c:v>0.97392959578912008</c:v>
                </c:pt>
                <c:pt idx="127">
                  <c:v>-0.78180783290220024</c:v>
                </c:pt>
                <c:pt idx="128">
                  <c:v>0.15802583988037328</c:v>
                </c:pt>
                <c:pt idx="129">
                  <c:v>-0.86211137031644114</c:v>
                </c:pt>
                <c:pt idx="130">
                  <c:v>-1.1893624896974486</c:v>
                </c:pt>
                <c:pt idx="131">
                  <c:v>0.98556219505216169</c:v>
                </c:pt>
                <c:pt idx="132">
                  <c:v>4.7388538322016727E-2</c:v>
                </c:pt>
                <c:pt idx="133">
                  <c:v>-1.0883058550979061</c:v>
                </c:pt>
                <c:pt idx="134">
                  <c:v>1.5811665966866353</c:v>
                </c:pt>
                <c:pt idx="135">
                  <c:v>-9.9385368847979536E-2</c:v>
                </c:pt>
                <c:pt idx="136">
                  <c:v>-1.443173226589352</c:v>
                </c:pt>
                <c:pt idx="137">
                  <c:v>0.24261041690273014</c:v>
                </c:pt>
                <c:pt idx="138">
                  <c:v>-0.60232376346032224</c:v>
                </c:pt>
                <c:pt idx="139">
                  <c:v>0.37831672833752955</c:v>
                </c:pt>
                <c:pt idx="140">
                  <c:v>-0.44579072124910524</c:v>
                </c:pt>
                <c:pt idx="141">
                  <c:v>0.8535026038138156</c:v>
                </c:pt>
                <c:pt idx="142">
                  <c:v>-0.33004884516501276</c:v>
                </c:pt>
                <c:pt idx="143">
                  <c:v>-0.59745727942124438</c:v>
                </c:pt>
                <c:pt idx="144">
                  <c:v>-0.45289497373197468</c:v>
                </c:pt>
                <c:pt idx="145">
                  <c:v>-0.22818828077312908</c:v>
                </c:pt>
                <c:pt idx="146">
                  <c:v>-0.5242408435309025</c:v>
                </c:pt>
                <c:pt idx="147">
                  <c:v>8.3892591947864623E-2</c:v>
                </c:pt>
                <c:pt idx="148">
                  <c:v>-2.0341718688414048</c:v>
                </c:pt>
                <c:pt idx="149">
                  <c:v>-0.14967701919469728</c:v>
                </c:pt>
                <c:pt idx="150">
                  <c:v>1.2106195397371105</c:v>
                </c:pt>
                <c:pt idx="151">
                  <c:v>-0.94853658308848521</c:v>
                </c:pt>
                <c:pt idx="152">
                  <c:v>-1.3108163314458625</c:v>
                </c:pt>
                <c:pt idx="153">
                  <c:v>0.2752477839077111</c:v>
                </c:pt>
                <c:pt idx="154">
                  <c:v>-1.176339116629922</c:v>
                </c:pt>
                <c:pt idx="155">
                  <c:v>0.50377418437762944</c:v>
                </c:pt>
                <c:pt idx="156">
                  <c:v>0.21576916417476688</c:v>
                </c:pt>
                <c:pt idx="157">
                  <c:v>-0.54635681673978431</c:v>
                </c:pt>
                <c:pt idx="158">
                  <c:v>-0.4202525904402809</c:v>
                </c:pt>
                <c:pt idx="159">
                  <c:v>-9.1573830822962055E-2</c:v>
                </c:pt>
                <c:pt idx="160">
                  <c:v>-1.2928981862960398</c:v>
                </c:pt>
                <c:pt idx="161">
                  <c:v>1.0436738566136272</c:v>
                </c:pt>
                <c:pt idx="162">
                  <c:v>0.96822417787755588</c:v>
                </c:pt>
                <c:pt idx="163">
                  <c:v>-1.2059803716684543</c:v>
                </c:pt>
                <c:pt idx="164">
                  <c:v>-0.5541903854103537</c:v>
                </c:pt>
                <c:pt idx="165">
                  <c:v>-0.1797408023434168</c:v>
                </c:pt>
                <c:pt idx="166">
                  <c:v>3.4819936372835807E-2</c:v>
                </c:pt>
                <c:pt idx="167">
                  <c:v>-0.89213856532850022</c:v>
                </c:pt>
                <c:pt idx="168">
                  <c:v>-0.19792415567556698</c:v>
                </c:pt>
                <c:pt idx="169">
                  <c:v>-1.0873487459184468</c:v>
                </c:pt>
                <c:pt idx="170">
                  <c:v>0.30737824962408233</c:v>
                </c:pt>
                <c:pt idx="171">
                  <c:v>-0.82992023526364178</c:v>
                </c:pt>
                <c:pt idx="172">
                  <c:v>1.1618269411079327</c:v>
                </c:pt>
                <c:pt idx="173">
                  <c:v>-0.91690084160103291</c:v>
                </c:pt>
                <c:pt idx="174">
                  <c:v>6.9263204007644101E-3</c:v>
                </c:pt>
                <c:pt idx="175">
                  <c:v>0.47230316987764365</c:v>
                </c:pt>
                <c:pt idx="176">
                  <c:v>1.1329560211386462</c:v>
                </c:pt>
                <c:pt idx="177">
                  <c:v>-1.0529617095632415</c:v>
                </c:pt>
                <c:pt idx="178">
                  <c:v>-0.73203791274025998</c:v>
                </c:pt>
                <c:pt idx="179">
                  <c:v>0.92087596060214982</c:v>
                </c:pt>
                <c:pt idx="180">
                  <c:v>-5.933836943923932E-2</c:v>
                </c:pt>
                <c:pt idx="181">
                  <c:v>0.75876860880853492</c:v>
                </c:pt>
                <c:pt idx="182">
                  <c:v>-0.45211813312820998</c:v>
                </c:pt>
                <c:pt idx="183">
                  <c:v>0.72114574978858492</c:v>
                </c:pt>
                <c:pt idx="184">
                  <c:v>0.86486451107731022</c:v>
                </c:pt>
                <c:pt idx="185">
                  <c:v>0.66106206364934816</c:v>
                </c:pt>
                <c:pt idx="186">
                  <c:v>-1.0944589118324122</c:v>
                </c:pt>
                <c:pt idx="187">
                  <c:v>-0.71133028317714586</c:v>
                </c:pt>
                <c:pt idx="188">
                  <c:v>1.0065682926726274</c:v>
                </c:pt>
                <c:pt idx="189">
                  <c:v>0.15489411050357998</c:v>
                </c:pt>
                <c:pt idx="190">
                  <c:v>8.2171849367634178E-2</c:v>
                </c:pt>
                <c:pt idx="191">
                  <c:v>0.64720292596650475</c:v>
                </c:pt>
                <c:pt idx="192">
                  <c:v>0.91322782029911476</c:v>
                </c:pt>
                <c:pt idx="193">
                  <c:v>0.62987249169869541</c:v>
                </c:pt>
                <c:pt idx="194">
                  <c:v>-0.24878776034782607</c:v>
                </c:pt>
                <c:pt idx="195">
                  <c:v>1.0318748482416771</c:v>
                </c:pt>
                <c:pt idx="196">
                  <c:v>1.6971035511671402</c:v>
                </c:pt>
                <c:pt idx="197">
                  <c:v>-0.86848830308654323</c:v>
                </c:pt>
                <c:pt idx="198">
                  <c:v>6.7475235556691202E-2</c:v>
                </c:pt>
                <c:pt idx="199">
                  <c:v>-0.68545446048892122</c:v>
                </c:pt>
              </c:numCache>
            </c:numRef>
          </c:yVal>
          <c:smooth val="0"/>
          <c:extLst>
            <c:ext xmlns:c16="http://schemas.microsoft.com/office/drawing/2014/chart" uri="{C3380CC4-5D6E-409C-BE32-E72D297353CC}">
              <c16:uniqueId val="{00000000-794E-4603-B947-A2A28B8014D2}"/>
            </c:ext>
          </c:extLst>
        </c:ser>
        <c:ser>
          <c:idx val="1"/>
          <c:order val="1"/>
          <c:tx>
            <c:strRef>
              <c:f>CONTROL_CHART!$P$291</c:f>
              <c:strCache>
                <c:ptCount val="1"/>
                <c:pt idx="0">
                  <c:v>UCL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CONTROL_CHART!$P$292:$P$491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1"/>
          <c:extLst>
            <c:ext xmlns:c16="http://schemas.microsoft.com/office/drawing/2014/chart" uri="{C3380CC4-5D6E-409C-BE32-E72D297353CC}">
              <c16:uniqueId val="{00000001-794E-4603-B947-A2A28B8014D2}"/>
            </c:ext>
          </c:extLst>
        </c:ser>
        <c:ser>
          <c:idx val="2"/>
          <c:order val="2"/>
          <c:tx>
            <c:strRef>
              <c:f>CONTROL_CHART!$Q$291</c:f>
              <c:strCache>
                <c:ptCount val="1"/>
                <c:pt idx="0">
                  <c:v>UWL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CONTROL_CHART!$Q$292:$Q$491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1"/>
          <c:extLst>
            <c:ext xmlns:c16="http://schemas.microsoft.com/office/drawing/2014/chart" uri="{C3380CC4-5D6E-409C-BE32-E72D297353CC}">
              <c16:uniqueId val="{00000002-794E-4603-B947-A2A28B8014D2}"/>
            </c:ext>
          </c:extLst>
        </c:ser>
        <c:ser>
          <c:idx val="3"/>
          <c:order val="3"/>
          <c:tx>
            <c:strRef>
              <c:f>CONTROL_CHART!$R$291</c:f>
              <c:strCache>
                <c:ptCount val="1"/>
                <c:pt idx="0">
                  <c:v>LWL</c:v>
                </c:pt>
              </c:strCache>
            </c:strRef>
          </c:tx>
          <c:spPr>
            <a:ln w="25400" cap="rnd">
              <a:solidFill>
                <a:schemeClr val="accent2">
                  <a:alpha val="50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CONTROL_CHART!$R$292:$R$491</c:f>
              <c:numCache>
                <c:formatCode>General</c:formatCode>
                <c:ptCount val="200"/>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numCache>
            </c:numRef>
          </c:yVal>
          <c:smooth val="0"/>
          <c:extLst>
            <c:ext xmlns:c16="http://schemas.microsoft.com/office/drawing/2014/chart" uri="{C3380CC4-5D6E-409C-BE32-E72D297353CC}">
              <c16:uniqueId val="{00000004-794E-4603-B947-A2A28B8014D2}"/>
            </c:ext>
          </c:extLst>
        </c:ser>
        <c:ser>
          <c:idx val="4"/>
          <c:order val="4"/>
          <c:tx>
            <c:strRef>
              <c:f>CONTROL_CHART!$S$291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CONTROL_CHART!$S$292:$S$491</c:f>
              <c:numCache>
                <c:formatCode>General</c:formatCode>
                <c:ptCount val="200"/>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numCache>
            </c:numRef>
          </c:yVal>
          <c:smooth val="0"/>
          <c:extLst>
            <c:ext xmlns:c16="http://schemas.microsoft.com/office/drawing/2014/chart" uri="{C3380CC4-5D6E-409C-BE32-E72D297353CC}">
              <c16:uniqueId val="{00000005-794E-4603-B947-A2A28B8014D2}"/>
            </c:ext>
          </c:extLst>
        </c:ser>
        <c:dLbls>
          <c:showLegendKey val="0"/>
          <c:showVal val="0"/>
          <c:showCatName val="0"/>
          <c:showSerName val="0"/>
          <c:showPercent val="0"/>
          <c:showBubbleSize val="0"/>
        </c:dLbls>
        <c:axId val="1361510015"/>
        <c:axId val="1361505695"/>
        <c:extLst/>
      </c:scatterChart>
      <c:valAx>
        <c:axId val="1361510015"/>
        <c:scaling>
          <c:orientation val="minMax"/>
          <c:max val="20"/>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At val="-4"/>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MOVING_RANGE!$A$41</c:f>
          <c:strCache>
            <c:ptCount val="1"/>
            <c:pt idx="0">
              <c:v>Raw Control Chart: Traditional (x̄=300.24, n=200)[Control Limits - UCL: σ+3, UWL: σ+2, LWL: σ-2, LCL: σ-3]</c:v>
            </c:pt>
          </c:strCache>
        </c:strRef>
      </c:tx>
      <c:overlay val="0"/>
      <c:spPr>
        <a:noFill/>
        <a:ln>
          <a:noFill/>
        </a:ln>
        <a:effectLst/>
      </c:spPr>
      <c:txPr>
        <a:bodyPr rot="0" spcFirstLastPara="1" vertOverflow="ellipsis" vert="horz" wrap="square" anchor="ctr" anchorCtr="1"/>
        <a:lstStyle/>
        <a:p>
          <a:pPr>
            <a:defRPr lang="en-US"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6632341269841256E-2"/>
          <c:y val="0.12977528089887641"/>
          <c:w val="0.92089067460317464"/>
          <c:h val="0.6934412692795423"/>
        </c:manualLayout>
      </c:layout>
      <c:scatterChart>
        <c:scatterStyle val="lineMarker"/>
        <c:varyColors val="0"/>
        <c:ser>
          <c:idx val="0"/>
          <c:order val="0"/>
          <c:tx>
            <c:strRef>
              <c:f>MOVING_RANGE!$E$44</c:f>
              <c:strCache>
                <c:ptCount val="1"/>
                <c:pt idx="0">
                  <c:v>y</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MOVING_RANGE!$E$45:$E$244</c:f>
              <c:numCache>
                <c:formatCode>General</c:formatCode>
                <c:ptCount val="200"/>
                <c:pt idx="0">
                  <c:v>304.82386999934016</c:v>
                </c:pt>
                <c:pt idx="1">
                  <c:v>304.90641489759963</c:v>
                </c:pt>
                <c:pt idx="2">
                  <c:v>305.17805413066867</c:v>
                </c:pt>
                <c:pt idx="3">
                  <c:v>304.91433284495838</c:v>
                </c:pt>
                <c:pt idx="4">
                  <c:v>304.66965740636311</c:v>
                </c:pt>
                <c:pt idx="5">
                  <c:v>304.76074945445708</c:v>
                </c:pt>
                <c:pt idx="6">
                  <c:v>304.80573474529695</c:v>
                </c:pt>
                <c:pt idx="7">
                  <c:v>304.40152297642732</c:v>
                </c:pt>
                <c:pt idx="8">
                  <c:v>305.04959931234123</c:v>
                </c:pt>
                <c:pt idx="9">
                  <c:v>304.48081881056243</c:v>
                </c:pt>
                <c:pt idx="10">
                  <c:v>304.37726455259565</c:v>
                </c:pt>
                <c:pt idx="11">
                  <c:v>304.15614160908552</c:v>
                </c:pt>
                <c:pt idx="12">
                  <c:v>304.83554355090865</c:v>
                </c:pt>
                <c:pt idx="13">
                  <c:v>304.27252637472589</c:v>
                </c:pt>
                <c:pt idx="14">
                  <c:v>304.46968019523388</c:v>
                </c:pt>
                <c:pt idx="15">
                  <c:v>304.0764708309074</c:v>
                </c:pt>
                <c:pt idx="16">
                  <c:v>304.93403391085428</c:v>
                </c:pt>
                <c:pt idx="17">
                  <c:v>304.09268524045933</c:v>
                </c:pt>
                <c:pt idx="18">
                  <c:v>304.17941858580485</c:v>
                </c:pt>
                <c:pt idx="19">
                  <c:v>304.74457297928404</c:v>
                </c:pt>
                <c:pt idx="20">
                  <c:v>304.2807764609463</c:v>
                </c:pt>
                <c:pt idx="21">
                  <c:v>304.06247235544839</c:v>
                </c:pt>
                <c:pt idx="22">
                  <c:v>304.39928757453276</c:v>
                </c:pt>
                <c:pt idx="23">
                  <c:v>304.21409799934719</c:v>
                </c:pt>
                <c:pt idx="24">
                  <c:v>303.68839857994789</c:v>
                </c:pt>
                <c:pt idx="25">
                  <c:v>295.82246726247024</c:v>
                </c:pt>
                <c:pt idx="26">
                  <c:v>296.33198574965195</c:v>
                </c:pt>
                <c:pt idx="27">
                  <c:v>295.53485370410726</c:v>
                </c:pt>
                <c:pt idx="28">
                  <c:v>296.20025589422022</c:v>
                </c:pt>
                <c:pt idx="29">
                  <c:v>296.04986447310517</c:v>
                </c:pt>
                <c:pt idx="30">
                  <c:v>296.03062024444171</c:v>
                </c:pt>
                <c:pt idx="31">
                  <c:v>295.95517920039754</c:v>
                </c:pt>
                <c:pt idx="32">
                  <c:v>296.14431116155561</c:v>
                </c:pt>
                <c:pt idx="33">
                  <c:v>296.19596754444319</c:v>
                </c:pt>
                <c:pt idx="34">
                  <c:v>296.11729016556421</c:v>
                </c:pt>
                <c:pt idx="35">
                  <c:v>296.43324732490561</c:v>
                </c:pt>
                <c:pt idx="36">
                  <c:v>296.26679019951587</c:v>
                </c:pt>
                <c:pt idx="37">
                  <c:v>296.57311664654748</c:v>
                </c:pt>
                <c:pt idx="38">
                  <c:v>295.90394232890804</c:v>
                </c:pt>
                <c:pt idx="39">
                  <c:v>296.42687629679244</c:v>
                </c:pt>
                <c:pt idx="40">
                  <c:v>296.45342114902502</c:v>
                </c:pt>
                <c:pt idx="41">
                  <c:v>296.33740529551335</c:v>
                </c:pt>
                <c:pt idx="42">
                  <c:v>296.30474488380179</c:v>
                </c:pt>
                <c:pt idx="43">
                  <c:v>296.21585997750668</c:v>
                </c:pt>
                <c:pt idx="44">
                  <c:v>297.0851129835068</c:v>
                </c:pt>
                <c:pt idx="45">
                  <c:v>296.28652435139145</c:v>
                </c:pt>
                <c:pt idx="46">
                  <c:v>296.27685858371365</c:v>
                </c:pt>
                <c:pt idx="47">
                  <c:v>296.2867818763948</c:v>
                </c:pt>
                <c:pt idx="48">
                  <c:v>296.44722057533801</c:v>
                </c:pt>
                <c:pt idx="49">
                  <c:v>296.47699794223018</c:v>
                </c:pt>
                <c:pt idx="50">
                  <c:v>303.24090281803348</c:v>
                </c:pt>
                <c:pt idx="51">
                  <c:v>303.19298403742499</c:v>
                </c:pt>
                <c:pt idx="52">
                  <c:v>303.36443524433156</c:v>
                </c:pt>
                <c:pt idx="53">
                  <c:v>303.23108515174721</c:v>
                </c:pt>
                <c:pt idx="54">
                  <c:v>303.51158250538361</c:v>
                </c:pt>
                <c:pt idx="55">
                  <c:v>302.84658439808476</c:v>
                </c:pt>
                <c:pt idx="56">
                  <c:v>303.16987599918406</c:v>
                </c:pt>
                <c:pt idx="57">
                  <c:v>303.49008421127274</c:v>
                </c:pt>
                <c:pt idx="58">
                  <c:v>303.34761392967511</c:v>
                </c:pt>
                <c:pt idx="59">
                  <c:v>303.27079394826177</c:v>
                </c:pt>
                <c:pt idx="60">
                  <c:v>303.11390560604281</c:v>
                </c:pt>
                <c:pt idx="61">
                  <c:v>302.79814705892767</c:v>
                </c:pt>
                <c:pt idx="62">
                  <c:v>302.8634570048207</c:v>
                </c:pt>
                <c:pt idx="63">
                  <c:v>303.26192440078131</c:v>
                </c:pt>
                <c:pt idx="64">
                  <c:v>302.80473560282599</c:v>
                </c:pt>
                <c:pt idx="65">
                  <c:v>302.78054351518244</c:v>
                </c:pt>
                <c:pt idx="66">
                  <c:v>302.96044965349506</c:v>
                </c:pt>
                <c:pt idx="67">
                  <c:v>302.52258511702604</c:v>
                </c:pt>
                <c:pt idx="68">
                  <c:v>302.80614619325144</c:v>
                </c:pt>
                <c:pt idx="69">
                  <c:v>302.9681816514717</c:v>
                </c:pt>
                <c:pt idx="70">
                  <c:v>302.83519287914123</c:v>
                </c:pt>
                <c:pt idx="71">
                  <c:v>302.86018096789212</c:v>
                </c:pt>
                <c:pt idx="72">
                  <c:v>302.57416108805722</c:v>
                </c:pt>
                <c:pt idx="73">
                  <c:v>302.58554014895162</c:v>
                </c:pt>
                <c:pt idx="74">
                  <c:v>302.91110040641178</c:v>
                </c:pt>
                <c:pt idx="75">
                  <c:v>297.05126360582341</c:v>
                </c:pt>
                <c:pt idx="76">
                  <c:v>297.38013018324483</c:v>
                </c:pt>
                <c:pt idx="77">
                  <c:v>297.19522783582897</c:v>
                </c:pt>
                <c:pt idx="78">
                  <c:v>297.13036116914435</c:v>
                </c:pt>
                <c:pt idx="79">
                  <c:v>297.44530028211102</c:v>
                </c:pt>
                <c:pt idx="80">
                  <c:v>297.35933738294068</c:v>
                </c:pt>
                <c:pt idx="81">
                  <c:v>297.90266991792282</c:v>
                </c:pt>
                <c:pt idx="82">
                  <c:v>297.7961408901221</c:v>
                </c:pt>
                <c:pt idx="83">
                  <c:v>297.60749709482172</c:v>
                </c:pt>
                <c:pt idx="84">
                  <c:v>297.75191583419138</c:v>
                </c:pt>
                <c:pt idx="85">
                  <c:v>297.27800720258517</c:v>
                </c:pt>
                <c:pt idx="86">
                  <c:v>297.36955423469959</c:v>
                </c:pt>
                <c:pt idx="87">
                  <c:v>297.55065774493369</c:v>
                </c:pt>
                <c:pt idx="88">
                  <c:v>296.74239236648793</c:v>
                </c:pt>
                <c:pt idx="89">
                  <c:v>297.28378604433368</c:v>
                </c:pt>
                <c:pt idx="90">
                  <c:v>297.42780766254106</c:v>
                </c:pt>
                <c:pt idx="91">
                  <c:v>297.85014659356909</c:v>
                </c:pt>
                <c:pt idx="92">
                  <c:v>297.25849845576414</c:v>
                </c:pt>
                <c:pt idx="93">
                  <c:v>298.02087873526631</c:v>
                </c:pt>
                <c:pt idx="94">
                  <c:v>297.83556918497101</c:v>
                </c:pt>
                <c:pt idx="95">
                  <c:v>297.24292256203404</c:v>
                </c:pt>
                <c:pt idx="96">
                  <c:v>297.57816122287016</c:v>
                </c:pt>
                <c:pt idx="97">
                  <c:v>297.80030984705843</c:v>
                </c:pt>
                <c:pt idx="98">
                  <c:v>298.04007920542898</c:v>
                </c:pt>
                <c:pt idx="99">
                  <c:v>297.6563850417117</c:v>
                </c:pt>
                <c:pt idx="100">
                  <c:v>302.01008304747728</c:v>
                </c:pt>
                <c:pt idx="101">
                  <c:v>302.29950649549482</c:v>
                </c:pt>
                <c:pt idx="102">
                  <c:v>302.22037443775827</c:v>
                </c:pt>
                <c:pt idx="103">
                  <c:v>302.39999074583147</c:v>
                </c:pt>
                <c:pt idx="104">
                  <c:v>302.0837152877167</c:v>
                </c:pt>
                <c:pt idx="105">
                  <c:v>302.12348916138734</c:v>
                </c:pt>
                <c:pt idx="106">
                  <c:v>302.40581223628067</c:v>
                </c:pt>
                <c:pt idx="107">
                  <c:v>302.12191392507515</c:v>
                </c:pt>
                <c:pt idx="108">
                  <c:v>301.90814429407334</c:v>
                </c:pt>
                <c:pt idx="109">
                  <c:v>302.22647781748168</c:v>
                </c:pt>
                <c:pt idx="110">
                  <c:v>302.30067148142615</c:v>
                </c:pt>
                <c:pt idx="111">
                  <c:v>301.73597318040055</c:v>
                </c:pt>
                <c:pt idx="112">
                  <c:v>301.79943706919858</c:v>
                </c:pt>
                <c:pt idx="113">
                  <c:v>301.88864393475467</c:v>
                </c:pt>
                <c:pt idx="114">
                  <c:v>302.1705144564238</c:v>
                </c:pt>
                <c:pt idx="115">
                  <c:v>302.16486001369685</c:v>
                </c:pt>
                <c:pt idx="116">
                  <c:v>302.03813386911304</c:v>
                </c:pt>
                <c:pt idx="117">
                  <c:v>302.05667337012585</c:v>
                </c:pt>
                <c:pt idx="118">
                  <c:v>301.85838113106814</c:v>
                </c:pt>
                <c:pt idx="119">
                  <c:v>301.60572357894</c:v>
                </c:pt>
                <c:pt idx="120">
                  <c:v>301.15882996052233</c:v>
                </c:pt>
                <c:pt idx="121">
                  <c:v>302.09119238497021</c:v>
                </c:pt>
                <c:pt idx="122">
                  <c:v>301.26774904337111</c:v>
                </c:pt>
                <c:pt idx="123">
                  <c:v>302.30753245393657</c:v>
                </c:pt>
                <c:pt idx="124">
                  <c:v>301.85819438643676</c:v>
                </c:pt>
                <c:pt idx="125">
                  <c:v>298.28735829951097</c:v>
                </c:pt>
                <c:pt idx="126">
                  <c:v>298.28846553013807</c:v>
                </c:pt>
                <c:pt idx="127">
                  <c:v>297.85443963104012</c:v>
                </c:pt>
                <c:pt idx="128">
                  <c:v>298.34423636472991</c:v>
                </c:pt>
                <c:pt idx="129">
                  <c:v>298.23177670496744</c:v>
                </c:pt>
                <c:pt idx="130">
                  <c:v>298.43854934891874</c:v>
                </c:pt>
                <c:pt idx="131">
                  <c:v>298.27684958813194</c:v>
                </c:pt>
                <c:pt idx="132">
                  <c:v>298.31356108903844</c:v>
                </c:pt>
                <c:pt idx="133">
                  <c:v>298.32678270972548</c:v>
                </c:pt>
                <c:pt idx="134">
                  <c:v>298.19371218217378</c:v>
                </c:pt>
                <c:pt idx="135">
                  <c:v>298.53779576401041</c:v>
                </c:pt>
                <c:pt idx="136">
                  <c:v>298.50340956877938</c:v>
                </c:pt>
                <c:pt idx="137">
                  <c:v>298.26077618644194</c:v>
                </c:pt>
                <c:pt idx="138">
                  <c:v>298.55864471130127</c:v>
                </c:pt>
                <c:pt idx="139">
                  <c:v>298.0661211507832</c:v>
                </c:pt>
                <c:pt idx="140">
                  <c:v>298.30779711335197</c:v>
                </c:pt>
                <c:pt idx="141">
                  <c:v>298.11221237637074</c:v>
                </c:pt>
                <c:pt idx="142">
                  <c:v>298.35343368532779</c:v>
                </c:pt>
                <c:pt idx="143">
                  <c:v>298.76009715907816</c:v>
                </c:pt>
                <c:pt idx="144">
                  <c:v>298.64209252936536</c:v>
                </c:pt>
                <c:pt idx="145">
                  <c:v>298.39756204828518</c:v>
                </c:pt>
                <c:pt idx="146">
                  <c:v>298.66310335424475</c:v>
                </c:pt>
                <c:pt idx="147">
                  <c:v>298.80835525610996</c:v>
                </c:pt>
                <c:pt idx="148">
                  <c:v>298.38856030431941</c:v>
                </c:pt>
                <c:pt idx="149">
                  <c:v>298.45142077429176</c:v>
                </c:pt>
                <c:pt idx="150">
                  <c:v>301.51481501166796</c:v>
                </c:pt>
                <c:pt idx="151">
                  <c:v>300.99761042647037</c:v>
                </c:pt>
                <c:pt idx="152">
                  <c:v>301.82204547985418</c:v>
                </c:pt>
                <c:pt idx="153">
                  <c:v>301.18795505217321</c:v>
                </c:pt>
                <c:pt idx="154">
                  <c:v>301.37185353984273</c:v>
                </c:pt>
                <c:pt idx="155">
                  <c:v>301.54271001108629</c:v>
                </c:pt>
                <c:pt idx="156">
                  <c:v>301.36814863659453</c:v>
                </c:pt>
                <c:pt idx="157">
                  <c:v>301.53419198556958</c:v>
                </c:pt>
                <c:pt idx="158">
                  <c:v>301.66648066885506</c:v>
                </c:pt>
                <c:pt idx="159">
                  <c:v>301.3860224351842</c:v>
                </c:pt>
                <c:pt idx="160">
                  <c:v>301.19536092456309</c:v>
                </c:pt>
                <c:pt idx="161">
                  <c:v>301.73435028767932</c:v>
                </c:pt>
                <c:pt idx="162">
                  <c:v>301.30585825931706</c:v>
                </c:pt>
                <c:pt idx="163">
                  <c:v>301.65716871181422</c:v>
                </c:pt>
                <c:pt idx="164">
                  <c:v>301.10360790371976</c:v>
                </c:pt>
                <c:pt idx="165">
                  <c:v>301.34425037798167</c:v>
                </c:pt>
                <c:pt idx="166">
                  <c:v>301.9295553768315</c:v>
                </c:pt>
                <c:pt idx="167">
                  <c:v>301.28231267341749</c:v>
                </c:pt>
                <c:pt idx="168">
                  <c:v>301.09606892232244</c:v>
                </c:pt>
                <c:pt idx="169">
                  <c:v>300.9940701034788</c:v>
                </c:pt>
                <c:pt idx="170">
                  <c:v>300.97133970933703</c:v>
                </c:pt>
                <c:pt idx="171">
                  <c:v>300.91936419343563</c:v>
                </c:pt>
                <c:pt idx="172">
                  <c:v>301.42856605845583</c:v>
                </c:pt>
                <c:pt idx="173">
                  <c:v>301.18761323508232</c:v>
                </c:pt>
                <c:pt idx="174">
                  <c:v>300.72788317332527</c:v>
                </c:pt>
                <c:pt idx="175">
                  <c:v>299.37704818206407</c:v>
                </c:pt>
                <c:pt idx="176">
                  <c:v>298.80647873727497</c:v>
                </c:pt>
                <c:pt idx="177">
                  <c:v>299.05339115570126</c:v>
                </c:pt>
                <c:pt idx="178">
                  <c:v>298.80362818274324</c:v>
                </c:pt>
                <c:pt idx="179">
                  <c:v>299.01945211215218</c:v>
                </c:pt>
                <c:pt idx="180">
                  <c:v>298.39876207170335</c:v>
                </c:pt>
                <c:pt idx="181">
                  <c:v>298.71148300595712</c:v>
                </c:pt>
                <c:pt idx="182">
                  <c:v>298.8029517747654</c:v>
                </c:pt>
                <c:pt idx="183">
                  <c:v>298.52380045434057</c:v>
                </c:pt>
                <c:pt idx="184">
                  <c:v>298.55853455840509</c:v>
                </c:pt>
                <c:pt idx="185">
                  <c:v>298.69212551152356</c:v>
                </c:pt>
                <c:pt idx="186">
                  <c:v>298.82967280824079</c:v>
                </c:pt>
                <c:pt idx="187">
                  <c:v>299.15157096414049</c:v>
                </c:pt>
                <c:pt idx="188">
                  <c:v>298.84365385168377</c:v>
                </c:pt>
                <c:pt idx="189">
                  <c:v>298.84334097493701</c:v>
                </c:pt>
                <c:pt idx="190">
                  <c:v>299.10597706889962</c:v>
                </c:pt>
                <c:pt idx="191">
                  <c:v>298.79638534901272</c:v>
                </c:pt>
                <c:pt idx="192">
                  <c:v>298.54443031253379</c:v>
                </c:pt>
                <c:pt idx="193">
                  <c:v>299.09918768484596</c:v>
                </c:pt>
                <c:pt idx="194">
                  <c:v>298.55624132952693</c:v>
                </c:pt>
                <c:pt idx="195">
                  <c:v>298.75406024734855</c:v>
                </c:pt>
                <c:pt idx="196">
                  <c:v>299.33633445020462</c:v>
                </c:pt>
                <c:pt idx="197">
                  <c:v>299.30594539304042</c:v>
                </c:pt>
                <c:pt idx="198">
                  <c:v>299.1323484788054</c:v>
                </c:pt>
                <c:pt idx="199">
                  <c:v>300.6261654799759</c:v>
                </c:pt>
              </c:numCache>
            </c:numRef>
          </c:yVal>
          <c:smooth val="0"/>
          <c:extLst>
            <c:ext xmlns:c16="http://schemas.microsoft.com/office/drawing/2014/chart" uri="{C3380CC4-5D6E-409C-BE32-E72D297353CC}">
              <c16:uniqueId val="{00000000-DFBD-4C85-86FE-09D6CB8DE03B}"/>
            </c:ext>
          </c:extLst>
        </c:ser>
        <c:ser>
          <c:idx val="1"/>
          <c:order val="1"/>
          <c:tx>
            <c:strRef>
              <c:f>MOVING_RANGE!$F$44</c:f>
              <c:strCache>
                <c:ptCount val="1"/>
                <c:pt idx="0">
                  <c:v>avg</c:v>
                </c:pt>
              </c:strCache>
            </c:strRef>
          </c:tx>
          <c:spPr>
            <a:ln w="25400" cap="rnd">
              <a:solidFill>
                <a:schemeClr val="accent6">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MOVING_RANGE!$F$45:$F$244</c:f>
              <c:numCache>
                <c:formatCode>General</c:formatCode>
                <c:ptCount val="200"/>
                <c:pt idx="0">
                  <c:v>300.2410515976124</c:v>
                </c:pt>
                <c:pt idx="1">
                  <c:v>300.2410515976124</c:v>
                </c:pt>
                <c:pt idx="2">
                  <c:v>300.2410515976124</c:v>
                </c:pt>
                <c:pt idx="3">
                  <c:v>300.2410515976124</c:v>
                </c:pt>
                <c:pt idx="4">
                  <c:v>300.2410515976124</c:v>
                </c:pt>
                <c:pt idx="5">
                  <c:v>300.2410515976124</c:v>
                </c:pt>
                <c:pt idx="6">
                  <c:v>300.2410515976124</c:v>
                </c:pt>
                <c:pt idx="7">
                  <c:v>300.2410515976124</c:v>
                </c:pt>
                <c:pt idx="8">
                  <c:v>300.2410515976124</c:v>
                </c:pt>
                <c:pt idx="9">
                  <c:v>300.2410515976124</c:v>
                </c:pt>
                <c:pt idx="10">
                  <c:v>300.2410515976124</c:v>
                </c:pt>
                <c:pt idx="11">
                  <c:v>300.2410515976124</c:v>
                </c:pt>
                <c:pt idx="12">
                  <c:v>300.2410515976124</c:v>
                </c:pt>
                <c:pt idx="13">
                  <c:v>300.2410515976124</c:v>
                </c:pt>
                <c:pt idx="14">
                  <c:v>300.2410515976124</c:v>
                </c:pt>
                <c:pt idx="15">
                  <c:v>300.2410515976124</c:v>
                </c:pt>
                <c:pt idx="16">
                  <c:v>300.2410515976124</c:v>
                </c:pt>
                <c:pt idx="17">
                  <c:v>300.2410515976124</c:v>
                </c:pt>
                <c:pt idx="18">
                  <c:v>300.2410515976124</c:v>
                </c:pt>
                <c:pt idx="19">
                  <c:v>300.2410515976124</c:v>
                </c:pt>
                <c:pt idx="20">
                  <c:v>300.2410515976124</c:v>
                </c:pt>
                <c:pt idx="21">
                  <c:v>300.2410515976124</c:v>
                </c:pt>
                <c:pt idx="22">
                  <c:v>300.2410515976124</c:v>
                </c:pt>
                <c:pt idx="23">
                  <c:v>300.2410515976124</c:v>
                </c:pt>
                <c:pt idx="24">
                  <c:v>300.2410515976124</c:v>
                </c:pt>
                <c:pt idx="25">
                  <c:v>300.2410515976124</c:v>
                </c:pt>
                <c:pt idx="26">
                  <c:v>300.2410515976124</c:v>
                </c:pt>
                <c:pt idx="27">
                  <c:v>300.2410515976124</c:v>
                </c:pt>
                <c:pt idx="28">
                  <c:v>300.2410515976124</c:v>
                </c:pt>
                <c:pt idx="29">
                  <c:v>300.2410515976124</c:v>
                </c:pt>
                <c:pt idx="30">
                  <c:v>300.2410515976124</c:v>
                </c:pt>
                <c:pt idx="31">
                  <c:v>300.2410515976124</c:v>
                </c:pt>
                <c:pt idx="32">
                  <c:v>300.2410515976124</c:v>
                </c:pt>
                <c:pt idx="33">
                  <c:v>300.2410515976124</c:v>
                </c:pt>
                <c:pt idx="34">
                  <c:v>300.2410515976124</c:v>
                </c:pt>
                <c:pt idx="35">
                  <c:v>300.2410515976124</c:v>
                </c:pt>
                <c:pt idx="36">
                  <c:v>300.2410515976124</c:v>
                </c:pt>
                <c:pt idx="37">
                  <c:v>300.2410515976124</c:v>
                </c:pt>
                <c:pt idx="38">
                  <c:v>300.2410515976124</c:v>
                </c:pt>
                <c:pt idx="39">
                  <c:v>300.2410515976124</c:v>
                </c:pt>
                <c:pt idx="40">
                  <c:v>300.2410515976124</c:v>
                </c:pt>
                <c:pt idx="41">
                  <c:v>300.2410515976124</c:v>
                </c:pt>
                <c:pt idx="42">
                  <c:v>300.2410515976124</c:v>
                </c:pt>
                <c:pt idx="43">
                  <c:v>300.2410515976124</c:v>
                </c:pt>
                <c:pt idx="44">
                  <c:v>300.2410515976124</c:v>
                </c:pt>
                <c:pt idx="45">
                  <c:v>300.2410515976124</c:v>
                </c:pt>
                <c:pt idx="46">
                  <c:v>300.2410515976124</c:v>
                </c:pt>
                <c:pt idx="47">
                  <c:v>300.2410515976124</c:v>
                </c:pt>
                <c:pt idx="48">
                  <c:v>300.2410515976124</c:v>
                </c:pt>
                <c:pt idx="49">
                  <c:v>300.2410515976124</c:v>
                </c:pt>
                <c:pt idx="50">
                  <c:v>300.2410515976124</c:v>
                </c:pt>
                <c:pt idx="51">
                  <c:v>300.2410515976124</c:v>
                </c:pt>
                <c:pt idx="52">
                  <c:v>300.2410515976124</c:v>
                </c:pt>
                <c:pt idx="53">
                  <c:v>300.2410515976124</c:v>
                </c:pt>
                <c:pt idx="54">
                  <c:v>300.2410515976124</c:v>
                </c:pt>
                <c:pt idx="55">
                  <c:v>300.2410515976124</c:v>
                </c:pt>
                <c:pt idx="56">
                  <c:v>300.2410515976124</c:v>
                </c:pt>
                <c:pt idx="57">
                  <c:v>300.2410515976124</c:v>
                </c:pt>
                <c:pt idx="58">
                  <c:v>300.2410515976124</c:v>
                </c:pt>
                <c:pt idx="59">
                  <c:v>300.2410515976124</c:v>
                </c:pt>
                <c:pt idx="60">
                  <c:v>300.2410515976124</c:v>
                </c:pt>
                <c:pt idx="61">
                  <c:v>300.2410515976124</c:v>
                </c:pt>
                <c:pt idx="62">
                  <c:v>300.2410515976124</c:v>
                </c:pt>
                <c:pt idx="63">
                  <c:v>300.2410515976124</c:v>
                </c:pt>
                <c:pt idx="64">
                  <c:v>300.2410515976124</c:v>
                </c:pt>
                <c:pt idx="65">
                  <c:v>300.2410515976124</c:v>
                </c:pt>
                <c:pt idx="66">
                  <c:v>300.2410515976124</c:v>
                </c:pt>
                <c:pt idx="67">
                  <c:v>300.2410515976124</c:v>
                </c:pt>
                <c:pt idx="68">
                  <c:v>300.2410515976124</c:v>
                </c:pt>
                <c:pt idx="69">
                  <c:v>300.2410515976124</c:v>
                </c:pt>
                <c:pt idx="70">
                  <c:v>300.2410515976124</c:v>
                </c:pt>
                <c:pt idx="71">
                  <c:v>300.2410515976124</c:v>
                </c:pt>
                <c:pt idx="72">
                  <c:v>300.2410515976124</c:v>
                </c:pt>
                <c:pt idx="73">
                  <c:v>300.2410515976124</c:v>
                </c:pt>
                <c:pt idx="74">
                  <c:v>300.2410515976124</c:v>
                </c:pt>
                <c:pt idx="75">
                  <c:v>300.2410515976124</c:v>
                </c:pt>
                <c:pt idx="76">
                  <c:v>300.2410515976124</c:v>
                </c:pt>
                <c:pt idx="77">
                  <c:v>300.2410515976124</c:v>
                </c:pt>
                <c:pt idx="78">
                  <c:v>300.2410515976124</c:v>
                </c:pt>
                <c:pt idx="79">
                  <c:v>300.2410515976124</c:v>
                </c:pt>
                <c:pt idx="80">
                  <c:v>300.2410515976124</c:v>
                </c:pt>
                <c:pt idx="81">
                  <c:v>300.2410515976124</c:v>
                </c:pt>
                <c:pt idx="82">
                  <c:v>300.2410515976124</c:v>
                </c:pt>
                <c:pt idx="83">
                  <c:v>300.2410515976124</c:v>
                </c:pt>
                <c:pt idx="84">
                  <c:v>300.2410515976124</c:v>
                </c:pt>
                <c:pt idx="85">
                  <c:v>300.2410515976124</c:v>
                </c:pt>
                <c:pt idx="86">
                  <c:v>300.2410515976124</c:v>
                </c:pt>
                <c:pt idx="87">
                  <c:v>300.2410515976124</c:v>
                </c:pt>
                <c:pt idx="88">
                  <c:v>300.2410515976124</c:v>
                </c:pt>
                <c:pt idx="89">
                  <c:v>300.2410515976124</c:v>
                </c:pt>
                <c:pt idx="90">
                  <c:v>300.2410515976124</c:v>
                </c:pt>
                <c:pt idx="91">
                  <c:v>300.2410515976124</c:v>
                </c:pt>
                <c:pt idx="92">
                  <c:v>300.2410515976124</c:v>
                </c:pt>
                <c:pt idx="93">
                  <c:v>300.2410515976124</c:v>
                </c:pt>
                <c:pt idx="94">
                  <c:v>300.2410515976124</c:v>
                </c:pt>
                <c:pt idx="95">
                  <c:v>300.2410515976124</c:v>
                </c:pt>
                <c:pt idx="96">
                  <c:v>300.2410515976124</c:v>
                </c:pt>
                <c:pt idx="97">
                  <c:v>300.2410515976124</c:v>
                </c:pt>
                <c:pt idx="98">
                  <c:v>300.2410515976124</c:v>
                </c:pt>
                <c:pt idx="99">
                  <c:v>300.2410515976124</c:v>
                </c:pt>
                <c:pt idx="100">
                  <c:v>300.2410515976124</c:v>
                </c:pt>
                <c:pt idx="101">
                  <c:v>300.2410515976124</c:v>
                </c:pt>
                <c:pt idx="102">
                  <c:v>300.2410515976124</c:v>
                </c:pt>
                <c:pt idx="103">
                  <c:v>300.2410515976124</c:v>
                </c:pt>
                <c:pt idx="104">
                  <c:v>300.2410515976124</c:v>
                </c:pt>
                <c:pt idx="105">
                  <c:v>300.2410515976124</c:v>
                </c:pt>
                <c:pt idx="106">
                  <c:v>300.2410515976124</c:v>
                </c:pt>
                <c:pt idx="107">
                  <c:v>300.2410515976124</c:v>
                </c:pt>
                <c:pt idx="108">
                  <c:v>300.2410515976124</c:v>
                </c:pt>
                <c:pt idx="109">
                  <c:v>300.2410515976124</c:v>
                </c:pt>
                <c:pt idx="110">
                  <c:v>300.2410515976124</c:v>
                </c:pt>
                <c:pt idx="111">
                  <c:v>300.2410515976124</c:v>
                </c:pt>
                <c:pt idx="112">
                  <c:v>300.2410515976124</c:v>
                </c:pt>
                <c:pt idx="113">
                  <c:v>300.2410515976124</c:v>
                </c:pt>
                <c:pt idx="114">
                  <c:v>300.2410515976124</c:v>
                </c:pt>
                <c:pt idx="115">
                  <c:v>300.2410515976124</c:v>
                </c:pt>
                <c:pt idx="116">
                  <c:v>300.2410515976124</c:v>
                </c:pt>
                <c:pt idx="117">
                  <c:v>300.2410515976124</c:v>
                </c:pt>
                <c:pt idx="118">
                  <c:v>300.2410515976124</c:v>
                </c:pt>
                <c:pt idx="119">
                  <c:v>300.2410515976124</c:v>
                </c:pt>
                <c:pt idx="120">
                  <c:v>300.2410515976124</c:v>
                </c:pt>
                <c:pt idx="121">
                  <c:v>300.2410515976124</c:v>
                </c:pt>
                <c:pt idx="122">
                  <c:v>300.2410515976124</c:v>
                </c:pt>
                <c:pt idx="123">
                  <c:v>300.2410515976124</c:v>
                </c:pt>
                <c:pt idx="124">
                  <c:v>300.2410515976124</c:v>
                </c:pt>
                <c:pt idx="125">
                  <c:v>300.2410515976124</c:v>
                </c:pt>
                <c:pt idx="126">
                  <c:v>300.2410515976124</c:v>
                </c:pt>
                <c:pt idx="127">
                  <c:v>300.2410515976124</c:v>
                </c:pt>
                <c:pt idx="128">
                  <c:v>300.2410515976124</c:v>
                </c:pt>
                <c:pt idx="129">
                  <c:v>300.2410515976124</c:v>
                </c:pt>
                <c:pt idx="130">
                  <c:v>300.2410515976124</c:v>
                </c:pt>
                <c:pt idx="131">
                  <c:v>300.2410515976124</c:v>
                </c:pt>
                <c:pt idx="132">
                  <c:v>300.2410515976124</c:v>
                </c:pt>
                <c:pt idx="133">
                  <c:v>300.2410515976124</c:v>
                </c:pt>
                <c:pt idx="134">
                  <c:v>300.2410515976124</c:v>
                </c:pt>
                <c:pt idx="135">
                  <c:v>300.2410515976124</c:v>
                </c:pt>
                <c:pt idx="136">
                  <c:v>300.2410515976124</c:v>
                </c:pt>
                <c:pt idx="137">
                  <c:v>300.2410515976124</c:v>
                </c:pt>
                <c:pt idx="138">
                  <c:v>300.2410515976124</c:v>
                </c:pt>
                <c:pt idx="139">
                  <c:v>300.2410515976124</c:v>
                </c:pt>
                <c:pt idx="140">
                  <c:v>300.2410515976124</c:v>
                </c:pt>
                <c:pt idx="141">
                  <c:v>300.2410515976124</c:v>
                </c:pt>
                <c:pt idx="142">
                  <c:v>300.2410515976124</c:v>
                </c:pt>
                <c:pt idx="143">
                  <c:v>300.2410515976124</c:v>
                </c:pt>
                <c:pt idx="144">
                  <c:v>300.2410515976124</c:v>
                </c:pt>
                <c:pt idx="145">
                  <c:v>300.2410515976124</c:v>
                </c:pt>
                <c:pt idx="146">
                  <c:v>300.2410515976124</c:v>
                </c:pt>
                <c:pt idx="147">
                  <c:v>300.2410515976124</c:v>
                </c:pt>
                <c:pt idx="148">
                  <c:v>300.2410515976124</c:v>
                </c:pt>
                <c:pt idx="149">
                  <c:v>300.2410515976124</c:v>
                </c:pt>
                <c:pt idx="150">
                  <c:v>300.2410515976124</c:v>
                </c:pt>
                <c:pt idx="151">
                  <c:v>300.2410515976124</c:v>
                </c:pt>
                <c:pt idx="152">
                  <c:v>300.2410515976124</c:v>
                </c:pt>
                <c:pt idx="153">
                  <c:v>300.2410515976124</c:v>
                </c:pt>
                <c:pt idx="154">
                  <c:v>300.2410515976124</c:v>
                </c:pt>
                <c:pt idx="155">
                  <c:v>300.2410515976124</c:v>
                </c:pt>
                <c:pt idx="156">
                  <c:v>300.2410515976124</c:v>
                </c:pt>
                <c:pt idx="157">
                  <c:v>300.2410515976124</c:v>
                </c:pt>
                <c:pt idx="158">
                  <c:v>300.2410515976124</c:v>
                </c:pt>
                <c:pt idx="159">
                  <c:v>300.2410515976124</c:v>
                </c:pt>
                <c:pt idx="160">
                  <c:v>300.2410515976124</c:v>
                </c:pt>
                <c:pt idx="161">
                  <c:v>300.2410515976124</c:v>
                </c:pt>
                <c:pt idx="162">
                  <c:v>300.2410515976124</c:v>
                </c:pt>
                <c:pt idx="163">
                  <c:v>300.2410515976124</c:v>
                </c:pt>
                <c:pt idx="164">
                  <c:v>300.2410515976124</c:v>
                </c:pt>
                <c:pt idx="165">
                  <c:v>300.2410515976124</c:v>
                </c:pt>
                <c:pt idx="166">
                  <c:v>300.2410515976124</c:v>
                </c:pt>
                <c:pt idx="167">
                  <c:v>300.2410515976124</c:v>
                </c:pt>
                <c:pt idx="168">
                  <c:v>300.2410515976124</c:v>
                </c:pt>
                <c:pt idx="169">
                  <c:v>300.2410515976124</c:v>
                </c:pt>
                <c:pt idx="170">
                  <c:v>300.2410515976124</c:v>
                </c:pt>
                <c:pt idx="171">
                  <c:v>300.2410515976124</c:v>
                </c:pt>
                <c:pt idx="172">
                  <c:v>300.2410515976124</c:v>
                </c:pt>
                <c:pt idx="173">
                  <c:v>300.2410515976124</c:v>
                </c:pt>
                <c:pt idx="174">
                  <c:v>300.2410515976124</c:v>
                </c:pt>
                <c:pt idx="175">
                  <c:v>300.2410515976124</c:v>
                </c:pt>
                <c:pt idx="176">
                  <c:v>300.2410515976124</c:v>
                </c:pt>
                <c:pt idx="177">
                  <c:v>300.2410515976124</c:v>
                </c:pt>
                <c:pt idx="178">
                  <c:v>300.2410515976124</c:v>
                </c:pt>
                <c:pt idx="179">
                  <c:v>300.2410515976124</c:v>
                </c:pt>
                <c:pt idx="180">
                  <c:v>300.2410515976124</c:v>
                </c:pt>
                <c:pt idx="181">
                  <c:v>300.2410515976124</c:v>
                </c:pt>
                <c:pt idx="182">
                  <c:v>300.2410515976124</c:v>
                </c:pt>
                <c:pt idx="183">
                  <c:v>300.2410515976124</c:v>
                </c:pt>
                <c:pt idx="184">
                  <c:v>300.2410515976124</c:v>
                </c:pt>
                <c:pt idx="185">
                  <c:v>300.2410515976124</c:v>
                </c:pt>
                <c:pt idx="186">
                  <c:v>300.2410515976124</c:v>
                </c:pt>
                <c:pt idx="187">
                  <c:v>300.2410515976124</c:v>
                </c:pt>
                <c:pt idx="188">
                  <c:v>300.2410515976124</c:v>
                </c:pt>
                <c:pt idx="189">
                  <c:v>300.2410515976124</c:v>
                </c:pt>
                <c:pt idx="190">
                  <c:v>300.2410515976124</c:v>
                </c:pt>
                <c:pt idx="191">
                  <c:v>300.2410515976124</c:v>
                </c:pt>
                <c:pt idx="192">
                  <c:v>300.2410515976124</c:v>
                </c:pt>
                <c:pt idx="193">
                  <c:v>300.2410515976124</c:v>
                </c:pt>
                <c:pt idx="194">
                  <c:v>300.2410515976124</c:v>
                </c:pt>
                <c:pt idx="195">
                  <c:v>300.2410515976124</c:v>
                </c:pt>
                <c:pt idx="196">
                  <c:v>300.2410515976124</c:v>
                </c:pt>
                <c:pt idx="197">
                  <c:v>300.2410515976124</c:v>
                </c:pt>
                <c:pt idx="198">
                  <c:v>300.2410515976124</c:v>
                </c:pt>
                <c:pt idx="199">
                  <c:v>300.2410515976124</c:v>
                </c:pt>
              </c:numCache>
            </c:numRef>
          </c:yVal>
          <c:smooth val="0"/>
          <c:extLst>
            <c:ext xmlns:c16="http://schemas.microsoft.com/office/drawing/2014/chart" uri="{C3380CC4-5D6E-409C-BE32-E72D297353CC}">
              <c16:uniqueId val="{00000001-DFBD-4C85-86FE-09D6CB8DE03B}"/>
            </c:ext>
          </c:extLst>
        </c:ser>
        <c:ser>
          <c:idx val="2"/>
          <c:order val="2"/>
          <c:tx>
            <c:strRef>
              <c:f>MOVING_RANGE!$G$44</c:f>
              <c:strCache>
                <c:ptCount val="1"/>
                <c:pt idx="0">
                  <c:v>UCL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MOVING_RANGE!$G$45:$G$244</c:f>
              <c:numCache>
                <c:formatCode>General</c:formatCode>
                <c:ptCount val="200"/>
                <c:pt idx="0">
                  <c:v>308.45236558188958</c:v>
                </c:pt>
                <c:pt idx="1">
                  <c:v>308.45236558188958</c:v>
                </c:pt>
                <c:pt idx="2">
                  <c:v>308.45236558188958</c:v>
                </c:pt>
                <c:pt idx="3">
                  <c:v>308.45236558188958</c:v>
                </c:pt>
                <c:pt idx="4">
                  <c:v>308.45236558188958</c:v>
                </c:pt>
                <c:pt idx="5">
                  <c:v>308.45236558188958</c:v>
                </c:pt>
                <c:pt idx="6">
                  <c:v>308.45236558188958</c:v>
                </c:pt>
                <c:pt idx="7">
                  <c:v>308.45236558188958</c:v>
                </c:pt>
                <c:pt idx="8">
                  <c:v>308.45236558188958</c:v>
                </c:pt>
                <c:pt idx="9">
                  <c:v>308.45236558188958</c:v>
                </c:pt>
                <c:pt idx="10">
                  <c:v>308.45236558188958</c:v>
                </c:pt>
                <c:pt idx="11">
                  <c:v>308.45236558188958</c:v>
                </c:pt>
                <c:pt idx="12">
                  <c:v>308.45236558188958</c:v>
                </c:pt>
                <c:pt idx="13">
                  <c:v>308.45236558188958</c:v>
                </c:pt>
                <c:pt idx="14">
                  <c:v>308.45236558188958</c:v>
                </c:pt>
                <c:pt idx="15">
                  <c:v>308.45236558188958</c:v>
                </c:pt>
                <c:pt idx="16">
                  <c:v>308.45236558188958</c:v>
                </c:pt>
                <c:pt idx="17">
                  <c:v>308.45236558188958</c:v>
                </c:pt>
                <c:pt idx="18">
                  <c:v>308.45236558188958</c:v>
                </c:pt>
                <c:pt idx="19">
                  <c:v>308.45236558188958</c:v>
                </c:pt>
                <c:pt idx="20">
                  <c:v>308.45236558188958</c:v>
                </c:pt>
                <c:pt idx="21">
                  <c:v>308.45236558188958</c:v>
                </c:pt>
                <c:pt idx="22">
                  <c:v>308.45236558188958</c:v>
                </c:pt>
                <c:pt idx="23">
                  <c:v>308.45236558188958</c:v>
                </c:pt>
                <c:pt idx="24">
                  <c:v>308.45236558188958</c:v>
                </c:pt>
                <c:pt idx="25">
                  <c:v>308.45236558188958</c:v>
                </c:pt>
                <c:pt idx="26">
                  <c:v>308.45236558188958</c:v>
                </c:pt>
                <c:pt idx="27">
                  <c:v>308.45236558188958</c:v>
                </c:pt>
                <c:pt idx="28">
                  <c:v>308.45236558188958</c:v>
                </c:pt>
                <c:pt idx="29">
                  <c:v>308.45236558188958</c:v>
                </c:pt>
                <c:pt idx="30">
                  <c:v>308.45236558188958</c:v>
                </c:pt>
                <c:pt idx="31">
                  <c:v>308.45236558188958</c:v>
                </c:pt>
                <c:pt idx="32">
                  <c:v>308.45236558188958</c:v>
                </c:pt>
                <c:pt idx="33">
                  <c:v>308.45236558188958</c:v>
                </c:pt>
                <c:pt idx="34">
                  <c:v>308.45236558188958</c:v>
                </c:pt>
                <c:pt idx="35">
                  <c:v>308.45236558188958</c:v>
                </c:pt>
                <c:pt idx="36">
                  <c:v>308.45236558188958</c:v>
                </c:pt>
                <c:pt idx="37">
                  <c:v>308.45236558188958</c:v>
                </c:pt>
                <c:pt idx="38">
                  <c:v>308.45236558188958</c:v>
                </c:pt>
                <c:pt idx="39">
                  <c:v>308.45236558188958</c:v>
                </c:pt>
                <c:pt idx="40">
                  <c:v>308.45236558188958</c:v>
                </c:pt>
                <c:pt idx="41">
                  <c:v>308.45236558188958</c:v>
                </c:pt>
                <c:pt idx="42">
                  <c:v>308.45236558188958</c:v>
                </c:pt>
                <c:pt idx="43">
                  <c:v>308.45236558188958</c:v>
                </c:pt>
                <c:pt idx="44">
                  <c:v>308.45236558188958</c:v>
                </c:pt>
                <c:pt idx="45">
                  <c:v>308.45236558188958</c:v>
                </c:pt>
                <c:pt idx="46">
                  <c:v>308.45236558188958</c:v>
                </c:pt>
                <c:pt idx="47">
                  <c:v>308.45236558188958</c:v>
                </c:pt>
                <c:pt idx="48">
                  <c:v>308.45236558188958</c:v>
                </c:pt>
                <c:pt idx="49">
                  <c:v>308.45236558188958</c:v>
                </c:pt>
                <c:pt idx="50">
                  <c:v>308.45236558188958</c:v>
                </c:pt>
                <c:pt idx="51">
                  <c:v>308.45236558188958</c:v>
                </c:pt>
                <c:pt idx="52">
                  <c:v>308.45236558188958</c:v>
                </c:pt>
                <c:pt idx="53">
                  <c:v>308.45236558188958</c:v>
                </c:pt>
                <c:pt idx="54">
                  <c:v>308.45236558188958</c:v>
                </c:pt>
                <c:pt idx="55">
                  <c:v>308.45236558188958</c:v>
                </c:pt>
                <c:pt idx="56">
                  <c:v>308.45236558188958</c:v>
                </c:pt>
                <c:pt idx="57">
                  <c:v>308.45236558188958</c:v>
                </c:pt>
                <c:pt idx="58">
                  <c:v>308.45236558188958</c:v>
                </c:pt>
                <c:pt idx="59">
                  <c:v>308.45236558188958</c:v>
                </c:pt>
                <c:pt idx="60">
                  <c:v>308.45236558188958</c:v>
                </c:pt>
                <c:pt idx="61">
                  <c:v>308.45236558188958</c:v>
                </c:pt>
                <c:pt idx="62">
                  <c:v>308.45236558188958</c:v>
                </c:pt>
                <c:pt idx="63">
                  <c:v>308.45236558188958</c:v>
                </c:pt>
                <c:pt idx="64">
                  <c:v>308.45236558188958</c:v>
                </c:pt>
                <c:pt idx="65">
                  <c:v>308.45236558188958</c:v>
                </c:pt>
                <c:pt idx="66">
                  <c:v>308.45236558188958</c:v>
                </c:pt>
                <c:pt idx="67">
                  <c:v>308.45236558188958</c:v>
                </c:pt>
                <c:pt idx="68">
                  <c:v>308.45236558188958</c:v>
                </c:pt>
                <c:pt idx="69">
                  <c:v>308.45236558188958</c:v>
                </c:pt>
                <c:pt idx="70">
                  <c:v>308.45236558188958</c:v>
                </c:pt>
                <c:pt idx="71">
                  <c:v>308.45236558188958</c:v>
                </c:pt>
                <c:pt idx="72">
                  <c:v>308.45236558188958</c:v>
                </c:pt>
                <c:pt idx="73">
                  <c:v>308.45236558188958</c:v>
                </c:pt>
                <c:pt idx="74">
                  <c:v>308.45236558188958</c:v>
                </c:pt>
                <c:pt idx="75">
                  <c:v>308.45236558188958</c:v>
                </c:pt>
                <c:pt idx="76">
                  <c:v>308.45236558188958</c:v>
                </c:pt>
                <c:pt idx="77">
                  <c:v>308.45236558188958</c:v>
                </c:pt>
                <c:pt idx="78">
                  <c:v>308.45236558188958</c:v>
                </c:pt>
                <c:pt idx="79">
                  <c:v>308.45236558188958</c:v>
                </c:pt>
                <c:pt idx="80">
                  <c:v>308.45236558188958</c:v>
                </c:pt>
                <c:pt idx="81">
                  <c:v>308.45236558188958</c:v>
                </c:pt>
                <c:pt idx="82">
                  <c:v>308.45236558188958</c:v>
                </c:pt>
                <c:pt idx="83">
                  <c:v>308.45236558188958</c:v>
                </c:pt>
                <c:pt idx="84">
                  <c:v>308.45236558188958</c:v>
                </c:pt>
                <c:pt idx="85">
                  <c:v>308.45236558188958</c:v>
                </c:pt>
                <c:pt idx="86">
                  <c:v>308.45236558188958</c:v>
                </c:pt>
                <c:pt idx="87">
                  <c:v>308.45236558188958</c:v>
                </c:pt>
                <c:pt idx="88">
                  <c:v>308.45236558188958</c:v>
                </c:pt>
                <c:pt idx="89">
                  <c:v>308.45236558188958</c:v>
                </c:pt>
                <c:pt idx="90">
                  <c:v>308.45236558188958</c:v>
                </c:pt>
                <c:pt idx="91">
                  <c:v>308.45236558188958</c:v>
                </c:pt>
                <c:pt idx="92">
                  <c:v>308.45236558188958</c:v>
                </c:pt>
                <c:pt idx="93">
                  <c:v>308.45236558188958</c:v>
                </c:pt>
                <c:pt idx="94">
                  <c:v>308.45236558188958</c:v>
                </c:pt>
                <c:pt idx="95">
                  <c:v>308.45236558188958</c:v>
                </c:pt>
                <c:pt idx="96">
                  <c:v>308.45236558188958</c:v>
                </c:pt>
                <c:pt idx="97">
                  <c:v>308.45236558188958</c:v>
                </c:pt>
                <c:pt idx="98">
                  <c:v>308.45236558188958</c:v>
                </c:pt>
                <c:pt idx="99">
                  <c:v>308.45236558188958</c:v>
                </c:pt>
                <c:pt idx="100">
                  <c:v>308.45236558188958</c:v>
                </c:pt>
                <c:pt idx="101">
                  <c:v>308.45236558188958</c:v>
                </c:pt>
                <c:pt idx="102">
                  <c:v>308.45236558188958</c:v>
                </c:pt>
                <c:pt idx="103">
                  <c:v>308.45236558188958</c:v>
                </c:pt>
                <c:pt idx="104">
                  <c:v>308.45236558188958</c:v>
                </c:pt>
                <c:pt idx="105">
                  <c:v>308.45236558188958</c:v>
                </c:pt>
                <c:pt idx="106">
                  <c:v>308.45236558188958</c:v>
                </c:pt>
                <c:pt idx="107">
                  <c:v>308.45236558188958</c:v>
                </c:pt>
                <c:pt idx="108">
                  <c:v>308.45236558188958</c:v>
                </c:pt>
                <c:pt idx="109">
                  <c:v>308.45236558188958</c:v>
                </c:pt>
                <c:pt idx="110">
                  <c:v>308.45236558188958</c:v>
                </c:pt>
                <c:pt idx="111">
                  <c:v>308.45236558188958</c:v>
                </c:pt>
                <c:pt idx="112">
                  <c:v>308.45236558188958</c:v>
                </c:pt>
                <c:pt idx="113">
                  <c:v>308.45236558188958</c:v>
                </c:pt>
                <c:pt idx="114">
                  <c:v>308.45236558188958</c:v>
                </c:pt>
                <c:pt idx="115">
                  <c:v>308.45236558188958</c:v>
                </c:pt>
                <c:pt idx="116">
                  <c:v>308.45236558188958</c:v>
                </c:pt>
                <c:pt idx="117">
                  <c:v>308.45236558188958</c:v>
                </c:pt>
                <c:pt idx="118">
                  <c:v>308.45236558188958</c:v>
                </c:pt>
                <c:pt idx="119">
                  <c:v>308.45236558188958</c:v>
                </c:pt>
                <c:pt idx="120">
                  <c:v>308.45236558188958</c:v>
                </c:pt>
                <c:pt idx="121">
                  <c:v>308.45236558188958</c:v>
                </c:pt>
                <c:pt idx="122">
                  <c:v>308.45236558188958</c:v>
                </c:pt>
                <c:pt idx="123">
                  <c:v>308.45236558188958</c:v>
                </c:pt>
                <c:pt idx="124">
                  <c:v>308.45236558188958</c:v>
                </c:pt>
                <c:pt idx="125">
                  <c:v>308.45236558188958</c:v>
                </c:pt>
                <c:pt idx="126">
                  <c:v>308.45236558188958</c:v>
                </c:pt>
                <c:pt idx="127">
                  <c:v>308.45236558188958</c:v>
                </c:pt>
                <c:pt idx="128">
                  <c:v>308.45236558188958</c:v>
                </c:pt>
                <c:pt idx="129">
                  <c:v>308.45236558188958</c:v>
                </c:pt>
                <c:pt idx="130">
                  <c:v>308.45236558188958</c:v>
                </c:pt>
                <c:pt idx="131">
                  <c:v>308.45236558188958</c:v>
                </c:pt>
                <c:pt idx="132">
                  <c:v>308.45236558188958</c:v>
                </c:pt>
                <c:pt idx="133">
                  <c:v>308.45236558188958</c:v>
                </c:pt>
                <c:pt idx="134">
                  <c:v>308.45236558188958</c:v>
                </c:pt>
                <c:pt idx="135">
                  <c:v>308.45236558188958</c:v>
                </c:pt>
                <c:pt idx="136">
                  <c:v>308.45236558188958</c:v>
                </c:pt>
                <c:pt idx="137">
                  <c:v>308.45236558188958</c:v>
                </c:pt>
                <c:pt idx="138">
                  <c:v>308.45236558188958</c:v>
                </c:pt>
                <c:pt idx="139">
                  <c:v>308.45236558188958</c:v>
                </c:pt>
                <c:pt idx="140">
                  <c:v>308.45236558188958</c:v>
                </c:pt>
                <c:pt idx="141">
                  <c:v>308.45236558188958</c:v>
                </c:pt>
                <c:pt idx="142">
                  <c:v>308.45236558188958</c:v>
                </c:pt>
                <c:pt idx="143">
                  <c:v>308.45236558188958</c:v>
                </c:pt>
                <c:pt idx="144">
                  <c:v>308.45236558188958</c:v>
                </c:pt>
                <c:pt idx="145">
                  <c:v>308.45236558188958</c:v>
                </c:pt>
                <c:pt idx="146">
                  <c:v>308.45236558188958</c:v>
                </c:pt>
                <c:pt idx="147">
                  <c:v>308.45236558188958</c:v>
                </c:pt>
                <c:pt idx="148">
                  <c:v>308.45236558188958</c:v>
                </c:pt>
                <c:pt idx="149">
                  <c:v>308.45236558188958</c:v>
                </c:pt>
                <c:pt idx="150">
                  <c:v>308.45236558188958</c:v>
                </c:pt>
                <c:pt idx="151">
                  <c:v>308.45236558188958</c:v>
                </c:pt>
                <c:pt idx="152">
                  <c:v>308.45236558188958</c:v>
                </c:pt>
                <c:pt idx="153">
                  <c:v>308.45236558188958</c:v>
                </c:pt>
                <c:pt idx="154">
                  <c:v>308.45236558188958</c:v>
                </c:pt>
                <c:pt idx="155">
                  <c:v>308.45236558188958</c:v>
                </c:pt>
                <c:pt idx="156">
                  <c:v>308.45236558188958</c:v>
                </c:pt>
                <c:pt idx="157">
                  <c:v>308.45236558188958</c:v>
                </c:pt>
                <c:pt idx="158">
                  <c:v>308.45236558188958</c:v>
                </c:pt>
                <c:pt idx="159">
                  <c:v>308.45236558188958</c:v>
                </c:pt>
                <c:pt idx="160">
                  <c:v>308.45236558188958</c:v>
                </c:pt>
                <c:pt idx="161">
                  <c:v>308.45236558188958</c:v>
                </c:pt>
                <c:pt idx="162">
                  <c:v>308.45236558188958</c:v>
                </c:pt>
                <c:pt idx="163">
                  <c:v>308.45236558188958</c:v>
                </c:pt>
                <c:pt idx="164">
                  <c:v>308.45236558188958</c:v>
                </c:pt>
                <c:pt idx="165">
                  <c:v>308.45236558188958</c:v>
                </c:pt>
                <c:pt idx="166">
                  <c:v>308.45236558188958</c:v>
                </c:pt>
                <c:pt idx="167">
                  <c:v>308.45236558188958</c:v>
                </c:pt>
                <c:pt idx="168">
                  <c:v>308.45236558188958</c:v>
                </c:pt>
                <c:pt idx="169">
                  <c:v>308.45236558188958</c:v>
                </c:pt>
                <c:pt idx="170">
                  <c:v>308.45236558188958</c:v>
                </c:pt>
                <c:pt idx="171">
                  <c:v>308.45236558188958</c:v>
                </c:pt>
                <c:pt idx="172">
                  <c:v>308.45236558188958</c:v>
                </c:pt>
                <c:pt idx="173">
                  <c:v>308.45236558188958</c:v>
                </c:pt>
                <c:pt idx="174">
                  <c:v>308.45236558188958</c:v>
                </c:pt>
                <c:pt idx="175">
                  <c:v>308.45236558188958</c:v>
                </c:pt>
                <c:pt idx="176">
                  <c:v>308.45236558188958</c:v>
                </c:pt>
                <c:pt idx="177">
                  <c:v>308.45236558188958</c:v>
                </c:pt>
                <c:pt idx="178">
                  <c:v>308.45236558188958</c:v>
                </c:pt>
                <c:pt idx="179">
                  <c:v>308.45236558188958</c:v>
                </c:pt>
                <c:pt idx="180">
                  <c:v>308.45236558188958</c:v>
                </c:pt>
                <c:pt idx="181">
                  <c:v>308.45236558188958</c:v>
                </c:pt>
                <c:pt idx="182">
                  <c:v>308.45236558188958</c:v>
                </c:pt>
                <c:pt idx="183">
                  <c:v>308.45236558188958</c:v>
                </c:pt>
                <c:pt idx="184">
                  <c:v>308.45236558188958</c:v>
                </c:pt>
                <c:pt idx="185">
                  <c:v>308.45236558188958</c:v>
                </c:pt>
                <c:pt idx="186">
                  <c:v>308.45236558188958</c:v>
                </c:pt>
                <c:pt idx="187">
                  <c:v>308.45236558188958</c:v>
                </c:pt>
                <c:pt idx="188">
                  <c:v>308.45236558188958</c:v>
                </c:pt>
                <c:pt idx="189">
                  <c:v>308.45236558188958</c:v>
                </c:pt>
                <c:pt idx="190">
                  <c:v>308.45236558188958</c:v>
                </c:pt>
                <c:pt idx="191">
                  <c:v>308.45236558188958</c:v>
                </c:pt>
                <c:pt idx="192">
                  <c:v>308.45236558188958</c:v>
                </c:pt>
                <c:pt idx="193">
                  <c:v>308.45236558188958</c:v>
                </c:pt>
                <c:pt idx="194">
                  <c:v>308.45236558188958</c:v>
                </c:pt>
                <c:pt idx="195">
                  <c:v>308.45236558188958</c:v>
                </c:pt>
                <c:pt idx="196">
                  <c:v>308.45236558188958</c:v>
                </c:pt>
                <c:pt idx="197">
                  <c:v>308.45236558188958</c:v>
                </c:pt>
                <c:pt idx="198">
                  <c:v>308.45236558188958</c:v>
                </c:pt>
                <c:pt idx="199">
                  <c:v>308.45236558188958</c:v>
                </c:pt>
              </c:numCache>
            </c:numRef>
          </c:yVal>
          <c:smooth val="0"/>
          <c:extLst>
            <c:ext xmlns:c16="http://schemas.microsoft.com/office/drawing/2014/chart" uri="{C3380CC4-5D6E-409C-BE32-E72D297353CC}">
              <c16:uniqueId val="{00000002-DFBD-4C85-86FE-09D6CB8DE03B}"/>
            </c:ext>
          </c:extLst>
        </c:ser>
        <c:ser>
          <c:idx val="3"/>
          <c:order val="3"/>
          <c:tx>
            <c:strRef>
              <c:f>MOVING_RANGE!$H$44</c:f>
              <c:strCache>
                <c:ptCount val="1"/>
                <c:pt idx="0">
                  <c:v>UWL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MOVING_RANGE!$H$45:$H$244</c:f>
              <c:numCache>
                <c:formatCode>General</c:formatCode>
                <c:ptCount val="200"/>
                <c:pt idx="0">
                  <c:v>305.71526092046389</c:v>
                </c:pt>
                <c:pt idx="1">
                  <c:v>305.71526092046389</c:v>
                </c:pt>
                <c:pt idx="2">
                  <c:v>305.71526092046389</c:v>
                </c:pt>
                <c:pt idx="3">
                  <c:v>305.71526092046389</c:v>
                </c:pt>
                <c:pt idx="4">
                  <c:v>305.71526092046389</c:v>
                </c:pt>
                <c:pt idx="5">
                  <c:v>305.71526092046389</c:v>
                </c:pt>
                <c:pt idx="6">
                  <c:v>305.71526092046389</c:v>
                </c:pt>
                <c:pt idx="7">
                  <c:v>305.71526092046389</c:v>
                </c:pt>
                <c:pt idx="8">
                  <c:v>305.71526092046389</c:v>
                </c:pt>
                <c:pt idx="9">
                  <c:v>305.71526092046389</c:v>
                </c:pt>
                <c:pt idx="10">
                  <c:v>305.71526092046389</c:v>
                </c:pt>
                <c:pt idx="11">
                  <c:v>305.71526092046389</c:v>
                </c:pt>
                <c:pt idx="12">
                  <c:v>305.71526092046389</c:v>
                </c:pt>
                <c:pt idx="13">
                  <c:v>305.71526092046389</c:v>
                </c:pt>
                <c:pt idx="14">
                  <c:v>305.71526092046389</c:v>
                </c:pt>
                <c:pt idx="15">
                  <c:v>305.71526092046389</c:v>
                </c:pt>
                <c:pt idx="16">
                  <c:v>305.71526092046389</c:v>
                </c:pt>
                <c:pt idx="17">
                  <c:v>305.71526092046389</c:v>
                </c:pt>
                <c:pt idx="18">
                  <c:v>305.71526092046389</c:v>
                </c:pt>
                <c:pt idx="19">
                  <c:v>305.71526092046389</c:v>
                </c:pt>
                <c:pt idx="20">
                  <c:v>305.71526092046389</c:v>
                </c:pt>
                <c:pt idx="21">
                  <c:v>305.71526092046389</c:v>
                </c:pt>
                <c:pt idx="22">
                  <c:v>305.71526092046389</c:v>
                </c:pt>
                <c:pt idx="23">
                  <c:v>305.71526092046389</c:v>
                </c:pt>
                <c:pt idx="24">
                  <c:v>305.71526092046389</c:v>
                </c:pt>
                <c:pt idx="25">
                  <c:v>305.71526092046389</c:v>
                </c:pt>
                <c:pt idx="26">
                  <c:v>305.71526092046389</c:v>
                </c:pt>
                <c:pt idx="27">
                  <c:v>305.71526092046389</c:v>
                </c:pt>
                <c:pt idx="28">
                  <c:v>305.71526092046389</c:v>
                </c:pt>
                <c:pt idx="29">
                  <c:v>305.71526092046389</c:v>
                </c:pt>
                <c:pt idx="30">
                  <c:v>305.71526092046389</c:v>
                </c:pt>
                <c:pt idx="31">
                  <c:v>305.71526092046389</c:v>
                </c:pt>
                <c:pt idx="32">
                  <c:v>305.71526092046389</c:v>
                </c:pt>
                <c:pt idx="33">
                  <c:v>305.71526092046389</c:v>
                </c:pt>
                <c:pt idx="34">
                  <c:v>305.71526092046389</c:v>
                </c:pt>
                <c:pt idx="35">
                  <c:v>305.71526092046389</c:v>
                </c:pt>
                <c:pt idx="36">
                  <c:v>305.71526092046389</c:v>
                </c:pt>
                <c:pt idx="37">
                  <c:v>305.71526092046389</c:v>
                </c:pt>
                <c:pt idx="38">
                  <c:v>305.71526092046389</c:v>
                </c:pt>
                <c:pt idx="39">
                  <c:v>305.71526092046389</c:v>
                </c:pt>
                <c:pt idx="40">
                  <c:v>305.71526092046389</c:v>
                </c:pt>
                <c:pt idx="41">
                  <c:v>305.71526092046389</c:v>
                </c:pt>
                <c:pt idx="42">
                  <c:v>305.71526092046389</c:v>
                </c:pt>
                <c:pt idx="43">
                  <c:v>305.71526092046389</c:v>
                </c:pt>
                <c:pt idx="44">
                  <c:v>305.71526092046389</c:v>
                </c:pt>
                <c:pt idx="45">
                  <c:v>305.71526092046389</c:v>
                </c:pt>
                <c:pt idx="46">
                  <c:v>305.71526092046389</c:v>
                </c:pt>
                <c:pt idx="47">
                  <c:v>305.71526092046389</c:v>
                </c:pt>
                <c:pt idx="48">
                  <c:v>305.71526092046389</c:v>
                </c:pt>
                <c:pt idx="49">
                  <c:v>305.71526092046389</c:v>
                </c:pt>
                <c:pt idx="50">
                  <c:v>305.71526092046389</c:v>
                </c:pt>
                <c:pt idx="51">
                  <c:v>305.71526092046389</c:v>
                </c:pt>
                <c:pt idx="52">
                  <c:v>305.71526092046389</c:v>
                </c:pt>
                <c:pt idx="53">
                  <c:v>305.71526092046389</c:v>
                </c:pt>
                <c:pt idx="54">
                  <c:v>305.71526092046389</c:v>
                </c:pt>
                <c:pt idx="55">
                  <c:v>305.71526092046389</c:v>
                </c:pt>
                <c:pt idx="56">
                  <c:v>305.71526092046389</c:v>
                </c:pt>
                <c:pt idx="57">
                  <c:v>305.71526092046389</c:v>
                </c:pt>
                <c:pt idx="58">
                  <c:v>305.71526092046389</c:v>
                </c:pt>
                <c:pt idx="59">
                  <c:v>305.71526092046389</c:v>
                </c:pt>
                <c:pt idx="60">
                  <c:v>305.71526092046389</c:v>
                </c:pt>
                <c:pt idx="61">
                  <c:v>305.71526092046389</c:v>
                </c:pt>
                <c:pt idx="62">
                  <c:v>305.71526092046389</c:v>
                </c:pt>
                <c:pt idx="63">
                  <c:v>305.71526092046389</c:v>
                </c:pt>
                <c:pt idx="64">
                  <c:v>305.71526092046389</c:v>
                </c:pt>
                <c:pt idx="65">
                  <c:v>305.71526092046389</c:v>
                </c:pt>
                <c:pt idx="66">
                  <c:v>305.71526092046389</c:v>
                </c:pt>
                <c:pt idx="67">
                  <c:v>305.71526092046389</c:v>
                </c:pt>
                <c:pt idx="68">
                  <c:v>305.71526092046389</c:v>
                </c:pt>
                <c:pt idx="69">
                  <c:v>305.71526092046389</c:v>
                </c:pt>
                <c:pt idx="70">
                  <c:v>305.71526092046389</c:v>
                </c:pt>
                <c:pt idx="71">
                  <c:v>305.71526092046389</c:v>
                </c:pt>
                <c:pt idx="72">
                  <c:v>305.71526092046389</c:v>
                </c:pt>
                <c:pt idx="73">
                  <c:v>305.71526092046389</c:v>
                </c:pt>
                <c:pt idx="74">
                  <c:v>305.71526092046389</c:v>
                </c:pt>
                <c:pt idx="75">
                  <c:v>305.71526092046389</c:v>
                </c:pt>
                <c:pt idx="76">
                  <c:v>305.71526092046389</c:v>
                </c:pt>
                <c:pt idx="77">
                  <c:v>305.71526092046389</c:v>
                </c:pt>
                <c:pt idx="78">
                  <c:v>305.71526092046389</c:v>
                </c:pt>
                <c:pt idx="79">
                  <c:v>305.71526092046389</c:v>
                </c:pt>
                <c:pt idx="80">
                  <c:v>305.71526092046389</c:v>
                </c:pt>
                <c:pt idx="81">
                  <c:v>305.71526092046389</c:v>
                </c:pt>
                <c:pt idx="82">
                  <c:v>305.71526092046389</c:v>
                </c:pt>
                <c:pt idx="83">
                  <c:v>305.71526092046389</c:v>
                </c:pt>
                <c:pt idx="84">
                  <c:v>305.71526092046389</c:v>
                </c:pt>
                <c:pt idx="85">
                  <c:v>305.71526092046389</c:v>
                </c:pt>
                <c:pt idx="86">
                  <c:v>305.71526092046389</c:v>
                </c:pt>
                <c:pt idx="87">
                  <c:v>305.71526092046389</c:v>
                </c:pt>
                <c:pt idx="88">
                  <c:v>305.71526092046389</c:v>
                </c:pt>
                <c:pt idx="89">
                  <c:v>305.71526092046389</c:v>
                </c:pt>
                <c:pt idx="90">
                  <c:v>305.71526092046389</c:v>
                </c:pt>
                <c:pt idx="91">
                  <c:v>305.71526092046389</c:v>
                </c:pt>
                <c:pt idx="92">
                  <c:v>305.71526092046389</c:v>
                </c:pt>
                <c:pt idx="93">
                  <c:v>305.71526092046389</c:v>
                </c:pt>
                <c:pt idx="94">
                  <c:v>305.71526092046389</c:v>
                </c:pt>
                <c:pt idx="95">
                  <c:v>305.71526092046389</c:v>
                </c:pt>
                <c:pt idx="96">
                  <c:v>305.71526092046389</c:v>
                </c:pt>
                <c:pt idx="97">
                  <c:v>305.71526092046389</c:v>
                </c:pt>
                <c:pt idx="98">
                  <c:v>305.71526092046389</c:v>
                </c:pt>
                <c:pt idx="99">
                  <c:v>305.71526092046389</c:v>
                </c:pt>
                <c:pt idx="100">
                  <c:v>305.71526092046389</c:v>
                </c:pt>
                <c:pt idx="101">
                  <c:v>305.71526092046389</c:v>
                </c:pt>
                <c:pt idx="102">
                  <c:v>305.71526092046389</c:v>
                </c:pt>
                <c:pt idx="103">
                  <c:v>305.71526092046389</c:v>
                </c:pt>
                <c:pt idx="104">
                  <c:v>305.71526092046389</c:v>
                </c:pt>
                <c:pt idx="105">
                  <c:v>305.71526092046389</c:v>
                </c:pt>
                <c:pt idx="106">
                  <c:v>305.71526092046389</c:v>
                </c:pt>
                <c:pt idx="107">
                  <c:v>305.71526092046389</c:v>
                </c:pt>
                <c:pt idx="108">
                  <c:v>305.71526092046389</c:v>
                </c:pt>
                <c:pt idx="109">
                  <c:v>305.71526092046389</c:v>
                </c:pt>
                <c:pt idx="110">
                  <c:v>305.71526092046389</c:v>
                </c:pt>
                <c:pt idx="111">
                  <c:v>305.71526092046389</c:v>
                </c:pt>
                <c:pt idx="112">
                  <c:v>305.71526092046389</c:v>
                </c:pt>
                <c:pt idx="113">
                  <c:v>305.71526092046389</c:v>
                </c:pt>
                <c:pt idx="114">
                  <c:v>305.71526092046389</c:v>
                </c:pt>
                <c:pt idx="115">
                  <c:v>305.71526092046389</c:v>
                </c:pt>
                <c:pt idx="116">
                  <c:v>305.71526092046389</c:v>
                </c:pt>
                <c:pt idx="117">
                  <c:v>305.71526092046389</c:v>
                </c:pt>
                <c:pt idx="118">
                  <c:v>305.71526092046389</c:v>
                </c:pt>
                <c:pt idx="119">
                  <c:v>305.71526092046389</c:v>
                </c:pt>
                <c:pt idx="120">
                  <c:v>305.71526092046389</c:v>
                </c:pt>
                <c:pt idx="121">
                  <c:v>305.71526092046389</c:v>
                </c:pt>
                <c:pt idx="122">
                  <c:v>305.71526092046389</c:v>
                </c:pt>
                <c:pt idx="123">
                  <c:v>305.71526092046389</c:v>
                </c:pt>
                <c:pt idx="124">
                  <c:v>305.71526092046389</c:v>
                </c:pt>
                <c:pt idx="125">
                  <c:v>305.71526092046389</c:v>
                </c:pt>
                <c:pt idx="126">
                  <c:v>305.71526092046389</c:v>
                </c:pt>
                <c:pt idx="127">
                  <c:v>305.71526092046389</c:v>
                </c:pt>
                <c:pt idx="128">
                  <c:v>305.71526092046389</c:v>
                </c:pt>
                <c:pt idx="129">
                  <c:v>305.71526092046389</c:v>
                </c:pt>
                <c:pt idx="130">
                  <c:v>305.71526092046389</c:v>
                </c:pt>
                <c:pt idx="131">
                  <c:v>305.71526092046389</c:v>
                </c:pt>
                <c:pt idx="132">
                  <c:v>305.71526092046389</c:v>
                </c:pt>
                <c:pt idx="133">
                  <c:v>305.71526092046389</c:v>
                </c:pt>
                <c:pt idx="134">
                  <c:v>305.71526092046389</c:v>
                </c:pt>
                <c:pt idx="135">
                  <c:v>305.71526092046389</c:v>
                </c:pt>
                <c:pt idx="136">
                  <c:v>305.71526092046389</c:v>
                </c:pt>
                <c:pt idx="137">
                  <c:v>305.71526092046389</c:v>
                </c:pt>
                <c:pt idx="138">
                  <c:v>305.71526092046389</c:v>
                </c:pt>
                <c:pt idx="139">
                  <c:v>305.71526092046389</c:v>
                </c:pt>
                <c:pt idx="140">
                  <c:v>305.71526092046389</c:v>
                </c:pt>
                <c:pt idx="141">
                  <c:v>305.71526092046389</c:v>
                </c:pt>
                <c:pt idx="142">
                  <c:v>305.71526092046389</c:v>
                </c:pt>
                <c:pt idx="143">
                  <c:v>305.71526092046389</c:v>
                </c:pt>
                <c:pt idx="144">
                  <c:v>305.71526092046389</c:v>
                </c:pt>
                <c:pt idx="145">
                  <c:v>305.71526092046389</c:v>
                </c:pt>
                <c:pt idx="146">
                  <c:v>305.71526092046389</c:v>
                </c:pt>
                <c:pt idx="147">
                  <c:v>305.71526092046389</c:v>
                </c:pt>
                <c:pt idx="148">
                  <c:v>305.71526092046389</c:v>
                </c:pt>
                <c:pt idx="149">
                  <c:v>305.71526092046389</c:v>
                </c:pt>
                <c:pt idx="150">
                  <c:v>305.71526092046389</c:v>
                </c:pt>
                <c:pt idx="151">
                  <c:v>305.71526092046389</c:v>
                </c:pt>
                <c:pt idx="152">
                  <c:v>305.71526092046389</c:v>
                </c:pt>
                <c:pt idx="153">
                  <c:v>305.71526092046389</c:v>
                </c:pt>
                <c:pt idx="154">
                  <c:v>305.71526092046389</c:v>
                </c:pt>
                <c:pt idx="155">
                  <c:v>305.71526092046389</c:v>
                </c:pt>
                <c:pt idx="156">
                  <c:v>305.71526092046389</c:v>
                </c:pt>
                <c:pt idx="157">
                  <c:v>305.71526092046389</c:v>
                </c:pt>
                <c:pt idx="158">
                  <c:v>305.71526092046389</c:v>
                </c:pt>
                <c:pt idx="159">
                  <c:v>305.71526092046389</c:v>
                </c:pt>
                <c:pt idx="160">
                  <c:v>305.71526092046389</c:v>
                </c:pt>
                <c:pt idx="161">
                  <c:v>305.71526092046389</c:v>
                </c:pt>
                <c:pt idx="162">
                  <c:v>305.71526092046389</c:v>
                </c:pt>
                <c:pt idx="163">
                  <c:v>305.71526092046389</c:v>
                </c:pt>
                <c:pt idx="164">
                  <c:v>305.71526092046389</c:v>
                </c:pt>
                <c:pt idx="165">
                  <c:v>305.71526092046389</c:v>
                </c:pt>
                <c:pt idx="166">
                  <c:v>305.71526092046389</c:v>
                </c:pt>
                <c:pt idx="167">
                  <c:v>305.71526092046389</c:v>
                </c:pt>
                <c:pt idx="168">
                  <c:v>305.71526092046389</c:v>
                </c:pt>
                <c:pt idx="169">
                  <c:v>305.71526092046389</c:v>
                </c:pt>
                <c:pt idx="170">
                  <c:v>305.71526092046389</c:v>
                </c:pt>
                <c:pt idx="171">
                  <c:v>305.71526092046389</c:v>
                </c:pt>
                <c:pt idx="172">
                  <c:v>305.71526092046389</c:v>
                </c:pt>
                <c:pt idx="173">
                  <c:v>305.71526092046389</c:v>
                </c:pt>
                <c:pt idx="174">
                  <c:v>305.71526092046389</c:v>
                </c:pt>
                <c:pt idx="175">
                  <c:v>305.71526092046389</c:v>
                </c:pt>
                <c:pt idx="176">
                  <c:v>305.71526092046389</c:v>
                </c:pt>
                <c:pt idx="177">
                  <c:v>305.71526092046389</c:v>
                </c:pt>
                <c:pt idx="178">
                  <c:v>305.71526092046389</c:v>
                </c:pt>
                <c:pt idx="179">
                  <c:v>305.71526092046389</c:v>
                </c:pt>
                <c:pt idx="180">
                  <c:v>305.71526092046389</c:v>
                </c:pt>
                <c:pt idx="181">
                  <c:v>305.71526092046389</c:v>
                </c:pt>
                <c:pt idx="182">
                  <c:v>305.71526092046389</c:v>
                </c:pt>
                <c:pt idx="183">
                  <c:v>305.71526092046389</c:v>
                </c:pt>
                <c:pt idx="184">
                  <c:v>305.71526092046389</c:v>
                </c:pt>
                <c:pt idx="185">
                  <c:v>305.71526092046389</c:v>
                </c:pt>
                <c:pt idx="186">
                  <c:v>305.71526092046389</c:v>
                </c:pt>
                <c:pt idx="187">
                  <c:v>305.71526092046389</c:v>
                </c:pt>
                <c:pt idx="188">
                  <c:v>305.71526092046389</c:v>
                </c:pt>
                <c:pt idx="189">
                  <c:v>305.71526092046389</c:v>
                </c:pt>
                <c:pt idx="190">
                  <c:v>305.71526092046389</c:v>
                </c:pt>
                <c:pt idx="191">
                  <c:v>305.71526092046389</c:v>
                </c:pt>
                <c:pt idx="192">
                  <c:v>305.71526092046389</c:v>
                </c:pt>
                <c:pt idx="193">
                  <c:v>305.71526092046389</c:v>
                </c:pt>
                <c:pt idx="194">
                  <c:v>305.71526092046389</c:v>
                </c:pt>
                <c:pt idx="195">
                  <c:v>305.71526092046389</c:v>
                </c:pt>
                <c:pt idx="196">
                  <c:v>305.71526092046389</c:v>
                </c:pt>
                <c:pt idx="197">
                  <c:v>305.71526092046389</c:v>
                </c:pt>
                <c:pt idx="198">
                  <c:v>305.71526092046389</c:v>
                </c:pt>
                <c:pt idx="199">
                  <c:v>305.71526092046389</c:v>
                </c:pt>
              </c:numCache>
            </c:numRef>
          </c:yVal>
          <c:smooth val="0"/>
          <c:extLst>
            <c:ext xmlns:c16="http://schemas.microsoft.com/office/drawing/2014/chart" uri="{C3380CC4-5D6E-409C-BE32-E72D297353CC}">
              <c16:uniqueId val="{00000003-DFBD-4C85-86FE-09D6CB8DE03B}"/>
            </c:ext>
          </c:extLst>
        </c:ser>
        <c:ser>
          <c:idx val="4"/>
          <c:order val="4"/>
          <c:tx>
            <c:strRef>
              <c:f>MOVING_RANGE!$I$44</c:f>
              <c:strCache>
                <c:ptCount val="1"/>
                <c:pt idx="0">
                  <c:v>LWL</c:v>
                </c:pt>
              </c:strCache>
            </c:strRef>
          </c:tx>
          <c:spPr>
            <a:ln w="25400" cap="rnd">
              <a:solidFill>
                <a:schemeClr val="accent2">
                  <a:alpha val="50000"/>
                </a:scheme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MOVING_RANGE!$I$45:$I$244</c:f>
              <c:numCache>
                <c:formatCode>General</c:formatCode>
                <c:ptCount val="200"/>
                <c:pt idx="0">
                  <c:v>294.7668422747609</c:v>
                </c:pt>
                <c:pt idx="1">
                  <c:v>294.7668422747609</c:v>
                </c:pt>
                <c:pt idx="2">
                  <c:v>294.7668422747609</c:v>
                </c:pt>
                <c:pt idx="3">
                  <c:v>294.7668422747609</c:v>
                </c:pt>
                <c:pt idx="4">
                  <c:v>294.7668422747609</c:v>
                </c:pt>
                <c:pt idx="5">
                  <c:v>294.7668422747609</c:v>
                </c:pt>
                <c:pt idx="6">
                  <c:v>294.7668422747609</c:v>
                </c:pt>
                <c:pt idx="7">
                  <c:v>294.7668422747609</c:v>
                </c:pt>
                <c:pt idx="8">
                  <c:v>294.7668422747609</c:v>
                </c:pt>
                <c:pt idx="9">
                  <c:v>294.7668422747609</c:v>
                </c:pt>
                <c:pt idx="10">
                  <c:v>294.7668422747609</c:v>
                </c:pt>
                <c:pt idx="11">
                  <c:v>294.7668422747609</c:v>
                </c:pt>
                <c:pt idx="12">
                  <c:v>294.7668422747609</c:v>
                </c:pt>
                <c:pt idx="13">
                  <c:v>294.7668422747609</c:v>
                </c:pt>
                <c:pt idx="14">
                  <c:v>294.7668422747609</c:v>
                </c:pt>
                <c:pt idx="15">
                  <c:v>294.7668422747609</c:v>
                </c:pt>
                <c:pt idx="16">
                  <c:v>294.7668422747609</c:v>
                </c:pt>
                <c:pt idx="17">
                  <c:v>294.7668422747609</c:v>
                </c:pt>
                <c:pt idx="18">
                  <c:v>294.7668422747609</c:v>
                </c:pt>
                <c:pt idx="19">
                  <c:v>294.7668422747609</c:v>
                </c:pt>
                <c:pt idx="20">
                  <c:v>294.7668422747609</c:v>
                </c:pt>
                <c:pt idx="21">
                  <c:v>294.7668422747609</c:v>
                </c:pt>
                <c:pt idx="22">
                  <c:v>294.7668422747609</c:v>
                </c:pt>
                <c:pt idx="23">
                  <c:v>294.7668422747609</c:v>
                </c:pt>
                <c:pt idx="24">
                  <c:v>294.7668422747609</c:v>
                </c:pt>
                <c:pt idx="25">
                  <c:v>294.7668422747609</c:v>
                </c:pt>
                <c:pt idx="26">
                  <c:v>294.7668422747609</c:v>
                </c:pt>
                <c:pt idx="27">
                  <c:v>294.7668422747609</c:v>
                </c:pt>
                <c:pt idx="28">
                  <c:v>294.7668422747609</c:v>
                </c:pt>
                <c:pt idx="29">
                  <c:v>294.7668422747609</c:v>
                </c:pt>
                <c:pt idx="30">
                  <c:v>294.7668422747609</c:v>
                </c:pt>
                <c:pt idx="31">
                  <c:v>294.7668422747609</c:v>
                </c:pt>
                <c:pt idx="32">
                  <c:v>294.7668422747609</c:v>
                </c:pt>
                <c:pt idx="33">
                  <c:v>294.7668422747609</c:v>
                </c:pt>
                <c:pt idx="34">
                  <c:v>294.7668422747609</c:v>
                </c:pt>
                <c:pt idx="35">
                  <c:v>294.7668422747609</c:v>
                </c:pt>
                <c:pt idx="36">
                  <c:v>294.7668422747609</c:v>
                </c:pt>
                <c:pt idx="37">
                  <c:v>294.7668422747609</c:v>
                </c:pt>
                <c:pt idx="38">
                  <c:v>294.7668422747609</c:v>
                </c:pt>
                <c:pt idx="39">
                  <c:v>294.7668422747609</c:v>
                </c:pt>
                <c:pt idx="40">
                  <c:v>294.7668422747609</c:v>
                </c:pt>
                <c:pt idx="41">
                  <c:v>294.7668422747609</c:v>
                </c:pt>
                <c:pt idx="42">
                  <c:v>294.7668422747609</c:v>
                </c:pt>
                <c:pt idx="43">
                  <c:v>294.7668422747609</c:v>
                </c:pt>
                <c:pt idx="44">
                  <c:v>294.7668422747609</c:v>
                </c:pt>
                <c:pt idx="45">
                  <c:v>294.7668422747609</c:v>
                </c:pt>
                <c:pt idx="46">
                  <c:v>294.7668422747609</c:v>
                </c:pt>
                <c:pt idx="47">
                  <c:v>294.7668422747609</c:v>
                </c:pt>
                <c:pt idx="48">
                  <c:v>294.7668422747609</c:v>
                </c:pt>
                <c:pt idx="49">
                  <c:v>294.7668422747609</c:v>
                </c:pt>
                <c:pt idx="50">
                  <c:v>294.7668422747609</c:v>
                </c:pt>
                <c:pt idx="51">
                  <c:v>294.7668422747609</c:v>
                </c:pt>
                <c:pt idx="52">
                  <c:v>294.7668422747609</c:v>
                </c:pt>
                <c:pt idx="53">
                  <c:v>294.7668422747609</c:v>
                </c:pt>
                <c:pt idx="54">
                  <c:v>294.7668422747609</c:v>
                </c:pt>
                <c:pt idx="55">
                  <c:v>294.7668422747609</c:v>
                </c:pt>
                <c:pt idx="56">
                  <c:v>294.7668422747609</c:v>
                </c:pt>
                <c:pt idx="57">
                  <c:v>294.7668422747609</c:v>
                </c:pt>
                <c:pt idx="58">
                  <c:v>294.7668422747609</c:v>
                </c:pt>
                <c:pt idx="59">
                  <c:v>294.7668422747609</c:v>
                </c:pt>
                <c:pt idx="60">
                  <c:v>294.7668422747609</c:v>
                </c:pt>
                <c:pt idx="61">
                  <c:v>294.7668422747609</c:v>
                </c:pt>
                <c:pt idx="62">
                  <c:v>294.7668422747609</c:v>
                </c:pt>
                <c:pt idx="63">
                  <c:v>294.7668422747609</c:v>
                </c:pt>
                <c:pt idx="64">
                  <c:v>294.7668422747609</c:v>
                </c:pt>
                <c:pt idx="65">
                  <c:v>294.7668422747609</c:v>
                </c:pt>
                <c:pt idx="66">
                  <c:v>294.7668422747609</c:v>
                </c:pt>
                <c:pt idx="67">
                  <c:v>294.7668422747609</c:v>
                </c:pt>
                <c:pt idx="68">
                  <c:v>294.7668422747609</c:v>
                </c:pt>
                <c:pt idx="69">
                  <c:v>294.7668422747609</c:v>
                </c:pt>
                <c:pt idx="70">
                  <c:v>294.7668422747609</c:v>
                </c:pt>
                <c:pt idx="71">
                  <c:v>294.7668422747609</c:v>
                </c:pt>
                <c:pt idx="72">
                  <c:v>294.7668422747609</c:v>
                </c:pt>
                <c:pt idx="73">
                  <c:v>294.7668422747609</c:v>
                </c:pt>
                <c:pt idx="74">
                  <c:v>294.7668422747609</c:v>
                </c:pt>
                <c:pt idx="75">
                  <c:v>294.7668422747609</c:v>
                </c:pt>
                <c:pt idx="76">
                  <c:v>294.7668422747609</c:v>
                </c:pt>
                <c:pt idx="77">
                  <c:v>294.7668422747609</c:v>
                </c:pt>
                <c:pt idx="78">
                  <c:v>294.7668422747609</c:v>
                </c:pt>
                <c:pt idx="79">
                  <c:v>294.7668422747609</c:v>
                </c:pt>
                <c:pt idx="80">
                  <c:v>294.7668422747609</c:v>
                </c:pt>
                <c:pt idx="81">
                  <c:v>294.7668422747609</c:v>
                </c:pt>
                <c:pt idx="82">
                  <c:v>294.7668422747609</c:v>
                </c:pt>
                <c:pt idx="83">
                  <c:v>294.7668422747609</c:v>
                </c:pt>
                <c:pt idx="84">
                  <c:v>294.7668422747609</c:v>
                </c:pt>
                <c:pt idx="85">
                  <c:v>294.7668422747609</c:v>
                </c:pt>
                <c:pt idx="86">
                  <c:v>294.7668422747609</c:v>
                </c:pt>
                <c:pt idx="87">
                  <c:v>294.7668422747609</c:v>
                </c:pt>
                <c:pt idx="88">
                  <c:v>294.7668422747609</c:v>
                </c:pt>
                <c:pt idx="89">
                  <c:v>294.7668422747609</c:v>
                </c:pt>
                <c:pt idx="90">
                  <c:v>294.7668422747609</c:v>
                </c:pt>
                <c:pt idx="91">
                  <c:v>294.7668422747609</c:v>
                </c:pt>
                <c:pt idx="92">
                  <c:v>294.7668422747609</c:v>
                </c:pt>
                <c:pt idx="93">
                  <c:v>294.7668422747609</c:v>
                </c:pt>
                <c:pt idx="94">
                  <c:v>294.7668422747609</c:v>
                </c:pt>
                <c:pt idx="95">
                  <c:v>294.7668422747609</c:v>
                </c:pt>
                <c:pt idx="96">
                  <c:v>294.7668422747609</c:v>
                </c:pt>
                <c:pt idx="97">
                  <c:v>294.7668422747609</c:v>
                </c:pt>
                <c:pt idx="98">
                  <c:v>294.7668422747609</c:v>
                </c:pt>
                <c:pt idx="99">
                  <c:v>294.7668422747609</c:v>
                </c:pt>
                <c:pt idx="100">
                  <c:v>294.7668422747609</c:v>
                </c:pt>
                <c:pt idx="101">
                  <c:v>294.7668422747609</c:v>
                </c:pt>
                <c:pt idx="102">
                  <c:v>294.7668422747609</c:v>
                </c:pt>
                <c:pt idx="103">
                  <c:v>294.7668422747609</c:v>
                </c:pt>
                <c:pt idx="104">
                  <c:v>294.7668422747609</c:v>
                </c:pt>
                <c:pt idx="105">
                  <c:v>294.7668422747609</c:v>
                </c:pt>
                <c:pt idx="106">
                  <c:v>294.7668422747609</c:v>
                </c:pt>
                <c:pt idx="107">
                  <c:v>294.7668422747609</c:v>
                </c:pt>
                <c:pt idx="108">
                  <c:v>294.7668422747609</c:v>
                </c:pt>
                <c:pt idx="109">
                  <c:v>294.7668422747609</c:v>
                </c:pt>
                <c:pt idx="110">
                  <c:v>294.7668422747609</c:v>
                </c:pt>
                <c:pt idx="111">
                  <c:v>294.7668422747609</c:v>
                </c:pt>
                <c:pt idx="112">
                  <c:v>294.7668422747609</c:v>
                </c:pt>
                <c:pt idx="113">
                  <c:v>294.7668422747609</c:v>
                </c:pt>
                <c:pt idx="114">
                  <c:v>294.7668422747609</c:v>
                </c:pt>
                <c:pt idx="115">
                  <c:v>294.7668422747609</c:v>
                </c:pt>
                <c:pt idx="116">
                  <c:v>294.7668422747609</c:v>
                </c:pt>
                <c:pt idx="117">
                  <c:v>294.7668422747609</c:v>
                </c:pt>
                <c:pt idx="118">
                  <c:v>294.7668422747609</c:v>
                </c:pt>
                <c:pt idx="119">
                  <c:v>294.7668422747609</c:v>
                </c:pt>
                <c:pt idx="120">
                  <c:v>294.7668422747609</c:v>
                </c:pt>
                <c:pt idx="121">
                  <c:v>294.7668422747609</c:v>
                </c:pt>
                <c:pt idx="122">
                  <c:v>294.7668422747609</c:v>
                </c:pt>
                <c:pt idx="123">
                  <c:v>294.7668422747609</c:v>
                </c:pt>
                <c:pt idx="124">
                  <c:v>294.7668422747609</c:v>
                </c:pt>
                <c:pt idx="125">
                  <c:v>294.7668422747609</c:v>
                </c:pt>
                <c:pt idx="126">
                  <c:v>294.7668422747609</c:v>
                </c:pt>
                <c:pt idx="127">
                  <c:v>294.7668422747609</c:v>
                </c:pt>
                <c:pt idx="128">
                  <c:v>294.7668422747609</c:v>
                </c:pt>
                <c:pt idx="129">
                  <c:v>294.7668422747609</c:v>
                </c:pt>
                <c:pt idx="130">
                  <c:v>294.7668422747609</c:v>
                </c:pt>
                <c:pt idx="131">
                  <c:v>294.7668422747609</c:v>
                </c:pt>
                <c:pt idx="132">
                  <c:v>294.7668422747609</c:v>
                </c:pt>
                <c:pt idx="133">
                  <c:v>294.7668422747609</c:v>
                </c:pt>
                <c:pt idx="134">
                  <c:v>294.7668422747609</c:v>
                </c:pt>
                <c:pt idx="135">
                  <c:v>294.7668422747609</c:v>
                </c:pt>
                <c:pt idx="136">
                  <c:v>294.7668422747609</c:v>
                </c:pt>
                <c:pt idx="137">
                  <c:v>294.7668422747609</c:v>
                </c:pt>
                <c:pt idx="138">
                  <c:v>294.7668422747609</c:v>
                </c:pt>
                <c:pt idx="139">
                  <c:v>294.7668422747609</c:v>
                </c:pt>
                <c:pt idx="140">
                  <c:v>294.7668422747609</c:v>
                </c:pt>
                <c:pt idx="141">
                  <c:v>294.7668422747609</c:v>
                </c:pt>
                <c:pt idx="142">
                  <c:v>294.7668422747609</c:v>
                </c:pt>
                <c:pt idx="143">
                  <c:v>294.7668422747609</c:v>
                </c:pt>
                <c:pt idx="144">
                  <c:v>294.7668422747609</c:v>
                </c:pt>
                <c:pt idx="145">
                  <c:v>294.7668422747609</c:v>
                </c:pt>
                <c:pt idx="146">
                  <c:v>294.7668422747609</c:v>
                </c:pt>
                <c:pt idx="147">
                  <c:v>294.7668422747609</c:v>
                </c:pt>
                <c:pt idx="148">
                  <c:v>294.7668422747609</c:v>
                </c:pt>
                <c:pt idx="149">
                  <c:v>294.7668422747609</c:v>
                </c:pt>
                <c:pt idx="150">
                  <c:v>294.7668422747609</c:v>
                </c:pt>
                <c:pt idx="151">
                  <c:v>294.7668422747609</c:v>
                </c:pt>
                <c:pt idx="152">
                  <c:v>294.7668422747609</c:v>
                </c:pt>
                <c:pt idx="153">
                  <c:v>294.7668422747609</c:v>
                </c:pt>
                <c:pt idx="154">
                  <c:v>294.7668422747609</c:v>
                </c:pt>
                <c:pt idx="155">
                  <c:v>294.7668422747609</c:v>
                </c:pt>
                <c:pt idx="156">
                  <c:v>294.7668422747609</c:v>
                </c:pt>
                <c:pt idx="157">
                  <c:v>294.7668422747609</c:v>
                </c:pt>
                <c:pt idx="158">
                  <c:v>294.7668422747609</c:v>
                </c:pt>
                <c:pt idx="159">
                  <c:v>294.7668422747609</c:v>
                </c:pt>
                <c:pt idx="160">
                  <c:v>294.7668422747609</c:v>
                </c:pt>
                <c:pt idx="161">
                  <c:v>294.7668422747609</c:v>
                </c:pt>
                <c:pt idx="162">
                  <c:v>294.7668422747609</c:v>
                </c:pt>
                <c:pt idx="163">
                  <c:v>294.7668422747609</c:v>
                </c:pt>
                <c:pt idx="164">
                  <c:v>294.7668422747609</c:v>
                </c:pt>
                <c:pt idx="165">
                  <c:v>294.7668422747609</c:v>
                </c:pt>
                <c:pt idx="166">
                  <c:v>294.7668422747609</c:v>
                </c:pt>
                <c:pt idx="167">
                  <c:v>294.7668422747609</c:v>
                </c:pt>
                <c:pt idx="168">
                  <c:v>294.7668422747609</c:v>
                </c:pt>
                <c:pt idx="169">
                  <c:v>294.7668422747609</c:v>
                </c:pt>
                <c:pt idx="170">
                  <c:v>294.7668422747609</c:v>
                </c:pt>
                <c:pt idx="171">
                  <c:v>294.7668422747609</c:v>
                </c:pt>
                <c:pt idx="172">
                  <c:v>294.7668422747609</c:v>
                </c:pt>
                <c:pt idx="173">
                  <c:v>294.7668422747609</c:v>
                </c:pt>
                <c:pt idx="174">
                  <c:v>294.7668422747609</c:v>
                </c:pt>
                <c:pt idx="175">
                  <c:v>294.7668422747609</c:v>
                </c:pt>
                <c:pt idx="176">
                  <c:v>294.7668422747609</c:v>
                </c:pt>
                <c:pt idx="177">
                  <c:v>294.7668422747609</c:v>
                </c:pt>
                <c:pt idx="178">
                  <c:v>294.7668422747609</c:v>
                </c:pt>
                <c:pt idx="179">
                  <c:v>294.7668422747609</c:v>
                </c:pt>
                <c:pt idx="180">
                  <c:v>294.7668422747609</c:v>
                </c:pt>
                <c:pt idx="181">
                  <c:v>294.7668422747609</c:v>
                </c:pt>
                <c:pt idx="182">
                  <c:v>294.7668422747609</c:v>
                </c:pt>
                <c:pt idx="183">
                  <c:v>294.7668422747609</c:v>
                </c:pt>
                <c:pt idx="184">
                  <c:v>294.7668422747609</c:v>
                </c:pt>
                <c:pt idx="185">
                  <c:v>294.7668422747609</c:v>
                </c:pt>
                <c:pt idx="186">
                  <c:v>294.7668422747609</c:v>
                </c:pt>
                <c:pt idx="187">
                  <c:v>294.7668422747609</c:v>
                </c:pt>
                <c:pt idx="188">
                  <c:v>294.7668422747609</c:v>
                </c:pt>
                <c:pt idx="189">
                  <c:v>294.7668422747609</c:v>
                </c:pt>
                <c:pt idx="190">
                  <c:v>294.7668422747609</c:v>
                </c:pt>
                <c:pt idx="191">
                  <c:v>294.7668422747609</c:v>
                </c:pt>
                <c:pt idx="192">
                  <c:v>294.7668422747609</c:v>
                </c:pt>
                <c:pt idx="193">
                  <c:v>294.7668422747609</c:v>
                </c:pt>
                <c:pt idx="194">
                  <c:v>294.7668422747609</c:v>
                </c:pt>
                <c:pt idx="195">
                  <c:v>294.7668422747609</c:v>
                </c:pt>
                <c:pt idx="196">
                  <c:v>294.7668422747609</c:v>
                </c:pt>
                <c:pt idx="197">
                  <c:v>294.7668422747609</c:v>
                </c:pt>
                <c:pt idx="198">
                  <c:v>294.7668422747609</c:v>
                </c:pt>
                <c:pt idx="199">
                  <c:v>294.7668422747609</c:v>
                </c:pt>
              </c:numCache>
            </c:numRef>
          </c:yVal>
          <c:smooth val="0"/>
          <c:extLst>
            <c:ext xmlns:c16="http://schemas.microsoft.com/office/drawing/2014/chart" uri="{C3380CC4-5D6E-409C-BE32-E72D297353CC}">
              <c16:uniqueId val="{00000004-DFBD-4C85-86FE-09D6CB8DE03B}"/>
            </c:ext>
          </c:extLst>
        </c:ser>
        <c:ser>
          <c:idx val="5"/>
          <c:order val="5"/>
          <c:tx>
            <c:strRef>
              <c:f>MOVING_RANGE!$J$44</c:f>
              <c:strCache>
                <c:ptCount val="1"/>
                <c:pt idx="0">
                  <c:v>LCL</c:v>
                </c:pt>
              </c:strCache>
            </c:strRef>
          </c:tx>
          <c:spPr>
            <a:ln w="25400" cap="rnd">
              <a:solidFill>
                <a:srgbClr val="C00000">
                  <a:alpha val="50000"/>
                </a:srgbClr>
              </a:solidFill>
              <a:round/>
            </a:ln>
            <a:effectLst/>
          </c:spPr>
          <c:marker>
            <c:symbol val="none"/>
          </c:marker>
          <c:xVal>
            <c:numRef>
              <c:f>MOVING_RANGE!$D$45:$D$244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MOVING_RANGE!$J$45:$J$244</c:f>
              <c:numCache>
                <c:formatCode>General</c:formatCode>
                <c:ptCount val="200"/>
                <c:pt idx="0">
                  <c:v>292.02973761333521</c:v>
                </c:pt>
                <c:pt idx="1">
                  <c:v>292.02973761333521</c:v>
                </c:pt>
                <c:pt idx="2">
                  <c:v>292.02973761333521</c:v>
                </c:pt>
                <c:pt idx="3">
                  <c:v>292.02973761333521</c:v>
                </c:pt>
                <c:pt idx="4">
                  <c:v>292.02973761333521</c:v>
                </c:pt>
                <c:pt idx="5">
                  <c:v>292.02973761333521</c:v>
                </c:pt>
                <c:pt idx="6">
                  <c:v>292.02973761333521</c:v>
                </c:pt>
                <c:pt idx="7">
                  <c:v>292.02973761333521</c:v>
                </c:pt>
                <c:pt idx="8">
                  <c:v>292.02973761333521</c:v>
                </c:pt>
                <c:pt idx="9">
                  <c:v>292.02973761333521</c:v>
                </c:pt>
                <c:pt idx="10">
                  <c:v>292.02973761333521</c:v>
                </c:pt>
                <c:pt idx="11">
                  <c:v>292.02973761333521</c:v>
                </c:pt>
                <c:pt idx="12">
                  <c:v>292.02973761333521</c:v>
                </c:pt>
                <c:pt idx="13">
                  <c:v>292.02973761333521</c:v>
                </c:pt>
                <c:pt idx="14">
                  <c:v>292.02973761333521</c:v>
                </c:pt>
                <c:pt idx="15">
                  <c:v>292.02973761333521</c:v>
                </c:pt>
                <c:pt idx="16">
                  <c:v>292.02973761333521</c:v>
                </c:pt>
                <c:pt idx="17">
                  <c:v>292.02973761333521</c:v>
                </c:pt>
                <c:pt idx="18">
                  <c:v>292.02973761333521</c:v>
                </c:pt>
                <c:pt idx="19">
                  <c:v>292.02973761333521</c:v>
                </c:pt>
                <c:pt idx="20">
                  <c:v>292.02973761333521</c:v>
                </c:pt>
                <c:pt idx="21">
                  <c:v>292.02973761333521</c:v>
                </c:pt>
                <c:pt idx="22">
                  <c:v>292.02973761333521</c:v>
                </c:pt>
                <c:pt idx="23">
                  <c:v>292.02973761333521</c:v>
                </c:pt>
                <c:pt idx="24">
                  <c:v>292.02973761333521</c:v>
                </c:pt>
                <c:pt idx="25">
                  <c:v>292.02973761333521</c:v>
                </c:pt>
                <c:pt idx="26">
                  <c:v>292.02973761333521</c:v>
                </c:pt>
                <c:pt idx="27">
                  <c:v>292.02973761333521</c:v>
                </c:pt>
                <c:pt idx="28">
                  <c:v>292.02973761333521</c:v>
                </c:pt>
                <c:pt idx="29">
                  <c:v>292.02973761333521</c:v>
                </c:pt>
                <c:pt idx="30">
                  <c:v>292.02973761333521</c:v>
                </c:pt>
                <c:pt idx="31">
                  <c:v>292.02973761333521</c:v>
                </c:pt>
                <c:pt idx="32">
                  <c:v>292.02973761333521</c:v>
                </c:pt>
                <c:pt idx="33">
                  <c:v>292.02973761333521</c:v>
                </c:pt>
                <c:pt idx="34">
                  <c:v>292.02973761333521</c:v>
                </c:pt>
                <c:pt idx="35">
                  <c:v>292.02973761333521</c:v>
                </c:pt>
                <c:pt idx="36">
                  <c:v>292.02973761333521</c:v>
                </c:pt>
                <c:pt idx="37">
                  <c:v>292.02973761333521</c:v>
                </c:pt>
                <c:pt idx="38">
                  <c:v>292.02973761333521</c:v>
                </c:pt>
                <c:pt idx="39">
                  <c:v>292.02973761333521</c:v>
                </c:pt>
                <c:pt idx="40">
                  <c:v>292.02973761333521</c:v>
                </c:pt>
                <c:pt idx="41">
                  <c:v>292.02973761333521</c:v>
                </c:pt>
                <c:pt idx="42">
                  <c:v>292.02973761333521</c:v>
                </c:pt>
                <c:pt idx="43">
                  <c:v>292.02973761333521</c:v>
                </c:pt>
                <c:pt idx="44">
                  <c:v>292.02973761333521</c:v>
                </c:pt>
                <c:pt idx="45">
                  <c:v>292.02973761333521</c:v>
                </c:pt>
                <c:pt idx="46">
                  <c:v>292.02973761333521</c:v>
                </c:pt>
                <c:pt idx="47">
                  <c:v>292.02973761333521</c:v>
                </c:pt>
                <c:pt idx="48">
                  <c:v>292.02973761333521</c:v>
                </c:pt>
                <c:pt idx="49">
                  <c:v>292.02973761333521</c:v>
                </c:pt>
                <c:pt idx="50">
                  <c:v>292.02973761333521</c:v>
                </c:pt>
                <c:pt idx="51">
                  <c:v>292.02973761333521</c:v>
                </c:pt>
                <c:pt idx="52">
                  <c:v>292.02973761333521</c:v>
                </c:pt>
                <c:pt idx="53">
                  <c:v>292.02973761333521</c:v>
                </c:pt>
                <c:pt idx="54">
                  <c:v>292.02973761333521</c:v>
                </c:pt>
                <c:pt idx="55">
                  <c:v>292.02973761333521</c:v>
                </c:pt>
                <c:pt idx="56">
                  <c:v>292.02973761333521</c:v>
                </c:pt>
                <c:pt idx="57">
                  <c:v>292.02973761333521</c:v>
                </c:pt>
                <c:pt idx="58">
                  <c:v>292.02973761333521</c:v>
                </c:pt>
                <c:pt idx="59">
                  <c:v>292.02973761333521</c:v>
                </c:pt>
                <c:pt idx="60">
                  <c:v>292.02973761333521</c:v>
                </c:pt>
                <c:pt idx="61">
                  <c:v>292.02973761333521</c:v>
                </c:pt>
                <c:pt idx="62">
                  <c:v>292.02973761333521</c:v>
                </c:pt>
                <c:pt idx="63">
                  <c:v>292.02973761333521</c:v>
                </c:pt>
                <c:pt idx="64">
                  <c:v>292.02973761333521</c:v>
                </c:pt>
                <c:pt idx="65">
                  <c:v>292.02973761333521</c:v>
                </c:pt>
                <c:pt idx="66">
                  <c:v>292.02973761333521</c:v>
                </c:pt>
                <c:pt idx="67">
                  <c:v>292.02973761333521</c:v>
                </c:pt>
                <c:pt idx="68">
                  <c:v>292.02973761333521</c:v>
                </c:pt>
                <c:pt idx="69">
                  <c:v>292.02973761333521</c:v>
                </c:pt>
                <c:pt idx="70">
                  <c:v>292.02973761333521</c:v>
                </c:pt>
                <c:pt idx="71">
                  <c:v>292.02973761333521</c:v>
                </c:pt>
                <c:pt idx="72">
                  <c:v>292.02973761333521</c:v>
                </c:pt>
                <c:pt idx="73">
                  <c:v>292.02973761333521</c:v>
                </c:pt>
                <c:pt idx="74">
                  <c:v>292.02973761333521</c:v>
                </c:pt>
                <c:pt idx="75">
                  <c:v>292.02973761333521</c:v>
                </c:pt>
                <c:pt idx="76">
                  <c:v>292.02973761333521</c:v>
                </c:pt>
                <c:pt idx="77">
                  <c:v>292.02973761333521</c:v>
                </c:pt>
                <c:pt idx="78">
                  <c:v>292.02973761333521</c:v>
                </c:pt>
                <c:pt idx="79">
                  <c:v>292.02973761333521</c:v>
                </c:pt>
                <c:pt idx="80">
                  <c:v>292.02973761333521</c:v>
                </c:pt>
                <c:pt idx="81">
                  <c:v>292.02973761333521</c:v>
                </c:pt>
                <c:pt idx="82">
                  <c:v>292.02973761333521</c:v>
                </c:pt>
                <c:pt idx="83">
                  <c:v>292.02973761333521</c:v>
                </c:pt>
                <c:pt idx="84">
                  <c:v>292.02973761333521</c:v>
                </c:pt>
                <c:pt idx="85">
                  <c:v>292.02973761333521</c:v>
                </c:pt>
                <c:pt idx="86">
                  <c:v>292.02973761333521</c:v>
                </c:pt>
                <c:pt idx="87">
                  <c:v>292.02973761333521</c:v>
                </c:pt>
                <c:pt idx="88">
                  <c:v>292.02973761333521</c:v>
                </c:pt>
                <c:pt idx="89">
                  <c:v>292.02973761333521</c:v>
                </c:pt>
                <c:pt idx="90">
                  <c:v>292.02973761333521</c:v>
                </c:pt>
                <c:pt idx="91">
                  <c:v>292.02973761333521</c:v>
                </c:pt>
                <c:pt idx="92">
                  <c:v>292.02973761333521</c:v>
                </c:pt>
                <c:pt idx="93">
                  <c:v>292.02973761333521</c:v>
                </c:pt>
                <c:pt idx="94">
                  <c:v>292.02973761333521</c:v>
                </c:pt>
                <c:pt idx="95">
                  <c:v>292.02973761333521</c:v>
                </c:pt>
                <c:pt idx="96">
                  <c:v>292.02973761333521</c:v>
                </c:pt>
                <c:pt idx="97">
                  <c:v>292.02973761333521</c:v>
                </c:pt>
                <c:pt idx="98">
                  <c:v>292.02973761333521</c:v>
                </c:pt>
                <c:pt idx="99">
                  <c:v>292.02973761333521</c:v>
                </c:pt>
                <c:pt idx="100">
                  <c:v>292.02973761333521</c:v>
                </c:pt>
                <c:pt idx="101">
                  <c:v>292.02973761333521</c:v>
                </c:pt>
                <c:pt idx="102">
                  <c:v>292.02973761333521</c:v>
                </c:pt>
                <c:pt idx="103">
                  <c:v>292.02973761333521</c:v>
                </c:pt>
                <c:pt idx="104">
                  <c:v>292.02973761333521</c:v>
                </c:pt>
                <c:pt idx="105">
                  <c:v>292.02973761333521</c:v>
                </c:pt>
                <c:pt idx="106">
                  <c:v>292.02973761333521</c:v>
                </c:pt>
                <c:pt idx="107">
                  <c:v>292.02973761333521</c:v>
                </c:pt>
                <c:pt idx="108">
                  <c:v>292.02973761333521</c:v>
                </c:pt>
                <c:pt idx="109">
                  <c:v>292.02973761333521</c:v>
                </c:pt>
                <c:pt idx="110">
                  <c:v>292.02973761333521</c:v>
                </c:pt>
                <c:pt idx="111">
                  <c:v>292.02973761333521</c:v>
                </c:pt>
                <c:pt idx="112">
                  <c:v>292.02973761333521</c:v>
                </c:pt>
                <c:pt idx="113">
                  <c:v>292.02973761333521</c:v>
                </c:pt>
                <c:pt idx="114">
                  <c:v>292.02973761333521</c:v>
                </c:pt>
                <c:pt idx="115">
                  <c:v>292.02973761333521</c:v>
                </c:pt>
                <c:pt idx="116">
                  <c:v>292.02973761333521</c:v>
                </c:pt>
                <c:pt idx="117">
                  <c:v>292.02973761333521</c:v>
                </c:pt>
                <c:pt idx="118">
                  <c:v>292.02973761333521</c:v>
                </c:pt>
                <c:pt idx="119">
                  <c:v>292.02973761333521</c:v>
                </c:pt>
                <c:pt idx="120">
                  <c:v>292.02973761333521</c:v>
                </c:pt>
                <c:pt idx="121">
                  <c:v>292.02973761333521</c:v>
                </c:pt>
                <c:pt idx="122">
                  <c:v>292.02973761333521</c:v>
                </c:pt>
                <c:pt idx="123">
                  <c:v>292.02973761333521</c:v>
                </c:pt>
                <c:pt idx="124">
                  <c:v>292.02973761333521</c:v>
                </c:pt>
                <c:pt idx="125">
                  <c:v>292.02973761333521</c:v>
                </c:pt>
                <c:pt idx="126">
                  <c:v>292.02973761333521</c:v>
                </c:pt>
                <c:pt idx="127">
                  <c:v>292.02973761333521</c:v>
                </c:pt>
                <c:pt idx="128">
                  <c:v>292.02973761333521</c:v>
                </c:pt>
                <c:pt idx="129">
                  <c:v>292.02973761333521</c:v>
                </c:pt>
                <c:pt idx="130">
                  <c:v>292.02973761333521</c:v>
                </c:pt>
                <c:pt idx="131">
                  <c:v>292.02973761333521</c:v>
                </c:pt>
                <c:pt idx="132">
                  <c:v>292.02973761333521</c:v>
                </c:pt>
                <c:pt idx="133">
                  <c:v>292.02973761333521</c:v>
                </c:pt>
                <c:pt idx="134">
                  <c:v>292.02973761333521</c:v>
                </c:pt>
                <c:pt idx="135">
                  <c:v>292.02973761333521</c:v>
                </c:pt>
                <c:pt idx="136">
                  <c:v>292.02973761333521</c:v>
                </c:pt>
                <c:pt idx="137">
                  <c:v>292.02973761333521</c:v>
                </c:pt>
                <c:pt idx="138">
                  <c:v>292.02973761333521</c:v>
                </c:pt>
                <c:pt idx="139">
                  <c:v>292.02973761333521</c:v>
                </c:pt>
                <c:pt idx="140">
                  <c:v>292.02973761333521</c:v>
                </c:pt>
                <c:pt idx="141">
                  <c:v>292.02973761333521</c:v>
                </c:pt>
                <c:pt idx="142">
                  <c:v>292.02973761333521</c:v>
                </c:pt>
                <c:pt idx="143">
                  <c:v>292.02973761333521</c:v>
                </c:pt>
                <c:pt idx="144">
                  <c:v>292.02973761333521</c:v>
                </c:pt>
                <c:pt idx="145">
                  <c:v>292.02973761333521</c:v>
                </c:pt>
                <c:pt idx="146">
                  <c:v>292.02973761333521</c:v>
                </c:pt>
                <c:pt idx="147">
                  <c:v>292.02973761333521</c:v>
                </c:pt>
                <c:pt idx="148">
                  <c:v>292.02973761333521</c:v>
                </c:pt>
                <c:pt idx="149">
                  <c:v>292.02973761333521</c:v>
                </c:pt>
                <c:pt idx="150">
                  <c:v>292.02973761333521</c:v>
                </c:pt>
                <c:pt idx="151">
                  <c:v>292.02973761333521</c:v>
                </c:pt>
                <c:pt idx="152">
                  <c:v>292.02973761333521</c:v>
                </c:pt>
                <c:pt idx="153">
                  <c:v>292.02973761333521</c:v>
                </c:pt>
                <c:pt idx="154">
                  <c:v>292.02973761333521</c:v>
                </c:pt>
                <c:pt idx="155">
                  <c:v>292.02973761333521</c:v>
                </c:pt>
                <c:pt idx="156">
                  <c:v>292.02973761333521</c:v>
                </c:pt>
                <c:pt idx="157">
                  <c:v>292.02973761333521</c:v>
                </c:pt>
                <c:pt idx="158">
                  <c:v>292.02973761333521</c:v>
                </c:pt>
                <c:pt idx="159">
                  <c:v>292.02973761333521</c:v>
                </c:pt>
                <c:pt idx="160">
                  <c:v>292.02973761333521</c:v>
                </c:pt>
                <c:pt idx="161">
                  <c:v>292.02973761333521</c:v>
                </c:pt>
                <c:pt idx="162">
                  <c:v>292.02973761333521</c:v>
                </c:pt>
                <c:pt idx="163">
                  <c:v>292.02973761333521</c:v>
                </c:pt>
                <c:pt idx="164">
                  <c:v>292.02973761333521</c:v>
                </c:pt>
                <c:pt idx="165">
                  <c:v>292.02973761333521</c:v>
                </c:pt>
                <c:pt idx="166">
                  <c:v>292.02973761333521</c:v>
                </c:pt>
                <c:pt idx="167">
                  <c:v>292.02973761333521</c:v>
                </c:pt>
                <c:pt idx="168">
                  <c:v>292.02973761333521</c:v>
                </c:pt>
                <c:pt idx="169">
                  <c:v>292.02973761333521</c:v>
                </c:pt>
                <c:pt idx="170">
                  <c:v>292.02973761333521</c:v>
                </c:pt>
                <c:pt idx="171">
                  <c:v>292.02973761333521</c:v>
                </c:pt>
                <c:pt idx="172">
                  <c:v>292.02973761333521</c:v>
                </c:pt>
                <c:pt idx="173">
                  <c:v>292.02973761333521</c:v>
                </c:pt>
                <c:pt idx="174">
                  <c:v>292.02973761333521</c:v>
                </c:pt>
                <c:pt idx="175">
                  <c:v>292.02973761333521</c:v>
                </c:pt>
                <c:pt idx="176">
                  <c:v>292.02973761333521</c:v>
                </c:pt>
                <c:pt idx="177">
                  <c:v>292.02973761333521</c:v>
                </c:pt>
                <c:pt idx="178">
                  <c:v>292.02973761333521</c:v>
                </c:pt>
                <c:pt idx="179">
                  <c:v>292.02973761333521</c:v>
                </c:pt>
                <c:pt idx="180">
                  <c:v>292.02973761333521</c:v>
                </c:pt>
                <c:pt idx="181">
                  <c:v>292.02973761333521</c:v>
                </c:pt>
                <c:pt idx="182">
                  <c:v>292.02973761333521</c:v>
                </c:pt>
                <c:pt idx="183">
                  <c:v>292.02973761333521</c:v>
                </c:pt>
                <c:pt idx="184">
                  <c:v>292.02973761333521</c:v>
                </c:pt>
                <c:pt idx="185">
                  <c:v>292.02973761333521</c:v>
                </c:pt>
                <c:pt idx="186">
                  <c:v>292.02973761333521</c:v>
                </c:pt>
                <c:pt idx="187">
                  <c:v>292.02973761333521</c:v>
                </c:pt>
                <c:pt idx="188">
                  <c:v>292.02973761333521</c:v>
                </c:pt>
                <c:pt idx="189">
                  <c:v>292.02973761333521</c:v>
                </c:pt>
                <c:pt idx="190">
                  <c:v>292.02973761333521</c:v>
                </c:pt>
                <c:pt idx="191">
                  <c:v>292.02973761333521</c:v>
                </c:pt>
                <c:pt idx="192">
                  <c:v>292.02973761333521</c:v>
                </c:pt>
                <c:pt idx="193">
                  <c:v>292.02973761333521</c:v>
                </c:pt>
                <c:pt idx="194">
                  <c:v>292.02973761333521</c:v>
                </c:pt>
                <c:pt idx="195">
                  <c:v>292.02973761333521</c:v>
                </c:pt>
                <c:pt idx="196">
                  <c:v>292.02973761333521</c:v>
                </c:pt>
                <c:pt idx="197">
                  <c:v>292.02973761333521</c:v>
                </c:pt>
                <c:pt idx="198">
                  <c:v>292.02973761333521</c:v>
                </c:pt>
                <c:pt idx="199">
                  <c:v>292.02973761333521</c:v>
                </c:pt>
              </c:numCache>
            </c:numRef>
          </c:yVal>
          <c:smooth val="0"/>
          <c:extLst>
            <c:ext xmlns:c16="http://schemas.microsoft.com/office/drawing/2014/chart" uri="{C3380CC4-5D6E-409C-BE32-E72D297353CC}">
              <c16:uniqueId val="{00000006-DFBD-4C85-86FE-09D6CB8DE03B}"/>
            </c:ext>
          </c:extLst>
        </c:ser>
        <c:dLbls>
          <c:showLegendKey val="0"/>
          <c:showVal val="0"/>
          <c:showCatName val="0"/>
          <c:showSerName val="0"/>
          <c:showPercent val="0"/>
          <c:showBubbleSize val="0"/>
        </c:dLbls>
        <c:axId val="1602620368"/>
        <c:axId val="1602629488"/>
      </c:scatterChart>
      <c:valAx>
        <c:axId val="160262036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9488"/>
        <c:crosses val="autoZero"/>
        <c:crossBetween val="midCat"/>
      </c:valAx>
      <c:valAx>
        <c:axId val="1602629488"/>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50000"/>
                    <a:lumOff val="50000"/>
                  </a:schemeClr>
                </a:solidFill>
                <a:latin typeface="+mn-lt"/>
                <a:ea typeface="+mn-ea"/>
                <a:cs typeface="+mn-cs"/>
              </a:defRPr>
            </a:pPr>
            <a:endParaRPr lang="en-US"/>
          </a:p>
        </c:txPr>
        <c:crossAx val="160262036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MOVING_RANGE!$P$41</c:f>
          <c:strCache>
            <c:ptCount val="1"/>
            <c:pt idx="0">
              <c:v>Moving Range (Ravg=0.058)[UCL = Ravg + (3 * Ravg / √2) = 0.18]</c:v>
            </c:pt>
          </c:strCache>
        </c:strRef>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50000"/>
                  <a:lumOff val="50000"/>
                </a:schemeClr>
              </a:solidFill>
              <a:latin typeface="+mn-lt"/>
              <a:ea typeface="+mn-ea"/>
              <a:cs typeface="+mn-cs"/>
            </a:defRPr>
          </a:pPr>
          <a:endParaRPr lang="en-US"/>
        </a:p>
      </c:txPr>
    </c:title>
    <c:autoTitleDeleted val="0"/>
    <c:plotArea>
      <c:layout>
        <c:manualLayout>
          <c:layoutTarget val="inner"/>
          <c:xMode val="edge"/>
          <c:yMode val="edge"/>
          <c:x val="5.8295436507936511E-2"/>
          <c:y val="0.17171296296296296"/>
          <c:w val="0.91922757936507937"/>
          <c:h val="0.6153546952464275"/>
        </c:manualLayout>
      </c:layout>
      <c:scatterChart>
        <c:scatterStyle val="lineMarker"/>
        <c:varyColors val="0"/>
        <c:ser>
          <c:idx val="0"/>
          <c:order val="0"/>
          <c:tx>
            <c:strRef>
              <c:f>MOVING_RANGE!$Q$44</c:f>
              <c:strCache>
                <c:ptCount val="1"/>
                <c:pt idx="0">
                  <c:v>Ri</c:v>
                </c:pt>
              </c:strCache>
            </c:strRef>
          </c:tx>
          <c:spPr>
            <a:ln w="9525" cap="rnd">
              <a:solidFill>
                <a:schemeClr val="bg1">
                  <a:lumMod val="50000"/>
                  <a:alpha val="50000"/>
                </a:schemeClr>
              </a:solidFill>
              <a:round/>
            </a:ln>
            <a:effectLst/>
          </c:spPr>
          <c:marker>
            <c:symbol val="circle"/>
            <c:size val="5"/>
            <c:spPr>
              <a:solidFill>
                <a:srgbClr val="7030A0">
                  <a:alpha val="25000"/>
                </a:srgbClr>
              </a:solidFill>
              <a:ln w="9525">
                <a:solidFill>
                  <a:srgbClr val="7030A0">
                    <a:alpha val="50000"/>
                  </a:srgbClr>
                </a:solidFill>
              </a:ln>
              <a:effectLst/>
            </c:spPr>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MOVING_RANGE!$Q$45:$Q$244</c:f>
              <c:numCache>
                <c:formatCode>General</c:formatCode>
                <c:ptCount val="200"/>
                <c:pt idx="0">
                  <c:v>0</c:v>
                </c:pt>
                <c:pt idx="1">
                  <c:v>1.049397648261443E-2</c:v>
                </c:pt>
                <c:pt idx="2">
                  <c:v>3.4533639070235912E-2</c:v>
                </c:pt>
                <c:pt idx="3">
                  <c:v>3.3527026243455244E-2</c:v>
                </c:pt>
                <c:pt idx="4">
                  <c:v>3.1105717647395566E-2</c:v>
                </c:pt>
                <c:pt idx="5">
                  <c:v>1.1580580152227894E-2</c:v>
                </c:pt>
                <c:pt idx="6">
                  <c:v>5.7190037675394411E-3</c:v>
                </c:pt>
                <c:pt idx="7">
                  <c:v>5.1387655517852557E-2</c:v>
                </c:pt>
                <c:pt idx="8">
                  <c:v>8.239028663699681E-2</c:v>
                </c:pt>
                <c:pt idx="9">
                  <c:v>7.2309365391356295E-2</c:v>
                </c:pt>
                <c:pt idx="10">
                  <c:v>1.3164907470865662E-2</c:v>
                </c:pt>
                <c:pt idx="11">
                  <c:v>2.8111476516302917E-2</c:v>
                </c:pt>
                <c:pt idx="12">
                  <c:v>8.6372727449772937E-2</c:v>
                </c:pt>
                <c:pt idx="13">
                  <c:v>7.157667076647066E-2</c:v>
                </c:pt>
                <c:pt idx="14">
                  <c:v>2.5064269258228574E-2</c:v>
                </c:pt>
                <c:pt idx="15">
                  <c:v>4.9988914021254181E-2</c:v>
                </c:pt>
                <c:pt idx="16">
                  <c:v>0.10902244697222689</c:v>
                </c:pt>
                <c:pt idx="17">
                  <c:v>0.10696110052798477</c:v>
                </c:pt>
                <c:pt idx="18">
                  <c:v>1.1026455971310758E-2</c:v>
                </c:pt>
                <c:pt idx="19">
                  <c:v>7.184837632938007E-2</c:v>
                </c:pt>
                <c:pt idx="20">
                  <c:v>5.8962696166341484E-2</c:v>
                </c:pt>
                <c:pt idx="21">
                  <c:v>2.7753116152037585E-2</c:v>
                </c:pt>
                <c:pt idx="22">
                  <c:v>4.2819496572006371E-2</c:v>
                </c:pt>
                <c:pt idx="23">
                  <c:v>2.3543248435705818E-2</c:v>
                </c:pt>
                <c:pt idx="24">
                  <c:v>6.6832444650416475E-2</c:v>
                </c:pt>
                <c:pt idx="25">
                  <c:v>1</c:v>
                </c:pt>
                <c:pt idx="26">
                  <c:v>6.4775354197358359E-2</c:v>
                </c:pt>
                <c:pt idx="27">
                  <c:v>0.10133981767340179</c:v>
                </c:pt>
                <c:pt idx="28">
                  <c:v>8.4592931625842124E-2</c:v>
                </c:pt>
                <c:pt idx="29">
                  <c:v>1.9119340742384163E-2</c:v>
                </c:pt>
                <c:pt idx="30">
                  <c:v>2.4465289470183582E-3</c:v>
                </c:pt>
                <c:pt idx="31">
                  <c:v>9.5908597468354704E-3</c:v>
                </c:pt>
                <c:pt idx="32">
                  <c:v>2.4044446045165445E-2</c:v>
                </c:pt>
                <c:pt idx="33">
                  <c:v>6.5671032205440825E-3</c:v>
                </c:pt>
                <c:pt idx="34">
                  <c:v>1.0002296702510247E-2</c:v>
                </c:pt>
                <c:pt idx="35">
                  <c:v>4.0167800428075918E-2</c:v>
                </c:pt>
                <c:pt idx="36">
                  <c:v>2.1161782206244609E-2</c:v>
                </c:pt>
                <c:pt idx="37">
                  <c:v>3.8943442889078986E-2</c:v>
                </c:pt>
                <c:pt idx="38">
                  <c:v>8.5072484189197578E-2</c:v>
                </c:pt>
                <c:pt idx="39">
                  <c:v>6.6480871339731809E-2</c:v>
                </c:pt>
                <c:pt idx="40">
                  <c:v>3.3746610746008413E-3</c:v>
                </c:pt>
                <c:pt idx="41">
                  <c:v>1.4749156689671163E-2</c:v>
                </c:pt>
                <c:pt idx="42">
                  <c:v>4.1521353789336054E-3</c:v>
                </c:pt>
                <c:pt idx="43">
                  <c:v>1.1299985050417306E-2</c:v>
                </c:pt>
                <c:pt idx="44">
                  <c:v>0.11050859344127398</c:v>
                </c:pt>
                <c:pt idx="45">
                  <c:v>0.10152499429291183</c:v>
                </c:pt>
                <c:pt idx="46">
                  <c:v>1.228814146434952E-3</c:v>
                </c:pt>
                <c:pt idx="47">
                  <c:v>1.2615534360314097E-3</c:v>
                </c:pt>
                <c:pt idx="48">
                  <c:v>2.0396656475594254E-2</c:v>
                </c:pt>
                <c:pt idx="49">
                  <c:v>3.7856123693850172E-3</c:v>
                </c:pt>
                <c:pt idx="50">
                  <c:v>0.85989879682451398</c:v>
                </c:pt>
                <c:pt idx="51">
                  <c:v>6.0919398701093398E-3</c:v>
                </c:pt>
                <c:pt idx="52">
                  <c:v>2.1796682425336333E-2</c:v>
                </c:pt>
                <c:pt idx="53">
                  <c:v>1.6952867651927588E-2</c:v>
                </c:pt>
                <c:pt idx="54">
                  <c:v>3.5659776613248199E-2</c:v>
                </c:pt>
                <c:pt idx="55">
                  <c:v>8.4541560364412183E-2</c:v>
                </c:pt>
                <c:pt idx="56">
                  <c:v>4.1100231879849264E-2</c:v>
                </c:pt>
                <c:pt idx="57">
                  <c:v>4.070823900752895E-2</c:v>
                </c:pt>
                <c:pt idx="58">
                  <c:v>1.8112322094788458E-2</c:v>
                </c:pt>
                <c:pt idx="59">
                  <c:v>9.7661647823757657E-3</c:v>
                </c:pt>
                <c:pt idx="60">
                  <c:v>1.9945297751375737E-2</c:v>
                </c:pt>
                <c:pt idx="61">
                  <c:v>4.0142550750925141E-2</c:v>
                </c:pt>
                <c:pt idx="62">
                  <c:v>8.3028878917260889E-3</c:v>
                </c:pt>
                <c:pt idx="63">
                  <c:v>5.0657370358070233E-2</c:v>
                </c:pt>
                <c:pt idx="64">
                  <c:v>5.8122653186594465E-2</c:v>
                </c:pt>
                <c:pt idx="65">
                  <c:v>3.0755528706166175E-3</c:v>
                </c:pt>
                <c:pt idx="66">
                  <c:v>2.2871562317468522E-2</c:v>
                </c:pt>
                <c:pt idx="67">
                  <c:v>5.5665949624567876E-2</c:v>
                </c:pt>
                <c:pt idx="68">
                  <c:v>3.6049269283007855E-2</c:v>
                </c:pt>
                <c:pt idx="69">
                  <c:v>2.0599653325249104E-2</c:v>
                </c:pt>
                <c:pt idx="70">
                  <c:v>1.6906932817347425E-2</c:v>
                </c:pt>
                <c:pt idx="71">
                  <c:v>3.1767489115199737E-3</c:v>
                </c:pt>
                <c:pt idx="72">
                  <c:v>3.636185828363088E-2</c:v>
                </c:pt>
                <c:pt idx="73">
                  <c:v>1.4466260173305919E-3</c:v>
                </c:pt>
                <c:pt idx="74">
                  <c:v>4.1388647360393015E-2</c:v>
                </c:pt>
                <c:pt idx="75">
                  <c:v>0.74496414525869925</c:v>
                </c:pt>
                <c:pt idx="76">
                  <c:v>4.180898156213235E-2</c:v>
                </c:pt>
                <c:pt idx="77">
                  <c:v>2.3506733017743843E-2</c:v>
                </c:pt>
                <c:pt idx="78">
                  <c:v>8.2465335719996043E-3</c:v>
                </c:pt>
                <c:pt idx="79">
                  <c:v>4.0038375655136106E-2</c:v>
                </c:pt>
                <c:pt idx="80">
                  <c:v>1.0928508742421343E-2</c:v>
                </c:pt>
                <c:pt idx="81">
                  <c:v>6.9074151941155154E-2</c:v>
                </c:pt>
                <c:pt idx="82">
                  <c:v>1.3543091529926903E-2</c:v>
                </c:pt>
                <c:pt idx="83">
                  <c:v>2.398238526202531E-2</c:v>
                </c:pt>
                <c:pt idx="84">
                  <c:v>1.8360030559733606E-2</c:v>
                </c:pt>
                <c:pt idx="85">
                  <c:v>6.0248254463296604E-2</c:v>
                </c:pt>
                <c:pt idx="86">
                  <c:v>1.1638422510886615E-2</c:v>
                </c:pt>
                <c:pt idx="87">
                  <c:v>2.3023784841814429E-2</c:v>
                </c:pt>
                <c:pt idx="88">
                  <c:v>0.10275520416124589</c:v>
                </c:pt>
                <c:pt idx="89">
                  <c:v>6.8827664010083764E-2</c:v>
                </c:pt>
                <c:pt idx="90">
                  <c:v>1.8309544336773922E-2</c:v>
                </c:pt>
                <c:pt idx="91">
                  <c:v>5.3692171210499136E-2</c:v>
                </c:pt>
                <c:pt idx="92">
                  <c:v>7.5216540028813172E-2</c:v>
                </c:pt>
                <c:pt idx="93">
                  <c:v>9.6921807314564581E-2</c:v>
                </c:pt>
                <c:pt idx="94">
                  <c:v>2.3558500934727705E-2</c:v>
                </c:pt>
                <c:pt idx="95">
                  <c:v>7.5343477970643016E-2</c:v>
                </c:pt>
                <c:pt idx="96">
                  <c:v>4.2619067889805337E-2</c:v>
                </c:pt>
                <c:pt idx="97">
                  <c:v>2.8241871842265263E-2</c:v>
                </c:pt>
                <c:pt idx="98">
                  <c:v>3.0482005079016914E-2</c:v>
                </c:pt>
                <c:pt idx="99">
                  <c:v>4.8779241545719276E-2</c:v>
                </c:pt>
                <c:pt idx="100">
                  <c:v>0.55348792533846736</c:v>
                </c:pt>
                <c:pt idx="101">
                  <c:v>3.6794555703081461E-2</c:v>
                </c:pt>
                <c:pt idx="102">
                  <c:v>1.0060100265652119E-2</c:v>
                </c:pt>
                <c:pt idx="103">
                  <c:v>2.2834716046161004E-2</c:v>
                </c:pt>
                <c:pt idx="104">
                  <c:v>4.0208265919132541E-2</c:v>
                </c:pt>
                <c:pt idx="105">
                  <c:v>5.0564735522499234E-3</c:v>
                </c:pt>
                <c:pt idx="106">
                  <c:v>3.5891881520249407E-2</c:v>
                </c:pt>
                <c:pt idx="107">
                  <c:v>3.6092142144022184E-2</c:v>
                </c:pt>
                <c:pt idx="108">
                  <c:v>2.7176646016070116E-2</c:v>
                </c:pt>
                <c:pt idx="109">
                  <c:v>4.046990884614296E-2</c:v>
                </c:pt>
                <c:pt idx="110">
                  <c:v>9.4322796563982448E-3</c:v>
                </c:pt>
                <c:pt idx="111">
                  <c:v>7.1790393055031348E-2</c:v>
                </c:pt>
                <c:pt idx="112">
                  <c:v>8.068197678895668E-3</c:v>
                </c:pt>
                <c:pt idx="113">
                  <c:v>1.1340915901195431E-2</c:v>
                </c:pt>
                <c:pt idx="114">
                  <c:v>3.5834348190001877E-2</c:v>
                </c:pt>
                <c:pt idx="115">
                  <c:v>7.1885228827083599E-4</c:v>
                </c:pt>
                <c:pt idx="116">
                  <c:v>1.6110761646524276E-2</c:v>
                </c:pt>
                <c:pt idx="117">
                  <c:v>2.3569365488377366E-3</c:v>
                </c:pt>
                <c:pt idx="118">
                  <c:v>2.5208997009306882E-2</c:v>
                </c:pt>
                <c:pt idx="119">
                  <c:v>3.2120487953759658E-2</c:v>
                </c:pt>
                <c:pt idx="120">
                  <c:v>5.6813821578215878E-2</c:v>
                </c:pt>
                <c:pt idx="121">
                  <c:v>0.118531727117453</c:v>
                </c:pt>
                <c:pt idx="122">
                  <c:v>0.10468478662780317</c:v>
                </c:pt>
                <c:pt idx="123">
                  <c:v>0.13218821377897411</c:v>
                </c:pt>
                <c:pt idx="124">
                  <c:v>5.7124585680198611E-2</c:v>
                </c:pt>
                <c:pt idx="125">
                  <c:v>0.45396227640477899</c:v>
                </c:pt>
                <c:pt idx="126">
                  <c:v>1.4076281401526357E-4</c:v>
                </c:pt>
                <c:pt idx="127">
                  <c:v>5.5177941629564693E-2</c:v>
                </c:pt>
                <c:pt idx="128">
                  <c:v>6.2268117266862766E-2</c:v>
                </c:pt>
                <c:pt idx="129">
                  <c:v>1.4297055901389025E-2</c:v>
                </c:pt>
                <c:pt idx="130">
                  <c:v>2.6287115359354817E-2</c:v>
                </c:pt>
                <c:pt idx="131">
                  <c:v>2.0556975933353931E-2</c:v>
                </c:pt>
                <c:pt idx="132">
                  <c:v>4.667152486436686E-3</c:v>
                </c:pt>
                <c:pt idx="133">
                  <c:v>1.6808716162644646E-3</c:v>
                </c:pt>
                <c:pt idx="134">
                  <c:v>1.6917326401772636E-2</c:v>
                </c:pt>
                <c:pt idx="135">
                  <c:v>4.3743527364915359E-2</c:v>
                </c:pt>
                <c:pt idx="136">
                  <c:v>4.3715351486265982E-3</c:v>
                </c:pt>
                <c:pt idx="137">
                  <c:v>3.0846109957547344E-2</c:v>
                </c:pt>
                <c:pt idx="138">
                  <c:v>3.7868182779256979E-2</c:v>
                </c:pt>
                <c:pt idx="139">
                  <c:v>6.2614780200750939E-2</c:v>
                </c:pt>
                <c:pt idx="140">
                  <c:v>3.0724392677034081E-2</c:v>
                </c:pt>
                <c:pt idx="141">
                  <c:v>2.4864790841315102E-2</c:v>
                </c:pt>
                <c:pt idx="142">
                  <c:v>3.0666592323412685E-2</c:v>
                </c:pt>
                <c:pt idx="143">
                  <c:v>5.1699342053341819E-2</c:v>
                </c:pt>
                <c:pt idx="144">
                  <c:v>1.5001990857789546E-2</c:v>
                </c:pt>
                <c:pt idx="145">
                  <c:v>3.1087289121994138E-2</c:v>
                </c:pt>
                <c:pt idx="146">
                  <c:v>3.3758406378346525E-2</c:v>
                </c:pt>
                <c:pt idx="147">
                  <c:v>1.8465950947533314E-2</c:v>
                </c:pt>
                <c:pt idx="148">
                  <c:v>5.3368753787334723E-2</c:v>
                </c:pt>
                <c:pt idx="149">
                  <c:v>7.9914847251052502E-3</c:v>
                </c:pt>
                <c:pt idx="150">
                  <c:v>0.38945092624563293</c:v>
                </c:pt>
                <c:pt idx="151">
                  <c:v>6.5752491894811069E-2</c:v>
                </c:pt>
                <c:pt idx="152">
                  <c:v>0.1048108634704147</c:v>
                </c:pt>
                <c:pt idx="153">
                  <c:v>8.0612250741633279E-2</c:v>
                </c:pt>
                <c:pt idx="154">
                  <c:v>2.3379111798359047E-2</c:v>
                </c:pt>
                <c:pt idx="155">
                  <c:v>2.1721073366598048E-2</c:v>
                </c:pt>
                <c:pt idx="156">
                  <c:v>2.2192079671976516E-2</c:v>
                </c:pt>
                <c:pt idx="157">
                  <c:v>2.110917859225556E-2</c:v>
                </c:pt>
                <c:pt idx="158">
                  <c:v>1.6817930127554354E-2</c:v>
                </c:pt>
                <c:pt idx="159">
                  <c:v>3.56548032713805E-2</c:v>
                </c:pt>
                <c:pt idx="160">
                  <c:v>2.4238898475692657E-2</c:v>
                </c:pt>
                <c:pt idx="161">
                  <c:v>6.8522002209531904E-2</c:v>
                </c:pt>
                <c:pt idx="162">
                  <c:v>5.4474417722180243E-2</c:v>
                </c:pt>
                <c:pt idx="163">
                  <c:v>4.4662283246303967E-2</c:v>
                </c:pt>
                <c:pt idx="164">
                  <c:v>7.0374477700368379E-2</c:v>
                </c:pt>
                <c:pt idx="165">
                  <c:v>3.0593004763111786E-2</c:v>
                </c:pt>
                <c:pt idx="166">
                  <c:v>7.4410133425564198E-2</c:v>
                </c:pt>
                <c:pt idx="167">
                  <c:v>8.2284306497295789E-2</c:v>
                </c:pt>
                <c:pt idx="168">
                  <c:v>2.3677266375467285E-2</c:v>
                </c:pt>
                <c:pt idx="169">
                  <c:v>1.296716367418624E-2</c:v>
                </c:pt>
                <c:pt idx="170">
                  <c:v>2.88972700426062E-3</c:v>
                </c:pt>
                <c:pt idx="171">
                  <c:v>6.6076747690279629E-3</c:v>
                </c:pt>
                <c:pt idx="172">
                  <c:v>6.4735101854854107E-2</c:v>
                </c:pt>
                <c:pt idx="173">
                  <c:v>3.063245960947069E-2</c:v>
                </c:pt>
                <c:pt idx="174">
                  <c:v>5.8445725394978096E-2</c:v>
                </c:pt>
                <c:pt idx="175">
                  <c:v>0.17173236540468098</c:v>
                </c:pt>
                <c:pt idx="176">
                  <c:v>7.253679466045275E-2</c:v>
                </c:pt>
                <c:pt idx="177">
                  <c:v>3.1390106073983355E-2</c:v>
                </c:pt>
                <c:pt idx="178">
                  <c:v>3.175249857611457E-2</c:v>
                </c:pt>
                <c:pt idx="179">
                  <c:v>2.7437810056819709E-2</c:v>
                </c:pt>
                <c:pt idx="180">
                  <c:v>7.8908652440137339E-2</c:v>
                </c:pt>
                <c:pt idx="181">
                  <c:v>3.9756377424619439E-2</c:v>
                </c:pt>
                <c:pt idx="182">
                  <c:v>1.1628472855470433E-2</c:v>
                </c:pt>
                <c:pt idx="183">
                  <c:v>3.5488654700629313E-2</c:v>
                </c:pt>
                <c:pt idx="184">
                  <c:v>4.4157649822513401E-3</c:v>
                </c:pt>
                <c:pt idx="185">
                  <c:v>1.6983488378755577E-2</c:v>
                </c:pt>
                <c:pt idx="186">
                  <c:v>1.7486460428609112E-2</c:v>
                </c:pt>
                <c:pt idx="187">
                  <c:v>4.0923082456169407E-2</c:v>
                </c:pt>
                <c:pt idx="188">
                  <c:v>3.9145665024120792E-2</c:v>
                </c:pt>
                <c:pt idx="189">
                  <c:v>3.9776185950964174E-5</c:v>
                </c:pt>
                <c:pt idx="190">
                  <c:v>3.3389065243812924E-2</c:v>
                </c:pt>
                <c:pt idx="191">
                  <c:v>3.9358558750570462E-2</c:v>
                </c:pt>
                <c:pt idx="192">
                  <c:v>3.2031176768490578E-2</c:v>
                </c:pt>
                <c:pt idx="193">
                  <c:v>7.0526597540907635E-2</c:v>
                </c:pt>
                <c:pt idx="194">
                  <c:v>6.9025056716759806E-2</c:v>
                </c:pt>
                <c:pt idx="195">
                  <c:v>2.5148823430746078E-2</c:v>
                </c:pt>
                <c:pt idx="196">
                  <c:v>7.4024826731233964E-2</c:v>
                </c:pt>
                <c:pt idx="197">
                  <c:v>3.8633768765152206E-3</c:v>
                </c:pt>
                <c:pt idx="198">
                  <c:v>2.2069467330498763E-2</c:v>
                </c:pt>
                <c:pt idx="199">
                  <c:v>0.18990974378981967</c:v>
                </c:pt>
              </c:numCache>
            </c:numRef>
          </c:yVal>
          <c:smooth val="0"/>
          <c:extLst>
            <c:ext xmlns:c16="http://schemas.microsoft.com/office/drawing/2014/chart" uri="{C3380CC4-5D6E-409C-BE32-E72D297353CC}">
              <c16:uniqueId val="{00000000-EB17-4A63-8477-79426C66A083}"/>
            </c:ext>
          </c:extLst>
        </c:ser>
        <c:ser>
          <c:idx val="1"/>
          <c:order val="1"/>
          <c:tx>
            <c:strRef>
              <c:f>MOVING_RANGE!$R$44</c:f>
              <c:strCache>
                <c:ptCount val="1"/>
                <c:pt idx="0">
                  <c:v>Ravg</c:v>
                </c:pt>
              </c:strCache>
            </c:strRef>
          </c:tx>
          <c:spPr>
            <a:ln w="25400" cap="rnd">
              <a:solidFill>
                <a:schemeClr val="accent6">
                  <a:alpha val="50000"/>
                </a:scheme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MOVING_RANGE!$R$45:$R$244</c:f>
              <c:numCache>
                <c:formatCode>General</c:formatCode>
                <c:ptCount val="200"/>
                <c:pt idx="0">
                  <c:v>5.7836935265099948E-2</c:v>
                </c:pt>
                <c:pt idx="1">
                  <c:v>5.7836935265099948E-2</c:v>
                </c:pt>
                <c:pt idx="2">
                  <c:v>5.7836935265099948E-2</c:v>
                </c:pt>
                <c:pt idx="3">
                  <c:v>5.7836935265099948E-2</c:v>
                </c:pt>
                <c:pt idx="4">
                  <c:v>5.7836935265099948E-2</c:v>
                </c:pt>
                <c:pt idx="5">
                  <c:v>5.7836935265099948E-2</c:v>
                </c:pt>
                <c:pt idx="6">
                  <c:v>5.7836935265099948E-2</c:v>
                </c:pt>
                <c:pt idx="7">
                  <c:v>5.7836935265099948E-2</c:v>
                </c:pt>
                <c:pt idx="8">
                  <c:v>5.7836935265099948E-2</c:v>
                </c:pt>
                <c:pt idx="9">
                  <c:v>5.7836935265099948E-2</c:v>
                </c:pt>
                <c:pt idx="10">
                  <c:v>5.7836935265099948E-2</c:v>
                </c:pt>
                <c:pt idx="11">
                  <c:v>5.7836935265099948E-2</c:v>
                </c:pt>
                <c:pt idx="12">
                  <c:v>5.7836935265099948E-2</c:v>
                </c:pt>
                <c:pt idx="13">
                  <c:v>5.7836935265099948E-2</c:v>
                </c:pt>
                <c:pt idx="14">
                  <c:v>5.7836935265099948E-2</c:v>
                </c:pt>
                <c:pt idx="15">
                  <c:v>5.7836935265099948E-2</c:v>
                </c:pt>
                <c:pt idx="16">
                  <c:v>5.7836935265099948E-2</c:v>
                </c:pt>
                <c:pt idx="17">
                  <c:v>5.7836935265099948E-2</c:v>
                </c:pt>
                <c:pt idx="18">
                  <c:v>5.7836935265099948E-2</c:v>
                </c:pt>
                <c:pt idx="19">
                  <c:v>5.7836935265099948E-2</c:v>
                </c:pt>
                <c:pt idx="20">
                  <c:v>5.7836935265099948E-2</c:v>
                </c:pt>
                <c:pt idx="21">
                  <c:v>5.7836935265099948E-2</c:v>
                </c:pt>
                <c:pt idx="22">
                  <c:v>5.7836935265099948E-2</c:v>
                </c:pt>
                <c:pt idx="23">
                  <c:v>5.7836935265099948E-2</c:v>
                </c:pt>
                <c:pt idx="24">
                  <c:v>5.7836935265099948E-2</c:v>
                </c:pt>
                <c:pt idx="25">
                  <c:v>5.7836935265099948E-2</c:v>
                </c:pt>
                <c:pt idx="26">
                  <c:v>5.7836935265099948E-2</c:v>
                </c:pt>
                <c:pt idx="27">
                  <c:v>5.7836935265099948E-2</c:v>
                </c:pt>
                <c:pt idx="28">
                  <c:v>5.7836935265099948E-2</c:v>
                </c:pt>
                <c:pt idx="29">
                  <c:v>5.7836935265099948E-2</c:v>
                </c:pt>
                <c:pt idx="30">
                  <c:v>5.7836935265099948E-2</c:v>
                </c:pt>
                <c:pt idx="31">
                  <c:v>5.7836935265099948E-2</c:v>
                </c:pt>
                <c:pt idx="32">
                  <c:v>5.7836935265099948E-2</c:v>
                </c:pt>
                <c:pt idx="33">
                  <c:v>5.7836935265099948E-2</c:v>
                </c:pt>
                <c:pt idx="34">
                  <c:v>5.7836935265099948E-2</c:v>
                </c:pt>
                <c:pt idx="35">
                  <c:v>5.7836935265099948E-2</c:v>
                </c:pt>
                <c:pt idx="36">
                  <c:v>5.7836935265099948E-2</c:v>
                </c:pt>
                <c:pt idx="37">
                  <c:v>5.7836935265099948E-2</c:v>
                </c:pt>
                <c:pt idx="38">
                  <c:v>5.7836935265099948E-2</c:v>
                </c:pt>
                <c:pt idx="39">
                  <c:v>5.7836935265099948E-2</c:v>
                </c:pt>
                <c:pt idx="40">
                  <c:v>5.7836935265099948E-2</c:v>
                </c:pt>
                <c:pt idx="41">
                  <c:v>5.7836935265099948E-2</c:v>
                </c:pt>
                <c:pt idx="42">
                  <c:v>5.7836935265099948E-2</c:v>
                </c:pt>
                <c:pt idx="43">
                  <c:v>5.7836935265099948E-2</c:v>
                </c:pt>
                <c:pt idx="44">
                  <c:v>5.7836935265099948E-2</c:v>
                </c:pt>
                <c:pt idx="45">
                  <c:v>5.7836935265099948E-2</c:v>
                </c:pt>
                <c:pt idx="46">
                  <c:v>5.7836935265099948E-2</c:v>
                </c:pt>
                <c:pt idx="47">
                  <c:v>5.7836935265099948E-2</c:v>
                </c:pt>
                <c:pt idx="48">
                  <c:v>5.7836935265099948E-2</c:v>
                </c:pt>
                <c:pt idx="49">
                  <c:v>5.7836935265099948E-2</c:v>
                </c:pt>
                <c:pt idx="50">
                  <c:v>5.7836935265099948E-2</c:v>
                </c:pt>
                <c:pt idx="51">
                  <c:v>5.7836935265099948E-2</c:v>
                </c:pt>
                <c:pt idx="52">
                  <c:v>5.7836935265099948E-2</c:v>
                </c:pt>
                <c:pt idx="53">
                  <c:v>5.7836935265099948E-2</c:v>
                </c:pt>
                <c:pt idx="54">
                  <c:v>5.7836935265099948E-2</c:v>
                </c:pt>
                <c:pt idx="55">
                  <c:v>5.7836935265099948E-2</c:v>
                </c:pt>
                <c:pt idx="56">
                  <c:v>5.7836935265099948E-2</c:v>
                </c:pt>
                <c:pt idx="57">
                  <c:v>5.7836935265099948E-2</c:v>
                </c:pt>
                <c:pt idx="58">
                  <c:v>5.7836935265099948E-2</c:v>
                </c:pt>
                <c:pt idx="59">
                  <c:v>5.7836935265099948E-2</c:v>
                </c:pt>
                <c:pt idx="60">
                  <c:v>5.7836935265099948E-2</c:v>
                </c:pt>
                <c:pt idx="61">
                  <c:v>5.7836935265099948E-2</c:v>
                </c:pt>
                <c:pt idx="62">
                  <c:v>5.7836935265099948E-2</c:v>
                </c:pt>
                <c:pt idx="63">
                  <c:v>5.7836935265099948E-2</c:v>
                </c:pt>
                <c:pt idx="64">
                  <c:v>5.7836935265099948E-2</c:v>
                </c:pt>
                <c:pt idx="65">
                  <c:v>5.7836935265099948E-2</c:v>
                </c:pt>
                <c:pt idx="66">
                  <c:v>5.7836935265099948E-2</c:v>
                </c:pt>
                <c:pt idx="67">
                  <c:v>5.7836935265099948E-2</c:v>
                </c:pt>
                <c:pt idx="68">
                  <c:v>5.7836935265099948E-2</c:v>
                </c:pt>
                <c:pt idx="69">
                  <c:v>5.7836935265099948E-2</c:v>
                </c:pt>
                <c:pt idx="70">
                  <c:v>5.7836935265099948E-2</c:v>
                </c:pt>
                <c:pt idx="71">
                  <c:v>5.7836935265099948E-2</c:v>
                </c:pt>
                <c:pt idx="72">
                  <c:v>5.7836935265099948E-2</c:v>
                </c:pt>
                <c:pt idx="73">
                  <c:v>5.7836935265099948E-2</c:v>
                </c:pt>
                <c:pt idx="74">
                  <c:v>5.7836935265099948E-2</c:v>
                </c:pt>
                <c:pt idx="75">
                  <c:v>5.7836935265099948E-2</c:v>
                </c:pt>
                <c:pt idx="76">
                  <c:v>5.7836935265099948E-2</c:v>
                </c:pt>
                <c:pt idx="77">
                  <c:v>5.7836935265099948E-2</c:v>
                </c:pt>
                <c:pt idx="78">
                  <c:v>5.7836935265099948E-2</c:v>
                </c:pt>
                <c:pt idx="79">
                  <c:v>5.7836935265099948E-2</c:v>
                </c:pt>
                <c:pt idx="80">
                  <c:v>5.7836935265099948E-2</c:v>
                </c:pt>
                <c:pt idx="81">
                  <c:v>5.7836935265099948E-2</c:v>
                </c:pt>
                <c:pt idx="82">
                  <c:v>5.7836935265099948E-2</c:v>
                </c:pt>
                <c:pt idx="83">
                  <c:v>5.7836935265099948E-2</c:v>
                </c:pt>
                <c:pt idx="84">
                  <c:v>5.7836935265099948E-2</c:v>
                </c:pt>
                <c:pt idx="85">
                  <c:v>5.7836935265099948E-2</c:v>
                </c:pt>
                <c:pt idx="86">
                  <c:v>5.7836935265099948E-2</c:v>
                </c:pt>
                <c:pt idx="87">
                  <c:v>5.7836935265099948E-2</c:v>
                </c:pt>
                <c:pt idx="88">
                  <c:v>5.7836935265099948E-2</c:v>
                </c:pt>
                <c:pt idx="89">
                  <c:v>5.7836935265099948E-2</c:v>
                </c:pt>
                <c:pt idx="90">
                  <c:v>5.7836935265099948E-2</c:v>
                </c:pt>
                <c:pt idx="91">
                  <c:v>5.7836935265099948E-2</c:v>
                </c:pt>
                <c:pt idx="92">
                  <c:v>5.7836935265099948E-2</c:v>
                </c:pt>
                <c:pt idx="93">
                  <c:v>5.7836935265099948E-2</c:v>
                </c:pt>
                <c:pt idx="94">
                  <c:v>5.7836935265099948E-2</c:v>
                </c:pt>
                <c:pt idx="95">
                  <c:v>5.7836935265099948E-2</c:v>
                </c:pt>
                <c:pt idx="96">
                  <c:v>5.7836935265099948E-2</c:v>
                </c:pt>
                <c:pt idx="97">
                  <c:v>5.7836935265099948E-2</c:v>
                </c:pt>
                <c:pt idx="98">
                  <c:v>5.7836935265099948E-2</c:v>
                </c:pt>
                <c:pt idx="99">
                  <c:v>5.7836935265099948E-2</c:v>
                </c:pt>
                <c:pt idx="100">
                  <c:v>5.7836935265099948E-2</c:v>
                </c:pt>
                <c:pt idx="101">
                  <c:v>5.7836935265099948E-2</c:v>
                </c:pt>
                <c:pt idx="102">
                  <c:v>5.7836935265099948E-2</c:v>
                </c:pt>
                <c:pt idx="103">
                  <c:v>5.7836935265099948E-2</c:v>
                </c:pt>
                <c:pt idx="104">
                  <c:v>5.7836935265099948E-2</c:v>
                </c:pt>
                <c:pt idx="105">
                  <c:v>5.7836935265099948E-2</c:v>
                </c:pt>
                <c:pt idx="106">
                  <c:v>5.7836935265099948E-2</c:v>
                </c:pt>
                <c:pt idx="107">
                  <c:v>5.7836935265099948E-2</c:v>
                </c:pt>
                <c:pt idx="108">
                  <c:v>5.7836935265099948E-2</c:v>
                </c:pt>
                <c:pt idx="109">
                  <c:v>5.7836935265099948E-2</c:v>
                </c:pt>
                <c:pt idx="110">
                  <c:v>5.7836935265099948E-2</c:v>
                </c:pt>
                <c:pt idx="111">
                  <c:v>5.7836935265099948E-2</c:v>
                </c:pt>
                <c:pt idx="112">
                  <c:v>5.7836935265099948E-2</c:v>
                </c:pt>
                <c:pt idx="113">
                  <c:v>5.7836935265099948E-2</c:v>
                </c:pt>
                <c:pt idx="114">
                  <c:v>5.7836935265099948E-2</c:v>
                </c:pt>
                <c:pt idx="115">
                  <c:v>5.7836935265099948E-2</c:v>
                </c:pt>
                <c:pt idx="116">
                  <c:v>5.7836935265099948E-2</c:v>
                </c:pt>
                <c:pt idx="117">
                  <c:v>5.7836935265099948E-2</c:v>
                </c:pt>
                <c:pt idx="118">
                  <c:v>5.7836935265099948E-2</c:v>
                </c:pt>
                <c:pt idx="119">
                  <c:v>5.7836935265099948E-2</c:v>
                </c:pt>
                <c:pt idx="120">
                  <c:v>5.7836935265099948E-2</c:v>
                </c:pt>
                <c:pt idx="121">
                  <c:v>5.7836935265099948E-2</c:v>
                </c:pt>
                <c:pt idx="122">
                  <c:v>5.7836935265099948E-2</c:v>
                </c:pt>
                <c:pt idx="123">
                  <c:v>5.7836935265099948E-2</c:v>
                </c:pt>
                <c:pt idx="124">
                  <c:v>5.7836935265099948E-2</c:v>
                </c:pt>
                <c:pt idx="125">
                  <c:v>5.7836935265099948E-2</c:v>
                </c:pt>
                <c:pt idx="126">
                  <c:v>5.7836935265099948E-2</c:v>
                </c:pt>
                <c:pt idx="127">
                  <c:v>5.7836935265099948E-2</c:v>
                </c:pt>
                <c:pt idx="128">
                  <c:v>5.7836935265099948E-2</c:v>
                </c:pt>
                <c:pt idx="129">
                  <c:v>5.7836935265099948E-2</c:v>
                </c:pt>
                <c:pt idx="130">
                  <c:v>5.7836935265099948E-2</c:v>
                </c:pt>
                <c:pt idx="131">
                  <c:v>5.7836935265099948E-2</c:v>
                </c:pt>
                <c:pt idx="132">
                  <c:v>5.7836935265099948E-2</c:v>
                </c:pt>
                <c:pt idx="133">
                  <c:v>5.7836935265099948E-2</c:v>
                </c:pt>
                <c:pt idx="134">
                  <c:v>5.7836935265099948E-2</c:v>
                </c:pt>
                <c:pt idx="135">
                  <c:v>5.7836935265099948E-2</c:v>
                </c:pt>
                <c:pt idx="136">
                  <c:v>5.7836935265099948E-2</c:v>
                </c:pt>
                <c:pt idx="137">
                  <c:v>5.7836935265099948E-2</c:v>
                </c:pt>
                <c:pt idx="138">
                  <c:v>5.7836935265099948E-2</c:v>
                </c:pt>
                <c:pt idx="139">
                  <c:v>5.7836935265099948E-2</c:v>
                </c:pt>
                <c:pt idx="140">
                  <c:v>5.7836935265099948E-2</c:v>
                </c:pt>
                <c:pt idx="141">
                  <c:v>5.7836935265099948E-2</c:v>
                </c:pt>
                <c:pt idx="142">
                  <c:v>5.7836935265099948E-2</c:v>
                </c:pt>
                <c:pt idx="143">
                  <c:v>5.7836935265099948E-2</c:v>
                </c:pt>
                <c:pt idx="144">
                  <c:v>5.7836935265099948E-2</c:v>
                </c:pt>
                <c:pt idx="145">
                  <c:v>5.7836935265099948E-2</c:v>
                </c:pt>
                <c:pt idx="146">
                  <c:v>5.7836935265099948E-2</c:v>
                </c:pt>
                <c:pt idx="147">
                  <c:v>5.7836935265099948E-2</c:v>
                </c:pt>
                <c:pt idx="148">
                  <c:v>5.7836935265099948E-2</c:v>
                </c:pt>
                <c:pt idx="149">
                  <c:v>5.7836935265099948E-2</c:v>
                </c:pt>
                <c:pt idx="150">
                  <c:v>5.7836935265099948E-2</c:v>
                </c:pt>
                <c:pt idx="151">
                  <c:v>5.7836935265099948E-2</c:v>
                </c:pt>
                <c:pt idx="152">
                  <c:v>5.7836935265099948E-2</c:v>
                </c:pt>
                <c:pt idx="153">
                  <c:v>5.7836935265099948E-2</c:v>
                </c:pt>
                <c:pt idx="154">
                  <c:v>5.7836935265099948E-2</c:v>
                </c:pt>
                <c:pt idx="155">
                  <c:v>5.7836935265099948E-2</c:v>
                </c:pt>
                <c:pt idx="156">
                  <c:v>5.7836935265099948E-2</c:v>
                </c:pt>
                <c:pt idx="157">
                  <c:v>5.7836935265099948E-2</c:v>
                </c:pt>
                <c:pt idx="158">
                  <c:v>5.7836935265099948E-2</c:v>
                </c:pt>
                <c:pt idx="159">
                  <c:v>5.7836935265099948E-2</c:v>
                </c:pt>
                <c:pt idx="160">
                  <c:v>5.7836935265099948E-2</c:v>
                </c:pt>
                <c:pt idx="161">
                  <c:v>5.7836935265099948E-2</c:v>
                </c:pt>
                <c:pt idx="162">
                  <c:v>5.7836935265099948E-2</c:v>
                </c:pt>
                <c:pt idx="163">
                  <c:v>5.7836935265099948E-2</c:v>
                </c:pt>
                <c:pt idx="164">
                  <c:v>5.7836935265099948E-2</c:v>
                </c:pt>
                <c:pt idx="165">
                  <c:v>5.7836935265099948E-2</c:v>
                </c:pt>
                <c:pt idx="166">
                  <c:v>5.7836935265099948E-2</c:v>
                </c:pt>
                <c:pt idx="167">
                  <c:v>5.7836935265099948E-2</c:v>
                </c:pt>
                <c:pt idx="168">
                  <c:v>5.7836935265099948E-2</c:v>
                </c:pt>
                <c:pt idx="169">
                  <c:v>5.7836935265099948E-2</c:v>
                </c:pt>
                <c:pt idx="170">
                  <c:v>5.7836935265099948E-2</c:v>
                </c:pt>
                <c:pt idx="171">
                  <c:v>5.7836935265099948E-2</c:v>
                </c:pt>
                <c:pt idx="172">
                  <c:v>5.7836935265099948E-2</c:v>
                </c:pt>
                <c:pt idx="173">
                  <c:v>5.7836935265099948E-2</c:v>
                </c:pt>
                <c:pt idx="174">
                  <c:v>5.7836935265099948E-2</c:v>
                </c:pt>
                <c:pt idx="175">
                  <c:v>5.7836935265099948E-2</c:v>
                </c:pt>
                <c:pt idx="176">
                  <c:v>5.7836935265099948E-2</c:v>
                </c:pt>
                <c:pt idx="177">
                  <c:v>5.7836935265099948E-2</c:v>
                </c:pt>
                <c:pt idx="178">
                  <c:v>5.7836935265099948E-2</c:v>
                </c:pt>
                <c:pt idx="179">
                  <c:v>5.7836935265099948E-2</c:v>
                </c:pt>
                <c:pt idx="180">
                  <c:v>5.7836935265099948E-2</c:v>
                </c:pt>
                <c:pt idx="181">
                  <c:v>5.7836935265099948E-2</c:v>
                </c:pt>
                <c:pt idx="182">
                  <c:v>5.7836935265099948E-2</c:v>
                </c:pt>
                <c:pt idx="183">
                  <c:v>5.7836935265099948E-2</c:v>
                </c:pt>
                <c:pt idx="184">
                  <c:v>5.7836935265099948E-2</c:v>
                </c:pt>
                <c:pt idx="185">
                  <c:v>5.7836935265099948E-2</c:v>
                </c:pt>
                <c:pt idx="186">
                  <c:v>5.7836935265099948E-2</c:v>
                </c:pt>
                <c:pt idx="187">
                  <c:v>5.7836935265099948E-2</c:v>
                </c:pt>
                <c:pt idx="188">
                  <c:v>5.7836935265099948E-2</c:v>
                </c:pt>
                <c:pt idx="189">
                  <c:v>5.7836935265099948E-2</c:v>
                </c:pt>
                <c:pt idx="190">
                  <c:v>5.7836935265099948E-2</c:v>
                </c:pt>
                <c:pt idx="191">
                  <c:v>5.7836935265099948E-2</c:v>
                </c:pt>
                <c:pt idx="192">
                  <c:v>5.7836935265099948E-2</c:v>
                </c:pt>
                <c:pt idx="193">
                  <c:v>5.7836935265099948E-2</c:v>
                </c:pt>
                <c:pt idx="194">
                  <c:v>5.7836935265099948E-2</c:v>
                </c:pt>
                <c:pt idx="195">
                  <c:v>5.7836935265099948E-2</c:v>
                </c:pt>
                <c:pt idx="196">
                  <c:v>5.7836935265099948E-2</c:v>
                </c:pt>
                <c:pt idx="197">
                  <c:v>5.7836935265099948E-2</c:v>
                </c:pt>
                <c:pt idx="198">
                  <c:v>5.7836935265099948E-2</c:v>
                </c:pt>
                <c:pt idx="199">
                  <c:v>5.7836935265099948E-2</c:v>
                </c:pt>
              </c:numCache>
            </c:numRef>
          </c:yVal>
          <c:smooth val="0"/>
          <c:extLst>
            <c:ext xmlns:c16="http://schemas.microsoft.com/office/drawing/2014/chart" uri="{C3380CC4-5D6E-409C-BE32-E72D297353CC}">
              <c16:uniqueId val="{00000001-EB17-4A63-8477-79426C66A083}"/>
            </c:ext>
          </c:extLst>
        </c:ser>
        <c:ser>
          <c:idx val="2"/>
          <c:order val="2"/>
          <c:tx>
            <c:strRef>
              <c:f>MOVING_RANGE!$S$44</c:f>
              <c:strCache>
                <c:ptCount val="1"/>
                <c:pt idx="0">
                  <c:v>UCL</c:v>
                </c:pt>
              </c:strCache>
            </c:strRef>
          </c:tx>
          <c:spPr>
            <a:ln w="25400" cap="rnd">
              <a:solidFill>
                <a:srgbClr val="C00000">
                  <a:alpha val="50000"/>
                </a:srgbClr>
              </a:solidFill>
              <a:round/>
            </a:ln>
            <a:effectLst/>
          </c:spPr>
          <c:marker>
            <c:symbol val="none"/>
          </c:marker>
          <c:xVal>
            <c:numRef>
              <c:f>MOVING_RANGE!$P$45:$P$244</c:f>
              <c:numCache>
                <c:formatCode>General</c:formatCode>
                <c:ptCount val="200"/>
                <c:pt idx="0">
                  <c:v>0</c:v>
                </c:pt>
                <c:pt idx="1">
                  <c:v>0.20100502512562815</c:v>
                </c:pt>
                <c:pt idx="2">
                  <c:v>0.4020100502512563</c:v>
                </c:pt>
                <c:pt idx="3">
                  <c:v>0.60301507537688448</c:v>
                </c:pt>
                <c:pt idx="4">
                  <c:v>0.8040201005025126</c:v>
                </c:pt>
                <c:pt idx="5">
                  <c:v>1.0050251256281408</c:v>
                </c:pt>
                <c:pt idx="6">
                  <c:v>1.206030150753769</c:v>
                </c:pt>
                <c:pt idx="7">
                  <c:v>1.4070351758793971</c:v>
                </c:pt>
                <c:pt idx="8">
                  <c:v>1.6080402010050252</c:v>
                </c:pt>
                <c:pt idx="9">
                  <c:v>1.8090452261306533</c:v>
                </c:pt>
                <c:pt idx="10">
                  <c:v>2.0100502512562817</c:v>
                </c:pt>
                <c:pt idx="11">
                  <c:v>2.2110552763819098</c:v>
                </c:pt>
                <c:pt idx="12">
                  <c:v>2.4120603015075379</c:v>
                </c:pt>
                <c:pt idx="13">
                  <c:v>2.613065326633166</c:v>
                </c:pt>
                <c:pt idx="14">
                  <c:v>2.8140703517587942</c:v>
                </c:pt>
                <c:pt idx="15">
                  <c:v>3.0150753768844223</c:v>
                </c:pt>
                <c:pt idx="16">
                  <c:v>3.2160804020100504</c:v>
                </c:pt>
                <c:pt idx="17">
                  <c:v>3.4170854271356785</c:v>
                </c:pt>
                <c:pt idx="18">
                  <c:v>3.6180904522613067</c:v>
                </c:pt>
                <c:pt idx="19">
                  <c:v>3.8190954773869348</c:v>
                </c:pt>
                <c:pt idx="20">
                  <c:v>4.0201005025125633</c:v>
                </c:pt>
                <c:pt idx="21">
                  <c:v>4.2211055276381915</c:v>
                </c:pt>
                <c:pt idx="22">
                  <c:v>4.4221105527638196</c:v>
                </c:pt>
                <c:pt idx="23">
                  <c:v>4.6231155778894477</c:v>
                </c:pt>
                <c:pt idx="24">
                  <c:v>4.8241206030150758</c:v>
                </c:pt>
                <c:pt idx="25">
                  <c:v>5.025125628140704</c:v>
                </c:pt>
                <c:pt idx="26">
                  <c:v>5.2261306532663321</c:v>
                </c:pt>
                <c:pt idx="27">
                  <c:v>5.4271356783919602</c:v>
                </c:pt>
                <c:pt idx="28">
                  <c:v>5.6281407035175883</c:v>
                </c:pt>
                <c:pt idx="29">
                  <c:v>5.8291457286432165</c:v>
                </c:pt>
                <c:pt idx="30">
                  <c:v>6.0301507537688446</c:v>
                </c:pt>
                <c:pt idx="31">
                  <c:v>6.2311557788944727</c:v>
                </c:pt>
                <c:pt idx="32">
                  <c:v>6.4321608040201008</c:v>
                </c:pt>
                <c:pt idx="33">
                  <c:v>6.6331658291457289</c:v>
                </c:pt>
                <c:pt idx="34">
                  <c:v>6.8341708542713571</c:v>
                </c:pt>
                <c:pt idx="35">
                  <c:v>7.0351758793969852</c:v>
                </c:pt>
                <c:pt idx="36">
                  <c:v>7.2361809045226133</c:v>
                </c:pt>
                <c:pt idx="37">
                  <c:v>7.4371859296482414</c:v>
                </c:pt>
                <c:pt idx="38">
                  <c:v>7.6381909547738696</c:v>
                </c:pt>
                <c:pt idx="39">
                  <c:v>7.8391959798994977</c:v>
                </c:pt>
                <c:pt idx="40">
                  <c:v>8.0402010050251267</c:v>
                </c:pt>
                <c:pt idx="41">
                  <c:v>8.2412060301507548</c:v>
                </c:pt>
                <c:pt idx="42">
                  <c:v>8.4422110552763829</c:v>
                </c:pt>
                <c:pt idx="43">
                  <c:v>8.6432160804020111</c:v>
                </c:pt>
                <c:pt idx="44">
                  <c:v>8.8442211055276392</c:v>
                </c:pt>
                <c:pt idx="45">
                  <c:v>9.0452261306532673</c:v>
                </c:pt>
                <c:pt idx="46">
                  <c:v>9.2462311557788954</c:v>
                </c:pt>
                <c:pt idx="47">
                  <c:v>9.4472361809045236</c:v>
                </c:pt>
                <c:pt idx="48">
                  <c:v>9.6482412060301517</c:v>
                </c:pt>
                <c:pt idx="49">
                  <c:v>9.8492462311557798</c:v>
                </c:pt>
                <c:pt idx="50">
                  <c:v>10.050251256281408</c:v>
                </c:pt>
                <c:pt idx="51">
                  <c:v>10.251256281407036</c:v>
                </c:pt>
                <c:pt idx="52">
                  <c:v>10.452261306532664</c:v>
                </c:pt>
                <c:pt idx="53">
                  <c:v>10.653266331658292</c:v>
                </c:pt>
                <c:pt idx="54">
                  <c:v>10.85427135678392</c:v>
                </c:pt>
                <c:pt idx="55">
                  <c:v>11.055276381909549</c:v>
                </c:pt>
                <c:pt idx="56">
                  <c:v>11.256281407035177</c:v>
                </c:pt>
                <c:pt idx="57">
                  <c:v>11.457286432160805</c:v>
                </c:pt>
                <c:pt idx="58">
                  <c:v>11.658291457286433</c:v>
                </c:pt>
                <c:pt idx="59">
                  <c:v>11.859296482412061</c:v>
                </c:pt>
                <c:pt idx="60">
                  <c:v>12.060301507537689</c:v>
                </c:pt>
                <c:pt idx="61">
                  <c:v>12.261306532663317</c:v>
                </c:pt>
                <c:pt idx="62">
                  <c:v>12.462311557788945</c:v>
                </c:pt>
                <c:pt idx="63">
                  <c:v>12.663316582914574</c:v>
                </c:pt>
                <c:pt idx="64">
                  <c:v>12.864321608040202</c:v>
                </c:pt>
                <c:pt idx="65">
                  <c:v>13.06532663316583</c:v>
                </c:pt>
                <c:pt idx="66">
                  <c:v>13.266331658291458</c:v>
                </c:pt>
                <c:pt idx="67">
                  <c:v>13.467336683417086</c:v>
                </c:pt>
                <c:pt idx="68">
                  <c:v>13.668341708542714</c:v>
                </c:pt>
                <c:pt idx="69">
                  <c:v>13.869346733668342</c:v>
                </c:pt>
                <c:pt idx="70">
                  <c:v>14.07035175879397</c:v>
                </c:pt>
                <c:pt idx="71">
                  <c:v>14.271356783919598</c:v>
                </c:pt>
                <c:pt idx="72">
                  <c:v>14.472361809045227</c:v>
                </c:pt>
                <c:pt idx="73">
                  <c:v>14.673366834170855</c:v>
                </c:pt>
                <c:pt idx="74">
                  <c:v>14.874371859296483</c:v>
                </c:pt>
                <c:pt idx="75">
                  <c:v>15.075376884422111</c:v>
                </c:pt>
                <c:pt idx="76">
                  <c:v>15.276381909547739</c:v>
                </c:pt>
                <c:pt idx="77">
                  <c:v>15.477386934673367</c:v>
                </c:pt>
                <c:pt idx="78">
                  <c:v>15.678391959798995</c:v>
                </c:pt>
                <c:pt idx="79">
                  <c:v>15.879396984924623</c:v>
                </c:pt>
                <c:pt idx="80">
                  <c:v>16.080402010050253</c:v>
                </c:pt>
                <c:pt idx="81">
                  <c:v>16.281407035175882</c:v>
                </c:pt>
                <c:pt idx="82">
                  <c:v>16.48241206030151</c:v>
                </c:pt>
                <c:pt idx="83">
                  <c:v>16.683417085427138</c:v>
                </c:pt>
                <c:pt idx="84">
                  <c:v>16.884422110552766</c:v>
                </c:pt>
                <c:pt idx="85">
                  <c:v>17.085427135678394</c:v>
                </c:pt>
                <c:pt idx="86">
                  <c:v>17.286432160804022</c:v>
                </c:pt>
                <c:pt idx="87">
                  <c:v>17.48743718592965</c:v>
                </c:pt>
                <c:pt idx="88">
                  <c:v>17.688442211055278</c:v>
                </c:pt>
                <c:pt idx="89">
                  <c:v>17.889447236180906</c:v>
                </c:pt>
                <c:pt idx="90">
                  <c:v>18.090452261306535</c:v>
                </c:pt>
                <c:pt idx="91">
                  <c:v>18.291457286432163</c:v>
                </c:pt>
                <c:pt idx="92">
                  <c:v>18.492462311557791</c:v>
                </c:pt>
                <c:pt idx="93">
                  <c:v>18.693467336683419</c:v>
                </c:pt>
                <c:pt idx="94">
                  <c:v>18.894472361809047</c:v>
                </c:pt>
                <c:pt idx="95">
                  <c:v>19.095477386934675</c:v>
                </c:pt>
                <c:pt idx="96">
                  <c:v>19.296482412060303</c:v>
                </c:pt>
                <c:pt idx="97">
                  <c:v>19.497487437185931</c:v>
                </c:pt>
                <c:pt idx="98">
                  <c:v>19.69849246231156</c:v>
                </c:pt>
                <c:pt idx="99">
                  <c:v>19.899497487437188</c:v>
                </c:pt>
                <c:pt idx="100">
                  <c:v>20.100502512562816</c:v>
                </c:pt>
                <c:pt idx="101">
                  <c:v>20.301507537688444</c:v>
                </c:pt>
                <c:pt idx="102">
                  <c:v>20.502512562814072</c:v>
                </c:pt>
                <c:pt idx="103">
                  <c:v>20.7035175879397</c:v>
                </c:pt>
                <c:pt idx="104">
                  <c:v>20.904522613065328</c:v>
                </c:pt>
                <c:pt idx="105">
                  <c:v>21.105527638190956</c:v>
                </c:pt>
                <c:pt idx="106">
                  <c:v>21.306532663316585</c:v>
                </c:pt>
                <c:pt idx="107">
                  <c:v>21.507537688442213</c:v>
                </c:pt>
                <c:pt idx="108">
                  <c:v>21.708542713567841</c:v>
                </c:pt>
                <c:pt idx="109">
                  <c:v>21.909547738693469</c:v>
                </c:pt>
                <c:pt idx="110">
                  <c:v>22.110552763819097</c:v>
                </c:pt>
                <c:pt idx="111">
                  <c:v>22.311557788944725</c:v>
                </c:pt>
                <c:pt idx="112">
                  <c:v>22.512562814070353</c:v>
                </c:pt>
                <c:pt idx="113">
                  <c:v>22.713567839195981</c:v>
                </c:pt>
                <c:pt idx="114">
                  <c:v>22.91457286432161</c:v>
                </c:pt>
                <c:pt idx="115">
                  <c:v>23.115577889447238</c:v>
                </c:pt>
                <c:pt idx="116">
                  <c:v>23.316582914572866</c:v>
                </c:pt>
                <c:pt idx="117">
                  <c:v>23.517587939698494</c:v>
                </c:pt>
                <c:pt idx="118">
                  <c:v>23.718592964824122</c:v>
                </c:pt>
                <c:pt idx="119">
                  <c:v>23.91959798994975</c:v>
                </c:pt>
                <c:pt idx="120">
                  <c:v>24.120603015075378</c:v>
                </c:pt>
                <c:pt idx="121">
                  <c:v>24.321608040201006</c:v>
                </c:pt>
                <c:pt idx="122">
                  <c:v>24.522613065326635</c:v>
                </c:pt>
                <c:pt idx="123">
                  <c:v>24.723618090452263</c:v>
                </c:pt>
                <c:pt idx="124">
                  <c:v>24.924623115577891</c:v>
                </c:pt>
                <c:pt idx="125">
                  <c:v>25.125628140703519</c:v>
                </c:pt>
                <c:pt idx="126">
                  <c:v>25.326633165829147</c:v>
                </c:pt>
                <c:pt idx="127">
                  <c:v>25.527638190954775</c:v>
                </c:pt>
                <c:pt idx="128">
                  <c:v>25.728643216080403</c:v>
                </c:pt>
                <c:pt idx="129">
                  <c:v>25.929648241206031</c:v>
                </c:pt>
                <c:pt idx="130">
                  <c:v>26.13065326633166</c:v>
                </c:pt>
                <c:pt idx="131">
                  <c:v>26.331658291457288</c:v>
                </c:pt>
                <c:pt idx="132">
                  <c:v>26.532663316582916</c:v>
                </c:pt>
                <c:pt idx="133">
                  <c:v>26.733668341708544</c:v>
                </c:pt>
                <c:pt idx="134">
                  <c:v>26.934673366834172</c:v>
                </c:pt>
                <c:pt idx="135">
                  <c:v>27.1356783919598</c:v>
                </c:pt>
                <c:pt idx="136">
                  <c:v>27.336683417085428</c:v>
                </c:pt>
                <c:pt idx="137">
                  <c:v>27.537688442211056</c:v>
                </c:pt>
                <c:pt idx="138">
                  <c:v>27.738693467336685</c:v>
                </c:pt>
                <c:pt idx="139">
                  <c:v>27.939698492462313</c:v>
                </c:pt>
                <c:pt idx="140">
                  <c:v>28.140703517587941</c:v>
                </c:pt>
                <c:pt idx="141">
                  <c:v>28.341708542713569</c:v>
                </c:pt>
                <c:pt idx="142">
                  <c:v>28.542713567839197</c:v>
                </c:pt>
                <c:pt idx="143">
                  <c:v>28.743718592964825</c:v>
                </c:pt>
                <c:pt idx="144">
                  <c:v>28.944723618090453</c:v>
                </c:pt>
                <c:pt idx="145">
                  <c:v>29.145728643216081</c:v>
                </c:pt>
                <c:pt idx="146">
                  <c:v>29.346733668341709</c:v>
                </c:pt>
                <c:pt idx="147">
                  <c:v>29.547738693467338</c:v>
                </c:pt>
                <c:pt idx="148">
                  <c:v>29.748743718592966</c:v>
                </c:pt>
                <c:pt idx="149">
                  <c:v>29.949748743718594</c:v>
                </c:pt>
                <c:pt idx="150">
                  <c:v>30.150753768844222</c:v>
                </c:pt>
                <c:pt idx="151">
                  <c:v>30.35175879396985</c:v>
                </c:pt>
                <c:pt idx="152">
                  <c:v>30.552763819095478</c:v>
                </c:pt>
                <c:pt idx="153">
                  <c:v>30.753768844221106</c:v>
                </c:pt>
                <c:pt idx="154">
                  <c:v>30.954773869346734</c:v>
                </c:pt>
                <c:pt idx="155">
                  <c:v>31.155778894472363</c:v>
                </c:pt>
                <c:pt idx="156">
                  <c:v>31.356783919597991</c:v>
                </c:pt>
                <c:pt idx="157">
                  <c:v>31.557788944723619</c:v>
                </c:pt>
                <c:pt idx="158">
                  <c:v>31.758793969849247</c:v>
                </c:pt>
                <c:pt idx="159">
                  <c:v>31.959798994974875</c:v>
                </c:pt>
                <c:pt idx="160">
                  <c:v>32.160804020100507</c:v>
                </c:pt>
                <c:pt idx="161">
                  <c:v>32.361809045226138</c:v>
                </c:pt>
                <c:pt idx="162">
                  <c:v>32.56281407035177</c:v>
                </c:pt>
                <c:pt idx="163">
                  <c:v>32.763819095477402</c:v>
                </c:pt>
                <c:pt idx="164">
                  <c:v>32.964824120603033</c:v>
                </c:pt>
                <c:pt idx="165">
                  <c:v>33.165829145728665</c:v>
                </c:pt>
                <c:pt idx="166">
                  <c:v>33.366834170854297</c:v>
                </c:pt>
                <c:pt idx="167">
                  <c:v>33.567839195979928</c:v>
                </c:pt>
                <c:pt idx="168">
                  <c:v>33.76884422110556</c:v>
                </c:pt>
                <c:pt idx="169">
                  <c:v>33.969849246231192</c:v>
                </c:pt>
                <c:pt idx="170">
                  <c:v>34.170854271356824</c:v>
                </c:pt>
                <c:pt idx="171">
                  <c:v>34.371859296482455</c:v>
                </c:pt>
                <c:pt idx="172">
                  <c:v>34.572864321608087</c:v>
                </c:pt>
                <c:pt idx="173">
                  <c:v>34.773869346733719</c:v>
                </c:pt>
                <c:pt idx="174">
                  <c:v>34.97487437185935</c:v>
                </c:pt>
                <c:pt idx="175">
                  <c:v>35.175879396984982</c:v>
                </c:pt>
                <c:pt idx="176">
                  <c:v>35.376884422110614</c:v>
                </c:pt>
                <c:pt idx="177">
                  <c:v>35.577889447236245</c:v>
                </c:pt>
                <c:pt idx="178">
                  <c:v>35.778894472361877</c:v>
                </c:pt>
                <c:pt idx="179">
                  <c:v>35.979899497487509</c:v>
                </c:pt>
                <c:pt idx="180">
                  <c:v>36.18090452261314</c:v>
                </c:pt>
                <c:pt idx="181">
                  <c:v>36.381909547738772</c:v>
                </c:pt>
                <c:pt idx="182">
                  <c:v>36.582914572864404</c:v>
                </c:pt>
                <c:pt idx="183">
                  <c:v>36.783919597990035</c:v>
                </c:pt>
                <c:pt idx="184">
                  <c:v>36.984924623115667</c:v>
                </c:pt>
                <c:pt idx="185">
                  <c:v>37.185929648241299</c:v>
                </c:pt>
                <c:pt idx="186">
                  <c:v>37.38693467336693</c:v>
                </c:pt>
                <c:pt idx="187">
                  <c:v>37.587939698492562</c:v>
                </c:pt>
                <c:pt idx="188">
                  <c:v>37.788944723618194</c:v>
                </c:pt>
                <c:pt idx="189">
                  <c:v>37.989949748743825</c:v>
                </c:pt>
                <c:pt idx="190">
                  <c:v>38.190954773869457</c:v>
                </c:pt>
                <c:pt idx="191">
                  <c:v>38.391959798995089</c:v>
                </c:pt>
                <c:pt idx="192">
                  <c:v>38.59296482412072</c:v>
                </c:pt>
                <c:pt idx="193">
                  <c:v>38.793969849246352</c:v>
                </c:pt>
                <c:pt idx="194">
                  <c:v>38.994974874371984</c:v>
                </c:pt>
                <c:pt idx="195">
                  <c:v>39.195979899497615</c:v>
                </c:pt>
                <c:pt idx="196">
                  <c:v>39.396984924623247</c:v>
                </c:pt>
                <c:pt idx="197">
                  <c:v>39.597989949748879</c:v>
                </c:pt>
                <c:pt idx="198">
                  <c:v>39.79899497487451</c:v>
                </c:pt>
                <c:pt idx="199">
                  <c:v>40.000000000000142</c:v>
                </c:pt>
              </c:numCache>
            </c:numRef>
          </c:xVal>
          <c:yVal>
            <c:numRef>
              <c:f>MOVING_RANGE!$S$45:$S$244</c:f>
              <c:numCache>
                <c:formatCode>General</c:formatCode>
                <c:ptCount val="200"/>
                <c:pt idx="0">
                  <c:v>0.18052760265209855</c:v>
                </c:pt>
                <c:pt idx="1">
                  <c:v>0.18052760265209855</c:v>
                </c:pt>
                <c:pt idx="2">
                  <c:v>0.18052760265209855</c:v>
                </c:pt>
                <c:pt idx="3">
                  <c:v>0.18052760265209855</c:v>
                </c:pt>
                <c:pt idx="4">
                  <c:v>0.18052760265209855</c:v>
                </c:pt>
                <c:pt idx="5">
                  <c:v>0.18052760265209855</c:v>
                </c:pt>
                <c:pt idx="6">
                  <c:v>0.18052760265209855</c:v>
                </c:pt>
                <c:pt idx="7">
                  <c:v>0.18052760265209855</c:v>
                </c:pt>
                <c:pt idx="8">
                  <c:v>0.18052760265209855</c:v>
                </c:pt>
                <c:pt idx="9">
                  <c:v>0.18052760265209855</c:v>
                </c:pt>
                <c:pt idx="10">
                  <c:v>0.18052760265209855</c:v>
                </c:pt>
                <c:pt idx="11">
                  <c:v>0.18052760265209855</c:v>
                </c:pt>
                <c:pt idx="12">
                  <c:v>0.18052760265209855</c:v>
                </c:pt>
                <c:pt idx="13">
                  <c:v>0.18052760265209855</c:v>
                </c:pt>
                <c:pt idx="14">
                  <c:v>0.18052760265209855</c:v>
                </c:pt>
                <c:pt idx="15">
                  <c:v>0.18052760265209855</c:v>
                </c:pt>
                <c:pt idx="16">
                  <c:v>0.18052760265209855</c:v>
                </c:pt>
                <c:pt idx="17">
                  <c:v>0.18052760265209855</c:v>
                </c:pt>
                <c:pt idx="18">
                  <c:v>0.18052760265209855</c:v>
                </c:pt>
                <c:pt idx="19">
                  <c:v>0.18052760265209855</c:v>
                </c:pt>
                <c:pt idx="20">
                  <c:v>0.18052760265209855</c:v>
                </c:pt>
                <c:pt idx="21">
                  <c:v>0.18052760265209855</c:v>
                </c:pt>
                <c:pt idx="22">
                  <c:v>0.18052760265209855</c:v>
                </c:pt>
                <c:pt idx="23">
                  <c:v>0.18052760265209855</c:v>
                </c:pt>
                <c:pt idx="24">
                  <c:v>0.18052760265209855</c:v>
                </c:pt>
                <c:pt idx="25">
                  <c:v>0.18052760265209855</c:v>
                </c:pt>
                <c:pt idx="26">
                  <c:v>0.18052760265209855</c:v>
                </c:pt>
                <c:pt idx="27">
                  <c:v>0.18052760265209855</c:v>
                </c:pt>
                <c:pt idx="28">
                  <c:v>0.18052760265209855</c:v>
                </c:pt>
                <c:pt idx="29">
                  <c:v>0.18052760265209855</c:v>
                </c:pt>
                <c:pt idx="30">
                  <c:v>0.18052760265209855</c:v>
                </c:pt>
                <c:pt idx="31">
                  <c:v>0.18052760265209855</c:v>
                </c:pt>
                <c:pt idx="32">
                  <c:v>0.18052760265209855</c:v>
                </c:pt>
                <c:pt idx="33">
                  <c:v>0.18052760265209855</c:v>
                </c:pt>
                <c:pt idx="34">
                  <c:v>0.18052760265209855</c:v>
                </c:pt>
                <c:pt idx="35">
                  <c:v>0.18052760265209855</c:v>
                </c:pt>
                <c:pt idx="36">
                  <c:v>0.18052760265209855</c:v>
                </c:pt>
                <c:pt idx="37">
                  <c:v>0.18052760265209855</c:v>
                </c:pt>
                <c:pt idx="38">
                  <c:v>0.18052760265209855</c:v>
                </c:pt>
                <c:pt idx="39">
                  <c:v>0.18052760265209855</c:v>
                </c:pt>
                <c:pt idx="40">
                  <c:v>0.18052760265209855</c:v>
                </c:pt>
                <c:pt idx="41">
                  <c:v>0.18052760265209855</c:v>
                </c:pt>
                <c:pt idx="42">
                  <c:v>0.18052760265209855</c:v>
                </c:pt>
                <c:pt idx="43">
                  <c:v>0.18052760265209855</c:v>
                </c:pt>
                <c:pt idx="44">
                  <c:v>0.18052760265209855</c:v>
                </c:pt>
                <c:pt idx="45">
                  <c:v>0.18052760265209855</c:v>
                </c:pt>
                <c:pt idx="46">
                  <c:v>0.18052760265209855</c:v>
                </c:pt>
                <c:pt idx="47">
                  <c:v>0.18052760265209855</c:v>
                </c:pt>
                <c:pt idx="48">
                  <c:v>0.18052760265209855</c:v>
                </c:pt>
                <c:pt idx="49">
                  <c:v>0.18052760265209855</c:v>
                </c:pt>
                <c:pt idx="50">
                  <c:v>0.18052760265209855</c:v>
                </c:pt>
                <c:pt idx="51">
                  <c:v>0.18052760265209855</c:v>
                </c:pt>
                <c:pt idx="52">
                  <c:v>0.18052760265209855</c:v>
                </c:pt>
                <c:pt idx="53">
                  <c:v>0.18052760265209855</c:v>
                </c:pt>
                <c:pt idx="54">
                  <c:v>0.18052760265209855</c:v>
                </c:pt>
                <c:pt idx="55">
                  <c:v>0.18052760265209855</c:v>
                </c:pt>
                <c:pt idx="56">
                  <c:v>0.18052760265209855</c:v>
                </c:pt>
                <c:pt idx="57">
                  <c:v>0.18052760265209855</c:v>
                </c:pt>
                <c:pt idx="58">
                  <c:v>0.18052760265209855</c:v>
                </c:pt>
                <c:pt idx="59">
                  <c:v>0.18052760265209855</c:v>
                </c:pt>
                <c:pt idx="60">
                  <c:v>0.18052760265209855</c:v>
                </c:pt>
                <c:pt idx="61">
                  <c:v>0.18052760265209855</c:v>
                </c:pt>
                <c:pt idx="62">
                  <c:v>0.18052760265209855</c:v>
                </c:pt>
                <c:pt idx="63">
                  <c:v>0.18052760265209855</c:v>
                </c:pt>
                <c:pt idx="64">
                  <c:v>0.18052760265209855</c:v>
                </c:pt>
                <c:pt idx="65">
                  <c:v>0.18052760265209855</c:v>
                </c:pt>
                <c:pt idx="66">
                  <c:v>0.18052760265209855</c:v>
                </c:pt>
                <c:pt idx="67">
                  <c:v>0.18052760265209855</c:v>
                </c:pt>
                <c:pt idx="68">
                  <c:v>0.18052760265209855</c:v>
                </c:pt>
                <c:pt idx="69">
                  <c:v>0.18052760265209855</c:v>
                </c:pt>
                <c:pt idx="70">
                  <c:v>0.18052760265209855</c:v>
                </c:pt>
                <c:pt idx="71">
                  <c:v>0.18052760265209855</c:v>
                </c:pt>
                <c:pt idx="72">
                  <c:v>0.18052760265209855</c:v>
                </c:pt>
                <c:pt idx="73">
                  <c:v>0.18052760265209855</c:v>
                </c:pt>
                <c:pt idx="74">
                  <c:v>0.18052760265209855</c:v>
                </c:pt>
                <c:pt idx="75">
                  <c:v>0.18052760265209855</c:v>
                </c:pt>
                <c:pt idx="76">
                  <c:v>0.18052760265209855</c:v>
                </c:pt>
                <c:pt idx="77">
                  <c:v>0.18052760265209855</c:v>
                </c:pt>
                <c:pt idx="78">
                  <c:v>0.18052760265209855</c:v>
                </c:pt>
                <c:pt idx="79">
                  <c:v>0.18052760265209855</c:v>
                </c:pt>
                <c:pt idx="80">
                  <c:v>0.18052760265209855</c:v>
                </c:pt>
                <c:pt idx="81">
                  <c:v>0.18052760265209855</c:v>
                </c:pt>
                <c:pt idx="82">
                  <c:v>0.18052760265209855</c:v>
                </c:pt>
                <c:pt idx="83">
                  <c:v>0.18052760265209855</c:v>
                </c:pt>
                <c:pt idx="84">
                  <c:v>0.18052760265209855</c:v>
                </c:pt>
                <c:pt idx="85">
                  <c:v>0.18052760265209855</c:v>
                </c:pt>
                <c:pt idx="86">
                  <c:v>0.18052760265209855</c:v>
                </c:pt>
                <c:pt idx="87">
                  <c:v>0.18052760265209855</c:v>
                </c:pt>
                <c:pt idx="88">
                  <c:v>0.18052760265209855</c:v>
                </c:pt>
                <c:pt idx="89">
                  <c:v>0.18052760265209855</c:v>
                </c:pt>
                <c:pt idx="90">
                  <c:v>0.18052760265209855</c:v>
                </c:pt>
                <c:pt idx="91">
                  <c:v>0.18052760265209855</c:v>
                </c:pt>
                <c:pt idx="92">
                  <c:v>0.18052760265209855</c:v>
                </c:pt>
                <c:pt idx="93">
                  <c:v>0.18052760265209855</c:v>
                </c:pt>
                <c:pt idx="94">
                  <c:v>0.18052760265209855</c:v>
                </c:pt>
                <c:pt idx="95">
                  <c:v>0.18052760265209855</c:v>
                </c:pt>
                <c:pt idx="96">
                  <c:v>0.18052760265209855</c:v>
                </c:pt>
                <c:pt idx="97">
                  <c:v>0.18052760265209855</c:v>
                </c:pt>
                <c:pt idx="98">
                  <c:v>0.18052760265209855</c:v>
                </c:pt>
                <c:pt idx="99">
                  <c:v>0.18052760265209855</c:v>
                </c:pt>
                <c:pt idx="100">
                  <c:v>0.18052760265209855</c:v>
                </c:pt>
                <c:pt idx="101">
                  <c:v>0.18052760265209855</c:v>
                </c:pt>
                <c:pt idx="102">
                  <c:v>0.18052760265209855</c:v>
                </c:pt>
                <c:pt idx="103">
                  <c:v>0.18052760265209855</c:v>
                </c:pt>
                <c:pt idx="104">
                  <c:v>0.18052760265209855</c:v>
                </c:pt>
                <c:pt idx="105">
                  <c:v>0.18052760265209855</c:v>
                </c:pt>
                <c:pt idx="106">
                  <c:v>0.18052760265209855</c:v>
                </c:pt>
                <c:pt idx="107">
                  <c:v>0.18052760265209855</c:v>
                </c:pt>
                <c:pt idx="108">
                  <c:v>0.18052760265209855</c:v>
                </c:pt>
                <c:pt idx="109">
                  <c:v>0.18052760265209855</c:v>
                </c:pt>
                <c:pt idx="110">
                  <c:v>0.18052760265209855</c:v>
                </c:pt>
                <c:pt idx="111">
                  <c:v>0.18052760265209855</c:v>
                </c:pt>
                <c:pt idx="112">
                  <c:v>0.18052760265209855</c:v>
                </c:pt>
                <c:pt idx="113">
                  <c:v>0.18052760265209855</c:v>
                </c:pt>
                <c:pt idx="114">
                  <c:v>0.18052760265209855</c:v>
                </c:pt>
                <c:pt idx="115">
                  <c:v>0.18052760265209855</c:v>
                </c:pt>
                <c:pt idx="116">
                  <c:v>0.18052760265209855</c:v>
                </c:pt>
                <c:pt idx="117">
                  <c:v>0.18052760265209855</c:v>
                </c:pt>
                <c:pt idx="118">
                  <c:v>0.18052760265209855</c:v>
                </c:pt>
                <c:pt idx="119">
                  <c:v>0.18052760265209855</c:v>
                </c:pt>
                <c:pt idx="120">
                  <c:v>0.18052760265209855</c:v>
                </c:pt>
                <c:pt idx="121">
                  <c:v>0.18052760265209855</c:v>
                </c:pt>
                <c:pt idx="122">
                  <c:v>0.18052760265209855</c:v>
                </c:pt>
                <c:pt idx="123">
                  <c:v>0.18052760265209855</c:v>
                </c:pt>
                <c:pt idx="124">
                  <c:v>0.18052760265209855</c:v>
                </c:pt>
                <c:pt idx="125">
                  <c:v>0.18052760265209855</c:v>
                </c:pt>
                <c:pt idx="126">
                  <c:v>0.18052760265209855</c:v>
                </c:pt>
                <c:pt idx="127">
                  <c:v>0.18052760265209855</c:v>
                </c:pt>
                <c:pt idx="128">
                  <c:v>0.18052760265209855</c:v>
                </c:pt>
                <c:pt idx="129">
                  <c:v>0.18052760265209855</c:v>
                </c:pt>
                <c:pt idx="130">
                  <c:v>0.18052760265209855</c:v>
                </c:pt>
                <c:pt idx="131">
                  <c:v>0.18052760265209855</c:v>
                </c:pt>
                <c:pt idx="132">
                  <c:v>0.18052760265209855</c:v>
                </c:pt>
                <c:pt idx="133">
                  <c:v>0.18052760265209855</c:v>
                </c:pt>
                <c:pt idx="134">
                  <c:v>0.18052760265209855</c:v>
                </c:pt>
                <c:pt idx="135">
                  <c:v>0.18052760265209855</c:v>
                </c:pt>
                <c:pt idx="136">
                  <c:v>0.18052760265209855</c:v>
                </c:pt>
                <c:pt idx="137">
                  <c:v>0.18052760265209855</c:v>
                </c:pt>
                <c:pt idx="138">
                  <c:v>0.18052760265209855</c:v>
                </c:pt>
                <c:pt idx="139">
                  <c:v>0.18052760265209855</c:v>
                </c:pt>
                <c:pt idx="140">
                  <c:v>0.18052760265209855</c:v>
                </c:pt>
                <c:pt idx="141">
                  <c:v>0.18052760265209855</c:v>
                </c:pt>
                <c:pt idx="142">
                  <c:v>0.18052760265209855</c:v>
                </c:pt>
                <c:pt idx="143">
                  <c:v>0.18052760265209855</c:v>
                </c:pt>
                <c:pt idx="144">
                  <c:v>0.18052760265209855</c:v>
                </c:pt>
                <c:pt idx="145">
                  <c:v>0.18052760265209855</c:v>
                </c:pt>
                <c:pt idx="146">
                  <c:v>0.18052760265209855</c:v>
                </c:pt>
                <c:pt idx="147">
                  <c:v>0.18052760265209855</c:v>
                </c:pt>
                <c:pt idx="148">
                  <c:v>0.18052760265209855</c:v>
                </c:pt>
                <c:pt idx="149">
                  <c:v>0.18052760265209855</c:v>
                </c:pt>
                <c:pt idx="150">
                  <c:v>0.18052760265209855</c:v>
                </c:pt>
                <c:pt idx="151">
                  <c:v>0.18052760265209855</c:v>
                </c:pt>
                <c:pt idx="152">
                  <c:v>0.18052760265209855</c:v>
                </c:pt>
                <c:pt idx="153">
                  <c:v>0.18052760265209855</c:v>
                </c:pt>
                <c:pt idx="154">
                  <c:v>0.18052760265209855</c:v>
                </c:pt>
                <c:pt idx="155">
                  <c:v>0.18052760265209855</c:v>
                </c:pt>
                <c:pt idx="156">
                  <c:v>0.18052760265209855</c:v>
                </c:pt>
                <c:pt idx="157">
                  <c:v>0.18052760265209855</c:v>
                </c:pt>
                <c:pt idx="158">
                  <c:v>0.18052760265209855</c:v>
                </c:pt>
                <c:pt idx="159">
                  <c:v>0.18052760265209855</c:v>
                </c:pt>
                <c:pt idx="160">
                  <c:v>0.18052760265209855</c:v>
                </c:pt>
                <c:pt idx="161">
                  <c:v>0.18052760265209855</c:v>
                </c:pt>
                <c:pt idx="162">
                  <c:v>0.18052760265209855</c:v>
                </c:pt>
                <c:pt idx="163">
                  <c:v>0.18052760265209855</c:v>
                </c:pt>
                <c:pt idx="164">
                  <c:v>0.18052760265209855</c:v>
                </c:pt>
                <c:pt idx="165">
                  <c:v>0.18052760265209855</c:v>
                </c:pt>
                <c:pt idx="166">
                  <c:v>0.18052760265209855</c:v>
                </c:pt>
                <c:pt idx="167">
                  <c:v>0.18052760265209855</c:v>
                </c:pt>
                <c:pt idx="168">
                  <c:v>0.18052760265209855</c:v>
                </c:pt>
                <c:pt idx="169">
                  <c:v>0.18052760265209855</c:v>
                </c:pt>
                <c:pt idx="170">
                  <c:v>0.18052760265209855</c:v>
                </c:pt>
                <c:pt idx="171">
                  <c:v>0.18052760265209855</c:v>
                </c:pt>
                <c:pt idx="172">
                  <c:v>0.18052760265209855</c:v>
                </c:pt>
                <c:pt idx="173">
                  <c:v>0.18052760265209855</c:v>
                </c:pt>
                <c:pt idx="174">
                  <c:v>0.18052760265209855</c:v>
                </c:pt>
                <c:pt idx="175">
                  <c:v>0.18052760265209855</c:v>
                </c:pt>
                <c:pt idx="176">
                  <c:v>0.18052760265209855</c:v>
                </c:pt>
                <c:pt idx="177">
                  <c:v>0.18052760265209855</c:v>
                </c:pt>
                <c:pt idx="178">
                  <c:v>0.18052760265209855</c:v>
                </c:pt>
                <c:pt idx="179">
                  <c:v>0.18052760265209855</c:v>
                </c:pt>
                <c:pt idx="180">
                  <c:v>0.18052760265209855</c:v>
                </c:pt>
                <c:pt idx="181">
                  <c:v>0.18052760265209855</c:v>
                </c:pt>
                <c:pt idx="182">
                  <c:v>0.18052760265209855</c:v>
                </c:pt>
                <c:pt idx="183">
                  <c:v>0.18052760265209855</c:v>
                </c:pt>
                <c:pt idx="184">
                  <c:v>0.18052760265209855</c:v>
                </c:pt>
                <c:pt idx="185">
                  <c:v>0.18052760265209855</c:v>
                </c:pt>
                <c:pt idx="186">
                  <c:v>0.18052760265209855</c:v>
                </c:pt>
                <c:pt idx="187">
                  <c:v>0.18052760265209855</c:v>
                </c:pt>
                <c:pt idx="188">
                  <c:v>0.18052760265209855</c:v>
                </c:pt>
                <c:pt idx="189">
                  <c:v>0.18052760265209855</c:v>
                </c:pt>
                <c:pt idx="190">
                  <c:v>0.18052760265209855</c:v>
                </c:pt>
                <c:pt idx="191">
                  <c:v>0.18052760265209855</c:v>
                </c:pt>
                <c:pt idx="192">
                  <c:v>0.18052760265209855</c:v>
                </c:pt>
                <c:pt idx="193">
                  <c:v>0.18052760265209855</c:v>
                </c:pt>
                <c:pt idx="194">
                  <c:v>0.18052760265209855</c:v>
                </c:pt>
                <c:pt idx="195">
                  <c:v>0.18052760265209855</c:v>
                </c:pt>
                <c:pt idx="196">
                  <c:v>0.18052760265209855</c:v>
                </c:pt>
                <c:pt idx="197">
                  <c:v>0.18052760265209855</c:v>
                </c:pt>
                <c:pt idx="198">
                  <c:v>0.18052760265209855</c:v>
                </c:pt>
                <c:pt idx="199">
                  <c:v>0.18052760265209855</c:v>
                </c:pt>
              </c:numCache>
            </c:numRef>
          </c:yVal>
          <c:smooth val="0"/>
          <c:extLst>
            <c:ext xmlns:c16="http://schemas.microsoft.com/office/drawing/2014/chart" uri="{C3380CC4-5D6E-409C-BE32-E72D297353CC}">
              <c16:uniqueId val="{00000002-EB17-4A63-8477-79426C66A083}"/>
            </c:ext>
          </c:extLst>
        </c:ser>
        <c:dLbls>
          <c:showLegendKey val="0"/>
          <c:showVal val="0"/>
          <c:showCatName val="0"/>
          <c:showSerName val="0"/>
          <c:showPercent val="0"/>
          <c:showBubbleSize val="0"/>
        </c:dLbls>
        <c:axId val="1344977328"/>
        <c:axId val="1344974928"/>
      </c:scatterChart>
      <c:valAx>
        <c:axId val="1344977328"/>
        <c:scaling>
          <c:orientation val="minMax"/>
        </c:scaling>
        <c:delete val="0"/>
        <c:axPos val="b"/>
        <c:majorGridlines>
          <c:spPr>
            <a:ln w="9525" cap="flat" cmpd="sng" algn="ctr">
              <a:solidFill>
                <a:schemeClr val="bg1">
                  <a:lumMod val="9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4928"/>
        <c:crosses val="autoZero"/>
        <c:crossBetween val="midCat"/>
      </c:valAx>
      <c:valAx>
        <c:axId val="1344974928"/>
        <c:scaling>
          <c:orientation val="minMax"/>
        </c:scaling>
        <c:delete val="0"/>
        <c:axPos val="l"/>
        <c:majorGridlines>
          <c:spPr>
            <a:ln w="9525" cap="flat" cmpd="sng" algn="ctr">
              <a:solidFill>
                <a:schemeClr val="bg1">
                  <a:lumMod val="9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344977328"/>
        <c:crosses val="autoZero"/>
        <c:crossBetween val="midCat"/>
      </c:valAx>
      <c:spPr>
        <a:noFill/>
        <a:ln>
          <a:solidFill>
            <a:schemeClr val="bg1">
              <a:lumMod val="8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102.12872138714083</c:v>
                </c:pt>
                <c:pt idx="1">
                  <c:v>102.017405706828</c:v>
                </c:pt>
                <c:pt idx="2">
                  <c:v>101.94734115516515</c:v>
                </c:pt>
                <c:pt idx="3">
                  <c:v>101.83416773236668</c:v>
                </c:pt>
                <c:pt idx="4">
                  <c:v>102.12631611732147</c:v>
                </c:pt>
                <c:pt idx="5">
                  <c:v>102.06271809963353</c:v>
                </c:pt>
                <c:pt idx="6">
                  <c:v>101.9134456038484</c:v>
                </c:pt>
                <c:pt idx="7">
                  <c:v>101.9089649084539</c:v>
                </c:pt>
                <c:pt idx="8">
                  <c:v>101.89388407010613</c:v>
                </c:pt>
                <c:pt idx="9">
                  <c:v>101.45763736836221</c:v>
                </c:pt>
                <c:pt idx="10">
                  <c:v>101.90150131707755</c:v>
                </c:pt>
                <c:pt idx="11">
                  <c:v>101.89730622981993</c:v>
                </c:pt>
                <c:pt idx="12">
                  <c:v>101.77705093345919</c:v>
                </c:pt>
                <c:pt idx="13">
                  <c:v>102.01980124499519</c:v>
                </c:pt>
                <c:pt idx="14">
                  <c:v>101.71764480526409</c:v>
                </c:pt>
                <c:pt idx="15">
                  <c:v>101.74703601046697</c:v>
                </c:pt>
                <c:pt idx="16">
                  <c:v>101.63009568005566</c:v>
                </c:pt>
                <c:pt idx="17">
                  <c:v>98.687667380919109</c:v>
                </c:pt>
                <c:pt idx="18">
                  <c:v>98.364419864539656</c:v>
                </c:pt>
                <c:pt idx="19">
                  <c:v>98.4879914304924</c:v>
                </c:pt>
                <c:pt idx="20">
                  <c:v>98.488855983673147</c:v>
                </c:pt>
                <c:pt idx="21">
                  <c:v>97.950414630822948</c:v>
                </c:pt>
                <c:pt idx="22">
                  <c:v>98.370962551161099</c:v>
                </c:pt>
                <c:pt idx="23">
                  <c:v>98.618852676180978</c:v>
                </c:pt>
                <c:pt idx="24">
                  <c:v>98.181980480282704</c:v>
                </c:pt>
                <c:pt idx="25">
                  <c:v>98.488553991620094</c:v>
                </c:pt>
                <c:pt idx="26">
                  <c:v>98.152758113997436</c:v>
                </c:pt>
                <c:pt idx="27">
                  <c:v>98.638794583801399</c:v>
                </c:pt>
                <c:pt idx="28">
                  <c:v>98.195933910907087</c:v>
                </c:pt>
                <c:pt idx="29">
                  <c:v>98.312227804697002</c:v>
                </c:pt>
                <c:pt idx="30">
                  <c:v>98.436834213200214</c:v>
                </c:pt>
                <c:pt idx="31">
                  <c:v>98.349188606807715</c:v>
                </c:pt>
                <c:pt idx="32">
                  <c:v>98.380205123947562</c:v>
                </c:pt>
                <c:pt idx="33">
                  <c:v>98.475793468232666</c:v>
                </c:pt>
                <c:pt idx="34">
                  <c:v>101.30733954576171</c:v>
                </c:pt>
                <c:pt idx="35">
                  <c:v>101.607717786729</c:v>
                </c:pt>
                <c:pt idx="36">
                  <c:v>101.87636354821406</c:v>
                </c:pt>
                <c:pt idx="37">
                  <c:v>101.37760595679036</c:v>
                </c:pt>
                <c:pt idx="38">
                  <c:v>101.37453363947822</c:v>
                </c:pt>
                <c:pt idx="39">
                  <c:v>101.64654695994344</c:v>
                </c:pt>
                <c:pt idx="40">
                  <c:v>101.69014736051882</c:v>
                </c:pt>
                <c:pt idx="41">
                  <c:v>101.53989867512161</c:v>
                </c:pt>
                <c:pt idx="42">
                  <c:v>101.17620407924194</c:v>
                </c:pt>
                <c:pt idx="43">
                  <c:v>101.44534080091162</c:v>
                </c:pt>
                <c:pt idx="44">
                  <c:v>101.61007376694485</c:v>
                </c:pt>
                <c:pt idx="45">
                  <c:v>101.5523788358658</c:v>
                </c:pt>
                <c:pt idx="46">
                  <c:v>101.14400206056251</c:v>
                </c:pt>
                <c:pt idx="47">
                  <c:v>101.36972403003625</c:v>
                </c:pt>
                <c:pt idx="48">
                  <c:v>101.82800220314719</c:v>
                </c:pt>
                <c:pt idx="49">
                  <c:v>101.64770753838944</c:v>
                </c:pt>
                <c:pt idx="50">
                  <c:v>98.618731139146504</c:v>
                </c:pt>
                <c:pt idx="51">
                  <c:v>98.561893153077449</c:v>
                </c:pt>
                <c:pt idx="52">
                  <c:v>98.644037994968642</c:v>
                </c:pt>
                <c:pt idx="53">
                  <c:v>98.373034009168563</c:v>
                </c:pt>
                <c:pt idx="54">
                  <c:v>98.937419846098308</c:v>
                </c:pt>
                <c:pt idx="55">
                  <c:v>98.570260922783191</c:v>
                </c:pt>
                <c:pt idx="56">
                  <c:v>98.606805009390598</c:v>
                </c:pt>
                <c:pt idx="57">
                  <c:v>98.757904728633733</c:v>
                </c:pt>
                <c:pt idx="58">
                  <c:v>98.756159320116254</c:v>
                </c:pt>
                <c:pt idx="59">
                  <c:v>98.724833104993337</c:v>
                </c:pt>
                <c:pt idx="60">
                  <c:v>98.613096451076771</c:v>
                </c:pt>
                <c:pt idx="61">
                  <c:v>99.048478847212778</c:v>
                </c:pt>
                <c:pt idx="62">
                  <c:v>99.087047321181373</c:v>
                </c:pt>
                <c:pt idx="63">
                  <c:v>98.53957777136624</c:v>
                </c:pt>
                <c:pt idx="64">
                  <c:v>98.869937775279823</c:v>
                </c:pt>
                <c:pt idx="65">
                  <c:v>98.495913406066663</c:v>
                </c:pt>
                <c:pt idx="66">
                  <c:v>99.231338023547949</c:v>
                </c:pt>
                <c:pt idx="67">
                  <c:v>101.22280451421102</c:v>
                </c:pt>
                <c:pt idx="68">
                  <c:v>101.14721428946366</c:v>
                </c:pt>
                <c:pt idx="69">
                  <c:v>101.23824994087185</c:v>
                </c:pt>
                <c:pt idx="70">
                  <c:v>101.15344689748409</c:v>
                </c:pt>
                <c:pt idx="71">
                  <c:v>101.15313604660098</c:v>
                </c:pt>
                <c:pt idx="72">
                  <c:v>100.6437430388965</c:v>
                </c:pt>
                <c:pt idx="73">
                  <c:v>101.27558487019165</c:v>
                </c:pt>
                <c:pt idx="74">
                  <c:v>101.0586979123178</c:v>
                </c:pt>
                <c:pt idx="75">
                  <c:v>100.9923981434104</c:v>
                </c:pt>
                <c:pt idx="76">
                  <c:v>101.31060513377389</c:v>
                </c:pt>
                <c:pt idx="77">
                  <c:v>101.53034394500891</c:v>
                </c:pt>
                <c:pt idx="78">
                  <c:v>100.98752754008778</c:v>
                </c:pt>
                <c:pt idx="79">
                  <c:v>100.83099349570119</c:v>
                </c:pt>
                <c:pt idx="80">
                  <c:v>101.10971254302953</c:v>
                </c:pt>
                <c:pt idx="81">
                  <c:v>101.02475645277021</c:v>
                </c:pt>
                <c:pt idx="82">
                  <c:v>101.17329606395393</c:v>
                </c:pt>
                <c:pt idx="83">
                  <c:v>99.074705520118414</c:v>
                </c:pt>
                <c:pt idx="84">
                  <c:v>99.000150935413302</c:v>
                </c:pt>
                <c:pt idx="85">
                  <c:v>99.004024364991537</c:v>
                </c:pt>
                <c:pt idx="86">
                  <c:v>98.728552232837075</c:v>
                </c:pt>
                <c:pt idx="87">
                  <c:v>98.941054206635556</c:v>
                </c:pt>
                <c:pt idx="88">
                  <c:v>99.011023170583513</c:v>
                </c:pt>
                <c:pt idx="89">
                  <c:v>98.789656101017357</c:v>
                </c:pt>
                <c:pt idx="90">
                  <c:v>98.863885984956283</c:v>
                </c:pt>
                <c:pt idx="91">
                  <c:v>99.294384162026589</c:v>
                </c:pt>
                <c:pt idx="92">
                  <c:v>99.060657590192122</c:v>
                </c:pt>
                <c:pt idx="93">
                  <c:v>99.091807702241482</c:v>
                </c:pt>
                <c:pt idx="94">
                  <c:v>99.215626181092745</c:v>
                </c:pt>
                <c:pt idx="95">
                  <c:v>98.948945780624811</c:v>
                </c:pt>
                <c:pt idx="96">
                  <c:v>99.228022064599557</c:v>
                </c:pt>
                <c:pt idx="97">
                  <c:v>99.016575403375484</c:v>
                </c:pt>
                <c:pt idx="98">
                  <c:v>98.920955694135628</c:v>
                </c:pt>
                <c:pt idx="99">
                  <c:v>99.096689081394658</c:v>
                </c:pt>
                <c:pt idx="100">
                  <c:v>100.58737661306628</c:v>
                </c:pt>
                <c:pt idx="101">
                  <c:v>100.85977991399821</c:v>
                </c:pt>
                <c:pt idx="102">
                  <c:v>101.16321941629755</c:v>
                </c:pt>
                <c:pt idx="103">
                  <c:v>100.74689652473647</c:v>
                </c:pt>
                <c:pt idx="104">
                  <c:v>101.18105807299705</c:v>
                </c:pt>
                <c:pt idx="105">
                  <c:v>100.98317066357984</c:v>
                </c:pt>
                <c:pt idx="106">
                  <c:v>101.04034238878995</c:v>
                </c:pt>
                <c:pt idx="107">
                  <c:v>100.5938523428495</c:v>
                </c:pt>
                <c:pt idx="108">
                  <c:v>100.97679228472707</c:v>
                </c:pt>
                <c:pt idx="109">
                  <c:v>101.19060941592704</c:v>
                </c:pt>
                <c:pt idx="110">
                  <c:v>100.91148565845344</c:v>
                </c:pt>
                <c:pt idx="111">
                  <c:v>100.88710294333652</c:v>
                </c:pt>
                <c:pt idx="112">
                  <c:v>100.92786710556335</c:v>
                </c:pt>
                <c:pt idx="113">
                  <c:v>100.91443087941248</c:v>
                </c:pt>
                <c:pt idx="114">
                  <c:v>101.20271853732187</c:v>
                </c:pt>
                <c:pt idx="115">
                  <c:v>101.11453961661212</c:v>
                </c:pt>
                <c:pt idx="116">
                  <c:v>100.45864689407605</c:v>
                </c:pt>
                <c:pt idx="117">
                  <c:v>99.354274569182863</c:v>
                </c:pt>
                <c:pt idx="118">
                  <c:v>99.437593516095447</c:v>
                </c:pt>
                <c:pt idx="119">
                  <c:v>99.089418098404465</c:v>
                </c:pt>
                <c:pt idx="120">
                  <c:v>98.981794493180686</c:v>
                </c:pt>
                <c:pt idx="121">
                  <c:v>99.77758744943533</c:v>
                </c:pt>
                <c:pt idx="122">
                  <c:v>99.249554069983432</c:v>
                </c:pt>
                <c:pt idx="123">
                  <c:v>99.33308224242397</c:v>
                </c:pt>
                <c:pt idx="124">
                  <c:v>99.266999229838589</c:v>
                </c:pt>
                <c:pt idx="125">
                  <c:v>99.359588817878802</c:v>
                </c:pt>
                <c:pt idx="126">
                  <c:v>99.272845314911407</c:v>
                </c:pt>
                <c:pt idx="127">
                  <c:v>99.130676156944602</c:v>
                </c:pt>
                <c:pt idx="128">
                  <c:v>99.064123052825849</c:v>
                </c:pt>
                <c:pt idx="129">
                  <c:v>98.972666276525317</c:v>
                </c:pt>
                <c:pt idx="130">
                  <c:v>99.190285661719273</c:v>
                </c:pt>
                <c:pt idx="131">
                  <c:v>99.500920789701496</c:v>
                </c:pt>
                <c:pt idx="132">
                  <c:v>99.215901447066472</c:v>
                </c:pt>
                <c:pt idx="133">
                  <c:v>100.62129675259899</c:v>
                </c:pt>
                <c:pt idx="134">
                  <c:v>100.27738802057796</c:v>
                </c:pt>
                <c:pt idx="135">
                  <c:v>100.30159580387287</c:v>
                </c:pt>
                <c:pt idx="136">
                  <c:v>100.74105706208307</c:v>
                </c:pt>
                <c:pt idx="137">
                  <c:v>100.72167925655394</c:v>
                </c:pt>
                <c:pt idx="138">
                  <c:v>100.63352312873387</c:v>
                </c:pt>
                <c:pt idx="139">
                  <c:v>100.61760909288782</c:v>
                </c:pt>
                <c:pt idx="140">
                  <c:v>100.39414564223641</c:v>
                </c:pt>
                <c:pt idx="141">
                  <c:v>100.42172064731906</c:v>
                </c:pt>
                <c:pt idx="142">
                  <c:v>101.03706536610611</c:v>
                </c:pt>
                <c:pt idx="143">
                  <c:v>100.37755560406663</c:v>
                </c:pt>
                <c:pt idx="144">
                  <c:v>100.51809509835905</c:v>
                </c:pt>
                <c:pt idx="145">
                  <c:v>100.68578291068536</c:v>
                </c:pt>
                <c:pt idx="146">
                  <c:v>100.65841485608976</c:v>
                </c:pt>
                <c:pt idx="147">
                  <c:v>100.57852009792214</c:v>
                </c:pt>
                <c:pt idx="148">
                  <c:v>100.39410743276818</c:v>
                </c:pt>
                <c:pt idx="149">
                  <c:v>100.59152504021492</c:v>
                </c:pt>
                <c:pt idx="150">
                  <c:v>99.638670054117355</c:v>
                </c:pt>
                <c:pt idx="151">
                  <c:v>99.339920603391604</c:v>
                </c:pt>
                <c:pt idx="152">
                  <c:v>99.212319966982236</c:v>
                </c:pt>
                <c:pt idx="153">
                  <c:v>99.185006494595797</c:v>
                </c:pt>
                <c:pt idx="154">
                  <c:v>99.774444872306333</c:v>
                </c:pt>
                <c:pt idx="155">
                  <c:v>99.293730097464675</c:v>
                </c:pt>
                <c:pt idx="156">
                  <c:v>99.207298786002781</c:v>
                </c:pt>
                <c:pt idx="157">
                  <c:v>99.398966506765234</c:v>
                </c:pt>
                <c:pt idx="158">
                  <c:v>99.088887039937333</c:v>
                </c:pt>
                <c:pt idx="159">
                  <c:v>99.4060250471844</c:v>
                </c:pt>
                <c:pt idx="160">
                  <c:v>99.335661947592527</c:v>
                </c:pt>
                <c:pt idx="161">
                  <c:v>99.194152905227867</c:v>
                </c:pt>
                <c:pt idx="162">
                  <c:v>99.562078090450498</c:v>
                </c:pt>
                <c:pt idx="163">
                  <c:v>99.238795402811661</c:v>
                </c:pt>
                <c:pt idx="164">
                  <c:v>99.437219071398971</c:v>
                </c:pt>
                <c:pt idx="165">
                  <c:v>99.673542661200827</c:v>
                </c:pt>
                <c:pt idx="166">
                  <c:v>100.86837343107966</c:v>
                </c:pt>
                <c:pt idx="167">
                  <c:v>100.34859388873869</c:v>
                </c:pt>
                <c:pt idx="168">
                  <c:v>100.93635504695786</c:v>
                </c:pt>
                <c:pt idx="169">
                  <c:v>100.68493424194837</c:v>
                </c:pt>
                <c:pt idx="170">
                  <c:v>100.32789650022492</c:v>
                </c:pt>
                <c:pt idx="171">
                  <c:v>100.36382691035158</c:v>
                </c:pt>
                <c:pt idx="172">
                  <c:v>100.50536345159915</c:v>
                </c:pt>
                <c:pt idx="173">
                  <c:v>100.71560589095108</c:v>
                </c:pt>
                <c:pt idx="174">
                  <c:v>100.28755825664526</c:v>
                </c:pt>
                <c:pt idx="175">
                  <c:v>100.73587143186251</c:v>
                </c:pt>
                <c:pt idx="176">
                  <c:v>100.83579414366002</c:v>
                </c:pt>
                <c:pt idx="177">
                  <c:v>100.43143169302476</c:v>
                </c:pt>
                <c:pt idx="178">
                  <c:v>100.5098019270016</c:v>
                </c:pt>
                <c:pt idx="179">
                  <c:v>100.3669151687869</c:v>
                </c:pt>
                <c:pt idx="180">
                  <c:v>100.40147337806536</c:v>
                </c:pt>
                <c:pt idx="181">
                  <c:v>100.37632028784446</c:v>
                </c:pt>
                <c:pt idx="182">
                  <c:v>100.63471850361417</c:v>
                </c:pt>
                <c:pt idx="183">
                  <c:v>99.58042133422363</c:v>
                </c:pt>
                <c:pt idx="184">
                  <c:v>99.363707515064732</c:v>
                </c:pt>
                <c:pt idx="185">
                  <c:v>99.66293590283891</c:v>
                </c:pt>
                <c:pt idx="186">
                  <c:v>99.512604418937656</c:v>
                </c:pt>
                <c:pt idx="187">
                  <c:v>99.573763975620665</c:v>
                </c:pt>
                <c:pt idx="188">
                  <c:v>99.634004862626412</c:v>
                </c:pt>
                <c:pt idx="189">
                  <c:v>99.127851965732148</c:v>
                </c:pt>
                <c:pt idx="190">
                  <c:v>99.677224423141368</c:v>
                </c:pt>
                <c:pt idx="191">
                  <c:v>99.590685299652279</c:v>
                </c:pt>
                <c:pt idx="192">
                  <c:v>99.832144009020624</c:v>
                </c:pt>
                <c:pt idx="193">
                  <c:v>99.727754970225547</c:v>
                </c:pt>
                <c:pt idx="194">
                  <c:v>99.700296649650198</c:v>
                </c:pt>
                <c:pt idx="195">
                  <c:v>99.657889655941318</c:v>
                </c:pt>
                <c:pt idx="196">
                  <c:v>99.715033836613003</c:v>
                </c:pt>
                <c:pt idx="197">
                  <c:v>99.583318181839871</c:v>
                </c:pt>
                <c:pt idx="198">
                  <c:v>99.497675662754688</c:v>
                </c:pt>
                <c:pt idx="199">
                  <c:v>100.51408390481024</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47621</xdr:colOff>
      <xdr:row>256</xdr:row>
      <xdr:rowOff>19050</xdr:rowOff>
    </xdr:from>
    <xdr:to>
      <xdr:col>13</xdr:col>
      <xdr:colOff>364946</xdr:colOff>
      <xdr:row>286</xdr:row>
      <xdr:rowOff>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419099</xdr:colOff>
      <xdr:row>256</xdr:row>
      <xdr:rowOff>19050</xdr:rowOff>
    </xdr:from>
    <xdr:to>
      <xdr:col>24</xdr:col>
      <xdr:colOff>193499</xdr:colOff>
      <xdr:row>286</xdr:row>
      <xdr:rowOff>1</xdr:rowOff>
    </xdr:to>
    <xdr:graphicFrame macro="">
      <xdr:nvGraphicFramePr>
        <xdr:cNvPr id="2" name="Chart 1">
          <a:extLst>
            <a:ext uri="{FF2B5EF4-FFF2-40B4-BE49-F238E27FC236}">
              <a16:creationId xmlns:a16="http://schemas.microsoft.com/office/drawing/2014/main" id="{DDEF0701-CA8D-4153-842A-1748A2C453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52386</xdr:colOff>
      <xdr:row>8</xdr:row>
      <xdr:rowOff>95251</xdr:rowOff>
    </xdr:from>
    <xdr:to>
      <xdr:col>19</xdr:col>
      <xdr:colOff>378786</xdr:colOff>
      <xdr:row>25</xdr:row>
      <xdr:rowOff>96751</xdr:rowOff>
    </xdr:to>
    <xdr:graphicFrame macro="">
      <xdr:nvGraphicFramePr>
        <xdr:cNvPr id="6" name="Chart 5">
          <a:extLst>
            <a:ext uri="{FF2B5EF4-FFF2-40B4-BE49-F238E27FC236}">
              <a16:creationId xmlns:a16="http://schemas.microsoft.com/office/drawing/2014/main" id="{5A09304E-9291-BE6C-D1BF-9ADD45012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52386</xdr:colOff>
      <xdr:row>25</xdr:row>
      <xdr:rowOff>138112</xdr:rowOff>
    </xdr:from>
    <xdr:to>
      <xdr:col>19</xdr:col>
      <xdr:colOff>378786</xdr:colOff>
      <xdr:row>38</xdr:row>
      <xdr:rowOff>181612</xdr:rowOff>
    </xdr:to>
    <xdr:graphicFrame macro="">
      <xdr:nvGraphicFramePr>
        <xdr:cNvPr id="7" name="Chart 6">
          <a:extLst>
            <a:ext uri="{FF2B5EF4-FFF2-40B4-BE49-F238E27FC236}">
              <a16:creationId xmlns:a16="http://schemas.microsoft.com/office/drawing/2014/main" id="{82FC2CBC-63FF-E7A5-1AF4-D19C0F01C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609599</xdr:colOff>
      <xdr:row>4</xdr:row>
      <xdr:rowOff>38100</xdr:rowOff>
    </xdr:from>
    <xdr:ext cx="1219981" cy="428625"/>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acc>
                      <m:accPr>
                        <m:chr m:val="̅"/>
                        <m:ctrlPr>
                          <a:rPr lang="en-CA" sz="1100" i="1" kern="1200">
                            <a:latin typeface="Cambria Math" panose="02040503050406030204" pitchFamily="18" charset="0"/>
                          </a:rPr>
                        </m:ctrlPr>
                      </m:accPr>
                      <m:e>
                        <m:r>
                          <a:rPr lang="en-CA" sz="1100" b="0" i="1" kern="1200">
                            <a:latin typeface="Cambria Math" panose="02040503050406030204" pitchFamily="18" charset="0"/>
                          </a:rPr>
                          <m:t>𝑀𝑅</m:t>
                        </m:r>
                      </m:e>
                    </m:acc>
                    <m:r>
                      <a:rPr lang="en-CA" sz="1100" b="0" i="1" kern="1200">
                        <a:latin typeface="Cambria Math" panose="02040503050406030204" pitchFamily="18" charset="0"/>
                      </a:rPr>
                      <m:t>=</m:t>
                    </m:r>
                    <m:f>
                      <m:fPr>
                        <m:ctrlPr>
                          <a:rPr lang="en-CA" sz="1100" b="0" i="1" kern="1200">
                            <a:latin typeface="Cambria Math" panose="02040503050406030204" pitchFamily="18" charset="0"/>
                          </a:rPr>
                        </m:ctrlPr>
                      </m:fPr>
                      <m:num>
                        <m:nary>
                          <m:naryPr>
                            <m:chr m:val="∑"/>
                            <m:subHide m:val="on"/>
                            <m:supHide m:val="on"/>
                            <m:ctrlPr>
                              <a:rPr lang="en-CA" sz="1100" b="0" i="1" kern="1200">
                                <a:latin typeface="Cambria Math" panose="02040503050406030204" pitchFamily="18" charset="0"/>
                              </a:rPr>
                            </m:ctrlPr>
                          </m:naryPr>
                          <m:sub/>
                          <m:sup/>
                          <m:e>
                            <m:d>
                              <m:dPr>
                                <m:begChr m:val="|"/>
                                <m:endChr m:val="|"/>
                                <m:ctrlPr>
                                  <a:rPr lang="en-CA" sz="1100" b="0" i="1" kern="1200">
                                    <a:latin typeface="Cambria Math" panose="02040503050406030204" pitchFamily="18" charset="0"/>
                                  </a:rPr>
                                </m:ctrlPr>
                              </m:dPr>
                              <m:e>
                                <m:sSub>
                                  <m:sSubPr>
                                    <m:ctrlPr>
                                      <a:rPr lang="en-CA" sz="1100" b="0" i="1" kern="1200">
                                        <a:latin typeface="Cambria Math" panose="02040503050406030204" pitchFamily="18" charset="0"/>
                                      </a:rPr>
                                    </m:ctrlPr>
                                  </m:sSubPr>
                                  <m:e>
                                    <m:r>
                                      <a:rPr lang="en-CA" sz="1100" b="0" i="1" kern="1200">
                                        <a:latin typeface="Cambria Math" panose="02040503050406030204" pitchFamily="18" charset="0"/>
                                      </a:rPr>
                                      <m:t>𝑥</m:t>
                                    </m:r>
                                  </m:e>
                                  <m:sub>
                                    <m:r>
                                      <a:rPr lang="en-CA" sz="1100" b="0" i="1" kern="1200">
                                        <a:latin typeface="Cambria Math" panose="02040503050406030204" pitchFamily="18" charset="0"/>
                                      </a:rPr>
                                      <m:t>𝑖</m:t>
                                    </m:r>
                                  </m:sub>
                                </m:sSub>
                                <m:r>
                                  <a:rPr lang="en-CA" sz="1100" b="0" i="1" kern="1200">
                                    <a:latin typeface="Cambria Math" panose="02040503050406030204" pitchFamily="18" charset="0"/>
                                  </a:rPr>
                                  <m:t>−</m:t>
                                </m:r>
                                <m:sSub>
                                  <m:sSubPr>
                                    <m:ctrlPr>
                                      <a:rPr lang="en-CA"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𝑥</m:t>
                                    </m:r>
                                  </m:e>
                                  <m:sub>
                                    <m:r>
                                      <a:rPr lang="en-CA" sz="1100" b="0" i="1">
                                        <a:solidFill>
                                          <a:schemeClr val="tx1"/>
                                        </a:solidFill>
                                        <a:effectLst/>
                                        <a:latin typeface="Cambria Math" panose="02040503050406030204" pitchFamily="18" charset="0"/>
                                        <a:ea typeface="+mn-ea"/>
                                        <a:cs typeface="+mn-cs"/>
                                      </a:rPr>
                                      <m:t>𝑖</m:t>
                                    </m:r>
                                    <m:r>
                                      <a:rPr lang="en-CA" sz="1100" b="0" i="1">
                                        <a:solidFill>
                                          <a:schemeClr val="tx1"/>
                                        </a:solidFill>
                                        <a:effectLst/>
                                        <a:latin typeface="Cambria Math" panose="02040503050406030204" pitchFamily="18" charset="0"/>
                                        <a:ea typeface="+mn-ea"/>
                                        <a:cs typeface="+mn-cs"/>
                                      </a:rPr>
                                      <m:t>−1</m:t>
                                    </m:r>
                                  </m:sub>
                                </m:sSub>
                              </m:e>
                            </m:d>
                          </m:e>
                        </m:nary>
                      </m:num>
                      <m:den>
                        <m:r>
                          <a:rPr lang="en-CA" sz="1100" b="0" i="1" kern="1200">
                            <a:latin typeface="Cambria Math" panose="02040503050406030204" pitchFamily="18" charset="0"/>
                          </a:rPr>
                          <m:t>𝑘</m:t>
                        </m:r>
                        <m:r>
                          <a:rPr lang="en-CA" sz="1100" b="0" i="1" kern="1200">
                            <a:latin typeface="Cambria Math" panose="02040503050406030204" pitchFamily="18" charset="0"/>
                          </a:rPr>
                          <m:t>−1</m:t>
                        </m:r>
                      </m:den>
                    </m:f>
                  </m:oMath>
                </m:oMathPara>
              </a14:m>
              <a:endParaRPr lang="en-CA" sz="1100" kern="1200"/>
            </a:p>
          </xdr:txBody>
        </xdr:sp>
      </mc:Choice>
      <mc:Fallback xmlns="">
        <xdr:sp macro="" textlink="">
          <xdr:nvSpPr>
            <xdr:cNvPr id="8" name="TextBox 7">
              <a:extLst>
                <a:ext uri="{FF2B5EF4-FFF2-40B4-BE49-F238E27FC236}">
                  <a16:creationId xmlns:a16="http://schemas.microsoft.com/office/drawing/2014/main" id="{A446C094-DF64-4FB0-85E2-71E1F60686D4}"/>
                </a:ext>
              </a:extLst>
            </xdr:cNvPr>
            <xdr:cNvSpPr txBox="1"/>
          </xdr:nvSpPr>
          <xdr:spPr>
            <a:xfrm>
              <a:off x="1219199" y="800100"/>
              <a:ext cx="1219981" cy="428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i="0" kern="1200">
                  <a:latin typeface="Cambria Math" panose="02040503050406030204" pitchFamily="18" charset="0"/>
                </a:rPr>
                <a:t>(</a:t>
              </a:r>
              <a:r>
                <a:rPr lang="en-CA" sz="1100" b="0" i="0" kern="1200">
                  <a:latin typeface="Cambria Math" panose="02040503050406030204" pitchFamily="18" charset="0"/>
                </a:rPr>
                <a:t>𝑀𝑅) ̅=(∑▒|𝑥_𝑖−</a:t>
              </a:r>
              <a:r>
                <a:rPr lang="en-CA" sz="1100" b="0" i="0">
                  <a:solidFill>
                    <a:schemeClr val="tx1"/>
                  </a:solidFill>
                  <a:effectLst/>
                  <a:latin typeface="+mn-lt"/>
                  <a:ea typeface="+mn-ea"/>
                  <a:cs typeface="+mn-cs"/>
                </a:rPr>
                <a:t>𝑥_(</a:t>
              </a:r>
              <a:r>
                <a:rPr lang="en-CA" sz="1100" b="0" i="0">
                  <a:solidFill>
                    <a:schemeClr val="tx1"/>
                  </a:solidFill>
                  <a:effectLst/>
                  <a:latin typeface="Cambria Math" panose="02040503050406030204" pitchFamily="18" charset="0"/>
                  <a:ea typeface="+mn-ea"/>
                  <a:cs typeface="+mn-cs"/>
                </a:rPr>
                <a:t>𝑖−1</a:t>
              </a:r>
              <a:r>
                <a:rPr lang="en-CA" sz="1100" b="0" i="0">
                  <a:solidFill>
                    <a:schemeClr val="tx1"/>
                  </a:solidFill>
                  <a:effectLst/>
                  <a:latin typeface="+mn-lt"/>
                  <a:ea typeface="+mn-ea"/>
                  <a:cs typeface="+mn-cs"/>
                </a:rPr>
                <a:t>)</a:t>
              </a:r>
              <a:r>
                <a:rPr lang="en-CA" sz="1100" b="0" i="0" kern="1200">
                  <a:solidFill>
                    <a:schemeClr val="tx1"/>
                  </a:solidFill>
                  <a:effectLst/>
                  <a:latin typeface="Cambria Math" panose="02040503050406030204" pitchFamily="18" charset="0"/>
                  <a:ea typeface="+mn-ea"/>
                  <a:cs typeface="+mn-cs"/>
                </a:rPr>
                <a:t> | )/(</a:t>
              </a:r>
              <a:r>
                <a:rPr lang="en-CA" sz="1100" b="0" i="0" kern="1200">
                  <a:latin typeface="Cambria Math" panose="02040503050406030204" pitchFamily="18" charset="0"/>
                </a:rPr>
                <a:t>𝑘−1)</a:t>
              </a:r>
              <a:endParaRPr lang="en-CA" sz="1100" kern="1200"/>
            </a:p>
          </xdr:txBody>
        </xdr:sp>
      </mc:Fallback>
    </mc:AlternateContent>
    <xdr:clientData/>
  </xdr:oneCellAnchor>
  <xdr:oneCellAnchor>
    <xdr:from>
      <xdr:col>4</xdr:col>
      <xdr:colOff>142875</xdr:colOff>
      <xdr:row>4</xdr:row>
      <xdr:rowOff>0</xdr:rowOff>
    </xdr:from>
    <xdr:ext cx="1552575" cy="50413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14:m>
                <m:oMathPara xmlns:m="http://schemas.openxmlformats.org/officeDocument/2006/math">
                  <m:oMathParaPr>
                    <m:jc m:val="centerGroup"/>
                  </m:oMathParaPr>
                  <m:oMath xmlns:m="http://schemas.openxmlformats.org/officeDocument/2006/math">
                    <m:r>
                      <a:rPr lang="en-CA" sz="1100" b="0" i="1" kern="1200">
                        <a:latin typeface="Cambria Math" panose="02040503050406030204" pitchFamily="18" charset="0"/>
                      </a:rPr>
                      <m:t>𝑈𝐶𝐿</m:t>
                    </m:r>
                    <m:r>
                      <a:rPr lang="en-CA" sz="1100" b="0" i="1" kern="1200">
                        <a:latin typeface="Cambria Math" panose="02040503050406030204" pitchFamily="18" charset="0"/>
                      </a:rPr>
                      <m:t>=</m:t>
                    </m:r>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r>
                      <a:rPr lang="en-CA" sz="1100" b="0" i="1">
                        <a:solidFill>
                          <a:schemeClr val="tx1"/>
                        </a:solidFill>
                        <a:effectLst/>
                        <a:latin typeface="Cambria Math" panose="02040503050406030204" pitchFamily="18" charset="0"/>
                        <a:ea typeface="+mn-ea"/>
                        <a:cs typeface="+mn-cs"/>
                      </a:rPr>
                      <m:t>+</m:t>
                    </m:r>
                    <m:d>
                      <m:dPr>
                        <m:ctrlPr>
                          <a:rPr lang="en-CA" sz="1100" b="0" i="1">
                            <a:solidFill>
                              <a:schemeClr val="tx1"/>
                            </a:solidFill>
                            <a:effectLst/>
                            <a:latin typeface="Cambria Math" panose="02040503050406030204" pitchFamily="18" charset="0"/>
                            <a:ea typeface="Cambria Math" panose="02040503050406030204" pitchFamily="18" charset="0"/>
                            <a:cs typeface="+mn-cs"/>
                          </a:rPr>
                        </m:ctrlPr>
                      </m:dPr>
                      <m:e>
                        <m:r>
                          <a:rPr lang="en-CA" sz="1100" b="0" i="1">
                            <a:solidFill>
                              <a:schemeClr val="tx1"/>
                            </a:solidFill>
                            <a:effectLst/>
                            <a:latin typeface="Cambria Math" panose="02040503050406030204" pitchFamily="18" charset="0"/>
                            <a:ea typeface="Cambria Math" panose="02040503050406030204" pitchFamily="18" charset="0"/>
                            <a:cs typeface="+mn-cs"/>
                          </a:rPr>
                          <m:t>3×</m:t>
                        </m:r>
                        <m:f>
                          <m:fPr>
                            <m:ctrlPr>
                              <a:rPr lang="en-CA" sz="1100" b="0" i="1">
                                <a:solidFill>
                                  <a:schemeClr val="tx1"/>
                                </a:solidFill>
                                <a:effectLst/>
                                <a:latin typeface="Cambria Math" panose="02040503050406030204" pitchFamily="18" charset="0"/>
                                <a:ea typeface="Cambria Math" panose="02040503050406030204" pitchFamily="18" charset="0"/>
                                <a:cs typeface="+mn-cs"/>
                              </a:rPr>
                            </m:ctrlPr>
                          </m:fPr>
                          <m:num>
                            <m:acc>
                              <m:accPr>
                                <m:chr m:val="̅"/>
                                <m:ctrlPr>
                                  <a:rPr lang="en-CA" sz="1100" i="1">
                                    <a:solidFill>
                                      <a:schemeClr val="tx1"/>
                                    </a:solidFill>
                                    <a:effectLst/>
                                    <a:latin typeface="Cambria Math" panose="02040503050406030204" pitchFamily="18" charset="0"/>
                                    <a:ea typeface="+mn-ea"/>
                                    <a:cs typeface="+mn-cs"/>
                                  </a:rPr>
                                </m:ctrlPr>
                              </m:accPr>
                              <m:e>
                                <m:r>
                                  <a:rPr lang="en-CA" sz="1100" b="0" i="1">
                                    <a:solidFill>
                                      <a:schemeClr val="tx1"/>
                                    </a:solidFill>
                                    <a:effectLst/>
                                    <a:latin typeface="Cambria Math" panose="02040503050406030204" pitchFamily="18" charset="0"/>
                                    <a:ea typeface="+mn-ea"/>
                                    <a:cs typeface="+mn-cs"/>
                                  </a:rPr>
                                  <m:t>𝑀𝑅</m:t>
                                </m:r>
                              </m:e>
                            </m:acc>
                          </m:num>
                          <m:den>
                            <m:rad>
                              <m:radPr>
                                <m:degHide m:val="on"/>
                                <m:ctrlPr>
                                  <a:rPr lang="en-CA" sz="1100" b="0" i="1">
                                    <a:solidFill>
                                      <a:schemeClr val="tx1"/>
                                    </a:solidFill>
                                    <a:effectLst/>
                                    <a:latin typeface="Cambria Math" panose="02040503050406030204" pitchFamily="18" charset="0"/>
                                    <a:ea typeface="Cambria Math" panose="02040503050406030204" pitchFamily="18" charset="0"/>
                                    <a:cs typeface="+mn-cs"/>
                                  </a:rPr>
                                </m:ctrlPr>
                              </m:radPr>
                              <m:deg/>
                              <m:e>
                                <m:r>
                                  <a:rPr lang="en-CA" sz="1100" b="0" i="1">
                                    <a:solidFill>
                                      <a:schemeClr val="tx1"/>
                                    </a:solidFill>
                                    <a:effectLst/>
                                    <a:latin typeface="Cambria Math" panose="02040503050406030204" pitchFamily="18" charset="0"/>
                                    <a:ea typeface="Cambria Math" panose="02040503050406030204" pitchFamily="18" charset="0"/>
                                    <a:cs typeface="+mn-cs"/>
                                  </a:rPr>
                                  <m:t>2</m:t>
                                </m:r>
                              </m:e>
                            </m:rad>
                          </m:den>
                        </m:f>
                      </m:e>
                    </m:d>
                  </m:oMath>
                </m:oMathPara>
              </a14:m>
              <a:endParaRPr lang="en-CA" sz="1100" kern="1200"/>
            </a:p>
          </xdr:txBody>
        </xdr:sp>
      </mc:Choice>
      <mc:Fallback xmlns="">
        <xdr:sp macro="" textlink="">
          <xdr:nvSpPr>
            <xdr:cNvPr id="9" name="TextBox 8">
              <a:extLst>
                <a:ext uri="{FF2B5EF4-FFF2-40B4-BE49-F238E27FC236}">
                  <a16:creationId xmlns:a16="http://schemas.microsoft.com/office/drawing/2014/main" id="{4E1AB1B8-9295-4121-B8AB-2346453EDC26}"/>
                </a:ext>
              </a:extLst>
            </xdr:cNvPr>
            <xdr:cNvSpPr txBox="1"/>
          </xdr:nvSpPr>
          <xdr:spPr>
            <a:xfrm>
              <a:off x="2581275" y="762000"/>
              <a:ext cx="1552575" cy="5041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lgn="ctr"/>
              <a:r>
                <a:rPr lang="en-CA" sz="1100" b="0" i="0" kern="1200">
                  <a:latin typeface="Cambria Math" panose="02040503050406030204" pitchFamily="18" charset="0"/>
                </a:rPr>
                <a:t>𝑈𝐶𝐿=</a:t>
              </a:r>
              <a:r>
                <a:rPr lang="en-CA" sz="1100" i="0">
                  <a:solidFill>
                    <a:schemeClr val="tx1"/>
                  </a:solidFill>
                  <a:effectLst/>
                  <a:latin typeface="+mn-lt"/>
                  <a:ea typeface="+mn-ea"/>
                  <a:cs typeface="+mn-cs"/>
                </a:rPr>
                <a:t>(</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mn-ea"/>
                  <a:cs typeface="+mn-cs"/>
                </a:rPr>
                <a:t>+</a:t>
              </a:r>
              <a:r>
                <a:rPr lang="en-CA" sz="1100" b="0" i="0">
                  <a:solidFill>
                    <a:schemeClr val="tx1"/>
                  </a:solidFill>
                  <a:effectLst/>
                  <a:latin typeface="Cambria Math" panose="02040503050406030204" pitchFamily="18" charset="0"/>
                  <a:ea typeface="Cambria Math" panose="02040503050406030204" pitchFamily="18" charset="0"/>
                  <a:cs typeface="+mn-cs"/>
                </a:rPr>
                <a:t>(3×</a:t>
              </a:r>
              <a:r>
                <a:rPr lang="en-CA" sz="1100" b="0" i="0">
                  <a:solidFill>
                    <a:schemeClr val="tx1"/>
                  </a:solidFill>
                  <a:effectLst/>
                  <a:latin typeface="+mn-lt"/>
                  <a:ea typeface="+mn-ea"/>
                  <a:cs typeface="+mn-cs"/>
                </a:rPr>
                <a:t>(𝑀𝑅) ̅</a:t>
              </a:r>
              <a:r>
                <a:rPr lang="en-CA" sz="1100" b="0" i="0">
                  <a:solidFill>
                    <a:schemeClr val="tx1"/>
                  </a:solidFill>
                  <a:effectLst/>
                  <a:latin typeface="Cambria Math" panose="02040503050406030204" pitchFamily="18" charset="0"/>
                  <a:ea typeface="Cambria Math" panose="02040503050406030204" pitchFamily="18" charset="0"/>
                  <a:cs typeface="+mn-cs"/>
                </a:rPr>
                <a:t>/√2)</a:t>
              </a:r>
              <a:endParaRPr lang="en-CA" sz="1100" kern="12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79"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C17"/>
  <sheetViews>
    <sheetView topLeftCell="B1" workbookViewId="0">
      <selection activeCell="B8" sqref="B8"/>
    </sheetView>
  </sheetViews>
  <sheetFormatPr defaultRowHeight="14.25"/>
  <cols>
    <col min="1" max="1" width="25.375" customWidth="1"/>
    <col min="2" max="2" width="144.25" customWidth="1"/>
  </cols>
  <sheetData>
    <row r="1" spans="1:3" ht="15">
      <c r="A1" s="16" t="s">
        <v>219</v>
      </c>
      <c r="B1" s="16" t="s">
        <v>2</v>
      </c>
    </row>
    <row r="2" spans="1:3" ht="57">
      <c r="A2" s="36" t="s">
        <v>605</v>
      </c>
      <c r="B2" s="5" t="s">
        <v>606</v>
      </c>
      <c r="C2" t="s">
        <v>1845</v>
      </c>
    </row>
    <row r="3" spans="1:3" ht="42.75">
      <c r="A3" s="36" t="s">
        <v>1080</v>
      </c>
      <c r="B3" s="27" t="s">
        <v>1079</v>
      </c>
    </row>
    <row r="4" spans="1:3" ht="42.75">
      <c r="A4" s="36" t="s">
        <v>1107</v>
      </c>
      <c r="B4" s="27" t="s">
        <v>1106</v>
      </c>
    </row>
    <row r="5" spans="1:3" ht="42.75">
      <c r="A5" s="36" t="s">
        <v>608</v>
      </c>
      <c r="B5" s="5" t="s">
        <v>980</v>
      </c>
    </row>
    <row r="6" spans="1:3" ht="28.5">
      <c r="A6" s="36" t="s">
        <v>403</v>
      </c>
      <c r="B6" s="5" t="s">
        <v>450</v>
      </c>
    </row>
    <row r="7" spans="1:3" ht="28.5">
      <c r="A7" s="36" t="s">
        <v>1300</v>
      </c>
      <c r="B7" s="5" t="s">
        <v>1315</v>
      </c>
    </row>
    <row r="8" spans="1:3" ht="28.5">
      <c r="A8" s="36" t="s">
        <v>979</v>
      </c>
      <c r="B8" s="5" t="s">
        <v>922</v>
      </c>
    </row>
    <row r="9" spans="1:3" ht="42.75">
      <c r="A9" s="36" t="s">
        <v>1209</v>
      </c>
      <c r="B9" s="5" t="s">
        <v>1375</v>
      </c>
    </row>
    <row r="10" spans="1:3" ht="28.5">
      <c r="A10" s="36" t="s">
        <v>384</v>
      </c>
      <c r="B10" s="5" t="s">
        <v>337</v>
      </c>
    </row>
    <row r="11" spans="1:3" ht="28.5">
      <c r="A11" s="36" t="s">
        <v>99</v>
      </c>
      <c r="B11" s="5" t="s">
        <v>401</v>
      </c>
    </row>
    <row r="12" spans="1:3" ht="42.75">
      <c r="A12" s="36" t="s">
        <v>1210</v>
      </c>
      <c r="B12" s="5" t="s">
        <v>1211</v>
      </c>
    </row>
    <row r="13" spans="1:3" ht="42.75">
      <c r="A13" s="36" t="s">
        <v>1460</v>
      </c>
      <c r="B13" s="5" t="s">
        <v>1459</v>
      </c>
    </row>
    <row r="14" spans="1:3" ht="28.5">
      <c r="A14" s="36" t="s">
        <v>1543</v>
      </c>
      <c r="B14" s="5" t="s">
        <v>1542</v>
      </c>
    </row>
    <row r="15" spans="1:3" ht="28.5">
      <c r="A15" s="36" t="s">
        <v>1580</v>
      </c>
      <c r="B15" s="5" t="s">
        <v>1579</v>
      </c>
    </row>
    <row r="16" spans="1:3" ht="42.75">
      <c r="A16" s="36" t="s">
        <v>1610</v>
      </c>
      <c r="B16" s="5" t="s">
        <v>1779</v>
      </c>
    </row>
    <row r="17" spans="1:2">
      <c r="A17" s="36" t="s">
        <v>1838</v>
      </c>
      <c r="B17" s="5" t="s">
        <v>1839</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 ref="A17" location="MOVING_RANGE!A1" display="MOVING_RANGE" xr:uid="{7CC3FA97-2FF2-4569-B9DF-188E5EF3B4A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1:AC187"/>
  <sheetViews>
    <sheetView tabSelected="1" zoomScaleNormal="100" workbookViewId="0">
      <selection activeCell="J31" sqref="J31"/>
    </sheetView>
  </sheetViews>
  <sheetFormatPr defaultColWidth="9.125" defaultRowHeight="14.25"/>
  <cols>
    <col min="1" max="1" width="12.625" customWidth="1"/>
    <col min="4" max="4" width="13.875" customWidth="1"/>
    <col min="5" max="5" width="13.375" customWidth="1"/>
    <col min="6" max="6" width="15.625" customWidth="1"/>
    <col min="7" max="7" width="11.75" customWidth="1"/>
    <col min="8" max="8" width="15" customWidth="1"/>
    <col min="12" max="12" width="7.75" customWidth="1"/>
    <col min="13" max="17" width="10.25" customWidth="1"/>
    <col min="18" max="18" width="17.75" customWidth="1"/>
    <col min="19" max="19" width="16" customWidth="1"/>
    <col min="22" max="22" width="14.625" customWidth="1"/>
    <col min="25" max="25" width="11.875" customWidth="1"/>
    <col min="26" max="26" width="15.125" customWidth="1"/>
    <col min="27" max="27" width="14.625" customWidth="1"/>
    <col min="28" max="28" width="10.875" customWidth="1"/>
  </cols>
  <sheetData>
    <row r="1" spans="1:24">
      <c r="A1" t="s">
        <v>1833</v>
      </c>
    </row>
    <row r="2" spans="1:24">
      <c r="E2" t="s">
        <v>2077</v>
      </c>
      <c r="F2">
        <v>2</v>
      </c>
    </row>
    <row r="3" spans="1:24">
      <c r="F3" s="58"/>
      <c r="H3" s="48" t="s">
        <v>193</v>
      </c>
      <c r="I3" s="8" t="s">
        <v>235</v>
      </c>
      <c r="J3" s="8"/>
      <c r="K3" s="8"/>
      <c r="L3" s="8"/>
    </row>
    <row r="4" spans="1:24">
      <c r="A4" cm="1">
        <f t="array" aca="1" ref="A4:B23" ca="1">WAVEFORM(20,{"wave_type","sine";"noise_percent",0.8;"vertical_offset",30000;"amplitude",400;"seed",TRUE})</f>
        <v>0</v>
      </c>
      <c r="B4">
        <f ca="1"/>
        <v>29774.553599155417</v>
      </c>
      <c r="E4">
        <v>1</v>
      </c>
      <c r="F4" s="58" cm="1">
        <f t="array" ref="F4:F14">ABS(E4:E14-AVERAGE(E4:E14))</f>
        <v>13.181818181818182</v>
      </c>
      <c r="H4" s="51" t="s">
        <v>7</v>
      </c>
      <c r="I4" s="45" t="s">
        <v>1843</v>
      </c>
      <c r="J4" s="45"/>
      <c r="K4" s="45"/>
      <c r="L4" s="45"/>
      <c r="R4" s="53" t="s">
        <v>7</v>
      </c>
      <c r="S4" s="53" t="s">
        <v>8</v>
      </c>
    </row>
    <row r="5" spans="1:24" ht="15">
      <c r="A5">
        <f ca="1"/>
        <v>5.2631578947368418E-2</v>
      </c>
      <c r="B5">
        <f ca="1"/>
        <v>30061.341832873866</v>
      </c>
      <c r="E5">
        <v>2</v>
      </c>
      <c r="F5">
        <v>12.181818181818182</v>
      </c>
      <c r="H5" s="51" t="s">
        <v>6</v>
      </c>
      <c r="I5" s="10">
        <v>8</v>
      </c>
      <c r="J5" s="10"/>
      <c r="K5" s="10"/>
      <c r="L5" s="10"/>
      <c r="R5" t="s">
        <v>1834</v>
      </c>
      <c r="S5" t="s">
        <v>560</v>
      </c>
      <c r="V5" s="52" t="s">
        <v>2073</v>
      </c>
    </row>
    <row r="6" spans="1:24">
      <c r="A6">
        <f ca="1"/>
        <v>0.10526315789473684</v>
      </c>
      <c r="B6">
        <f ca="1"/>
        <v>30575.685908834395</v>
      </c>
      <c r="E6">
        <v>3</v>
      </c>
      <c r="F6">
        <v>11.181818181818182</v>
      </c>
      <c r="H6" s="51" t="s">
        <v>10</v>
      </c>
      <c r="I6" s="10">
        <v>0.3</v>
      </c>
      <c r="J6" s="10"/>
      <c r="K6" s="10"/>
      <c r="L6" s="10"/>
      <c r="R6" t="s">
        <v>1841</v>
      </c>
      <c r="S6" t="s">
        <v>1849</v>
      </c>
      <c r="U6" t="s">
        <v>1847</v>
      </c>
      <c r="V6" t="s">
        <v>75</v>
      </c>
      <c r="W6" t="s">
        <v>2071</v>
      </c>
    </row>
    <row r="7" spans="1:24">
      <c r="A7">
        <f ca="1"/>
        <v>0.15789473684210525</v>
      </c>
      <c r="B7">
        <f ca="1"/>
        <v>30377.737600163495</v>
      </c>
      <c r="E7">
        <v>4</v>
      </c>
      <c r="F7">
        <v>10.181818181818182</v>
      </c>
      <c r="H7" s="51" t="s">
        <v>11</v>
      </c>
      <c r="I7" s="10">
        <v>1</v>
      </c>
      <c r="J7" s="10"/>
      <c r="K7" s="10"/>
      <c r="L7" s="10"/>
      <c r="R7" t="s">
        <v>1842</v>
      </c>
      <c r="U7" t="s">
        <v>554</v>
      </c>
      <c r="V7" t="s">
        <v>5</v>
      </c>
      <c r="W7" t="s">
        <v>2071</v>
      </c>
    </row>
    <row r="8" spans="1:24">
      <c r="A8">
        <f ca="1"/>
        <v>0.21052631578947367</v>
      </c>
      <c r="B8">
        <f ca="1"/>
        <v>30167.476115490605</v>
      </c>
      <c r="E8">
        <v>5</v>
      </c>
      <c r="F8">
        <v>9.1818181818181817</v>
      </c>
      <c r="H8" s="51" t="s">
        <v>8</v>
      </c>
      <c r="I8" s="9" t="s">
        <v>560</v>
      </c>
      <c r="J8" s="9"/>
      <c r="K8" s="9"/>
      <c r="L8" s="9"/>
      <c r="R8" t="s">
        <v>1843</v>
      </c>
      <c r="U8" t="s">
        <v>2074</v>
      </c>
      <c r="V8" t="s">
        <v>1849</v>
      </c>
      <c r="W8" t="s">
        <v>2071</v>
      </c>
    </row>
    <row r="9" spans="1:24" ht="15">
      <c r="A9">
        <f ca="1"/>
        <v>0.26315789473684209</v>
      </c>
      <c r="B9">
        <f ca="1"/>
        <v>30344.576554555359</v>
      </c>
      <c r="E9">
        <v>6</v>
      </c>
      <c r="F9">
        <v>8.1818181818181817</v>
      </c>
      <c r="H9" s="51" t="s">
        <v>13</v>
      </c>
      <c r="I9" s="46" t="b">
        <v>1</v>
      </c>
      <c r="J9" s="10"/>
      <c r="K9" s="10"/>
      <c r="L9" s="10"/>
      <c r="R9" t="s">
        <v>1830</v>
      </c>
      <c r="V9" t="s">
        <v>7</v>
      </c>
      <c r="W9" t="s">
        <v>2075</v>
      </c>
      <c r="X9" s="55" t="s">
        <v>2070</v>
      </c>
    </row>
    <row r="10" spans="1:24">
      <c r="A10">
        <f ca="1"/>
        <v>0.31578947368421051</v>
      </c>
      <c r="B10">
        <f ca="1"/>
        <v>30419.064760257323</v>
      </c>
      <c r="E10">
        <v>7</v>
      </c>
      <c r="F10">
        <v>7.1818181818181817</v>
      </c>
      <c r="H10" s="51" t="s">
        <v>554</v>
      </c>
      <c r="I10" s="46" t="b">
        <v>1</v>
      </c>
      <c r="J10" s="10"/>
      <c r="K10" s="10"/>
      <c r="L10" s="10"/>
      <c r="R10" t="s">
        <v>1848</v>
      </c>
      <c r="U10" t="s">
        <v>2072</v>
      </c>
      <c r="V10" t="s">
        <v>9</v>
      </c>
      <c r="W10" t="s">
        <v>2071</v>
      </c>
    </row>
    <row r="11" spans="1:24">
      <c r="A11">
        <f ca="1"/>
        <v>0.36842105263157893</v>
      </c>
      <c r="B11">
        <f ca="1"/>
        <v>29878.491185548424</v>
      </c>
      <c r="E11">
        <v>8</v>
      </c>
      <c r="F11">
        <v>6.1818181818181817</v>
      </c>
      <c r="H11" s="51" t="s">
        <v>1847</v>
      </c>
      <c r="I11" s="46" t="b">
        <v>1</v>
      </c>
      <c r="J11" s="10"/>
      <c r="K11" s="10"/>
      <c r="L11" s="10"/>
      <c r="R11" t="s">
        <v>11</v>
      </c>
      <c r="V11" t="s">
        <v>12</v>
      </c>
      <c r="W11" t="s">
        <v>2071</v>
      </c>
      <c r="X11" t="s">
        <v>2069</v>
      </c>
    </row>
    <row r="12" spans="1:24">
      <c r="A12" s="30">
        <f ca="1"/>
        <v>0.42105263157894735</v>
      </c>
      <c r="B12">
        <f ca="1"/>
        <v>30652.56445726331</v>
      </c>
      <c r="E12">
        <v>9</v>
      </c>
      <c r="F12">
        <v>5.1818181818181817</v>
      </c>
      <c r="H12" s="51" t="s">
        <v>2076</v>
      </c>
      <c r="I12" s="46" t="b">
        <v>1</v>
      </c>
      <c r="J12" s="10"/>
      <c r="K12" s="10"/>
      <c r="L12" s="10"/>
      <c r="R12" t="s">
        <v>1844</v>
      </c>
    </row>
    <row r="13" spans="1:24">
      <c r="A13" s="30">
        <f ca="1"/>
        <v>0.47368421052631576</v>
      </c>
      <c r="B13">
        <f ca="1"/>
        <v>29848.042507457249</v>
      </c>
      <c r="E13">
        <v>100</v>
      </c>
      <c r="F13">
        <v>85.818181818181813</v>
      </c>
      <c r="H13" s="51" t="s">
        <v>2072</v>
      </c>
      <c r="I13" s="46" t="b">
        <v>1</v>
      </c>
      <c r="J13" s="10"/>
      <c r="K13" s="10"/>
      <c r="L13" s="10"/>
    </row>
    <row r="14" spans="1:24">
      <c r="A14">
        <f ca="1"/>
        <v>0.52631578947368418</v>
      </c>
      <c r="B14">
        <f ca="1"/>
        <v>29631.490750114364</v>
      </c>
      <c r="E14">
        <v>11</v>
      </c>
      <c r="F14">
        <v>3.1818181818181817</v>
      </c>
      <c r="H14" s="51" t="s">
        <v>12</v>
      </c>
      <c r="I14" s="46" t="b">
        <v>1</v>
      </c>
      <c r="J14" s="10"/>
      <c r="K14" s="10"/>
      <c r="L14" s="10"/>
    </row>
    <row r="15" spans="1:24">
      <c r="A15">
        <f ca="1"/>
        <v>0.57894736842105265</v>
      </c>
      <c r="B15">
        <f ca="1"/>
        <v>29271.203859756981</v>
      </c>
      <c r="H15" s="51" t="s">
        <v>1850</v>
      </c>
      <c r="I15" s="46" t="b">
        <v>1</v>
      </c>
      <c r="J15" s="10"/>
      <c r="K15" s="10"/>
      <c r="L15" s="10"/>
    </row>
    <row r="16" spans="1:24">
      <c r="A16">
        <f ca="1"/>
        <v>0.63157894736842102</v>
      </c>
      <c r="B16">
        <f ca="1"/>
        <v>30083.840627207341</v>
      </c>
    </row>
    <row r="17" spans="1:29">
      <c r="A17">
        <f ca="1"/>
        <v>0.68421052631578938</v>
      </c>
      <c r="B17">
        <f ca="1"/>
        <v>29337.696087496843</v>
      </c>
      <c r="D17" s="54"/>
      <c r="E17" s="54"/>
      <c r="F17" s="54"/>
      <c r="G17" s="54"/>
      <c r="H17" s="54"/>
      <c r="I17" s="54"/>
      <c r="J17" s="54"/>
      <c r="K17" s="54"/>
      <c r="L17" s="54"/>
      <c r="M17" s="54"/>
      <c r="N17" s="54"/>
      <c r="O17" s="54"/>
      <c r="P17" s="54"/>
      <c r="Q17" s="54"/>
      <c r="R17" s="54"/>
      <c r="S17" s="54"/>
    </row>
    <row r="18" spans="1:29">
      <c r="A18">
        <f ca="1"/>
        <v>0.73684210526315774</v>
      </c>
      <c r="B18">
        <f ca="1"/>
        <v>29603.893055034347</v>
      </c>
      <c r="D18" s="56" t="str" cm="1">
        <f t="array" aca="1" ref="D18:M38" ca="1">CONTROL_CHART_NEW(B4:B23,,H4:I15)</f>
        <v>x</v>
      </c>
      <c r="E18" s="54" t="str">
        <f ca="1"/>
        <v>y</v>
      </c>
      <c r="F18" s="54" t="str">
        <f ca="1"/>
        <v>wma</v>
      </c>
      <c r="G18" s="54" t="str">
        <f ca="1"/>
        <v>UCL</v>
      </c>
      <c r="H18" s="54" t="str">
        <f ca="1"/>
        <v>LCL</v>
      </c>
      <c r="I18" s="54" t="str">
        <f ca="1"/>
        <v>3σ</v>
      </c>
      <c r="J18" s="54" t="str">
        <f ca="1"/>
        <v>Run 7</v>
      </c>
      <c r="K18" s="54" t="str">
        <f ca="1"/>
        <v>Trd 7</v>
      </c>
      <c r="L18" s="54" t="str">
        <f ca="1"/>
        <v>2/3 2σ</v>
      </c>
      <c r="M18" s="54" t="str">
        <f ca="1"/>
        <v>Rules</v>
      </c>
      <c r="N18" s="54"/>
      <c r="O18" s="54"/>
      <c r="P18" s="54"/>
      <c r="Q18" s="54"/>
      <c r="R18" s="54"/>
      <c r="S18" s="54"/>
    </row>
    <row r="19" spans="1:29">
      <c r="A19">
        <f ca="1"/>
        <v>0.78947368421052611</v>
      </c>
      <c r="B19">
        <f ca="1"/>
        <v>29157.253619298164</v>
      </c>
      <c r="D19" s="54">
        <f ca="1"/>
        <v>1</v>
      </c>
      <c r="E19" s="54">
        <f ca="1"/>
        <v>29774.553599155417</v>
      </c>
      <c r="F19" s="54">
        <f ca="1"/>
        <v>29774.553599155417</v>
      </c>
      <c r="G19" s="54" t="e">
        <f ca="1"/>
        <v>#N/A</v>
      </c>
      <c r="H19" s="54" t="e">
        <f ca="1"/>
        <v>#N/A</v>
      </c>
      <c r="I19" s="54">
        <f ca="1"/>
        <v>0</v>
      </c>
      <c r="J19" s="54">
        <f ca="1"/>
        <v>0</v>
      </c>
      <c r="K19" s="54">
        <f ca="1"/>
        <v>0</v>
      </c>
      <c r="L19" s="54">
        <f ca="1"/>
        <v>0</v>
      </c>
      <c r="M19" s="54" t="str">
        <f ca="1"/>
        <v/>
      </c>
      <c r="N19" s="54"/>
      <c r="O19" s="54"/>
      <c r="P19" s="54"/>
      <c r="Q19" s="54"/>
      <c r="R19" s="54"/>
      <c r="S19" s="54"/>
    </row>
    <row r="20" spans="1:29">
      <c r="A20">
        <f ca="1"/>
        <v>0.84210526315789447</v>
      </c>
      <c r="B20">
        <f ca="1"/>
        <v>30353.256012839491</v>
      </c>
      <c r="D20" s="54">
        <f ca="1"/>
        <v>2</v>
      </c>
      <c r="E20" s="54">
        <f ca="1"/>
        <v>30061.341832873866</v>
      </c>
      <c r="F20" s="54">
        <f ca="1"/>
        <v>29965.745754967716</v>
      </c>
      <c r="G20" s="54">
        <f ca="1"/>
        <v>30371.325564621373</v>
      </c>
      <c r="H20" s="54">
        <f ca="1"/>
        <v>29560.16594531406</v>
      </c>
      <c r="I20" s="54">
        <f ca="1"/>
        <v>0</v>
      </c>
      <c r="J20" s="54">
        <f ca="1"/>
        <v>0</v>
      </c>
      <c r="K20" s="54">
        <f ca="1"/>
        <v>0</v>
      </c>
      <c r="L20" s="54">
        <f ca="1"/>
        <v>0</v>
      </c>
      <c r="M20" s="54" t="str">
        <f ca="1"/>
        <v/>
      </c>
      <c r="N20" s="54"/>
      <c r="O20" s="54"/>
      <c r="P20" s="54"/>
      <c r="Q20" s="54"/>
      <c r="R20" s="54"/>
      <c r="S20" s="54"/>
    </row>
    <row r="21" spans="1:29">
      <c r="A21">
        <f ca="1"/>
        <v>0.89473684210526283</v>
      </c>
      <c r="B21">
        <f ca="1"/>
        <v>29410.575570175602</v>
      </c>
      <c r="D21" s="54">
        <f ca="1"/>
        <v>3</v>
      </c>
      <c r="E21" s="54">
        <f ca="1"/>
        <v>30575.685908834395</v>
      </c>
      <c r="F21" s="54">
        <f ca="1"/>
        <v>30270.715831901052</v>
      </c>
      <c r="G21" s="54">
        <f ca="1"/>
        <v>31229.521454236408</v>
      </c>
      <c r="H21" s="54">
        <f ca="1"/>
        <v>29311.910209565696</v>
      </c>
      <c r="I21" s="54">
        <f ca="1"/>
        <v>0</v>
      </c>
      <c r="J21" s="54">
        <f ca="1"/>
        <v>0</v>
      </c>
      <c r="K21" s="54">
        <f ca="1"/>
        <v>0</v>
      </c>
      <c r="L21" s="54">
        <f ca="1"/>
        <v>0</v>
      </c>
      <c r="M21" s="54" t="str">
        <f ca="1"/>
        <v/>
      </c>
      <c r="N21" s="54"/>
      <c r="O21" s="54"/>
      <c r="P21" s="54"/>
      <c r="Q21" s="54"/>
      <c r="R21" s="54"/>
      <c r="S21" s="54"/>
    </row>
    <row r="22" spans="1:29" ht="16.5">
      <c r="A22" s="33">
        <f ca="1"/>
        <v>0.94736842105263119</v>
      </c>
      <c r="B22">
        <f ca="1"/>
        <v>29682.103025091266</v>
      </c>
      <c r="D22" s="54">
        <f ca="1"/>
        <v>4</v>
      </c>
      <c r="E22" s="54">
        <f ca="1"/>
        <v>30377.737600163495</v>
      </c>
      <c r="F22" s="54">
        <f ca="1"/>
        <v>30313.524539206031</v>
      </c>
      <c r="G22" s="54">
        <f ca="1"/>
        <v>31072.685152013557</v>
      </c>
      <c r="H22" s="54">
        <f ca="1"/>
        <v>29554.363926398506</v>
      </c>
      <c r="I22" s="54">
        <f ca="1"/>
        <v>0</v>
      </c>
      <c r="J22" s="54">
        <f ca="1"/>
        <v>0</v>
      </c>
      <c r="K22" s="54">
        <f ca="1"/>
        <v>0</v>
      </c>
      <c r="L22" s="54">
        <f ca="1"/>
        <v>0</v>
      </c>
      <c r="M22" s="54" t="str">
        <f ca="1"/>
        <v/>
      </c>
      <c r="N22" s="54"/>
      <c r="O22" s="54"/>
      <c r="P22" s="54"/>
      <c r="Q22" s="54"/>
      <c r="R22" s="54"/>
      <c r="S22" s="54"/>
    </row>
    <row r="23" spans="1:29">
      <c r="A23">
        <f ca="1"/>
        <v>0.99999999999999956</v>
      </c>
      <c r="B23">
        <f ca="1"/>
        <v>30579.725928037049</v>
      </c>
      <c r="D23" s="54">
        <f ca="1"/>
        <v>5</v>
      </c>
      <c r="E23" s="54">
        <f ca="1"/>
        <v>30167.476115490605</v>
      </c>
      <c r="F23" s="54">
        <f ca="1"/>
        <v>30264.841731300887</v>
      </c>
      <c r="G23" s="54">
        <f ca="1"/>
        <v>30918.199857827516</v>
      </c>
      <c r="H23" s="54">
        <f ca="1"/>
        <v>29611.483604774257</v>
      </c>
      <c r="I23" s="54">
        <f ca="1"/>
        <v>0</v>
      </c>
      <c r="J23" s="54">
        <f ca="1"/>
        <v>0</v>
      </c>
      <c r="K23" s="54">
        <f ca="1"/>
        <v>0</v>
      </c>
      <c r="L23" s="54">
        <f ca="1"/>
        <v>0</v>
      </c>
      <c r="M23" s="54" t="str">
        <f ca="1"/>
        <v/>
      </c>
      <c r="N23" s="54"/>
      <c r="O23" s="54"/>
      <c r="P23" s="54"/>
      <c r="Q23" s="54"/>
      <c r="R23" s="54"/>
      <c r="S23" s="54"/>
    </row>
    <row r="24" spans="1:29" ht="15">
      <c r="D24" s="57">
        <f ca="1"/>
        <v>6</v>
      </c>
      <c r="E24" s="57">
        <f ca="1"/>
        <v>30344.576554555359</v>
      </c>
      <c r="F24" s="57">
        <f ca="1"/>
        <v>30287.623109373595</v>
      </c>
      <c r="G24" s="57">
        <f ca="1"/>
        <v>30850.285824813993</v>
      </c>
      <c r="H24" s="57">
        <f ca="1"/>
        <v>29724.960393933197</v>
      </c>
      <c r="I24" s="57">
        <f ca="1"/>
        <v>0</v>
      </c>
      <c r="J24" s="57">
        <f ca="1"/>
        <v>0</v>
      </c>
      <c r="K24" s="57">
        <f ca="1"/>
        <v>0</v>
      </c>
      <c r="L24" s="57">
        <f ca="1"/>
        <v>0</v>
      </c>
      <c r="M24" s="57" t="str">
        <f ca="1"/>
        <v/>
      </c>
      <c r="N24" s="57"/>
      <c r="O24" s="57"/>
      <c r="P24" s="57"/>
      <c r="Q24" s="57"/>
      <c r="R24" s="57"/>
      <c r="S24" s="57"/>
    </row>
    <row r="25" spans="1:29">
      <c r="D25">
        <f ca="1"/>
        <v>7</v>
      </c>
      <c r="E25">
        <f ca="1"/>
        <v>30419.064760257323</v>
      </c>
      <c r="F25">
        <f ca="1"/>
        <v>30320.483522094528</v>
      </c>
      <c r="G25">
        <f ca="1"/>
        <v>30836.813629741955</v>
      </c>
      <c r="H25">
        <f ca="1"/>
        <v>29804.153414447101</v>
      </c>
      <c r="I25">
        <f ca="1"/>
        <v>0</v>
      </c>
      <c r="J25">
        <f ca="1"/>
        <v>0</v>
      </c>
      <c r="K25">
        <f ca="1"/>
        <v>0</v>
      </c>
      <c r="L25">
        <f ca="1"/>
        <v>0</v>
      </c>
      <c r="M25" t="str">
        <f ca="1"/>
        <v/>
      </c>
    </row>
    <row r="26" spans="1:29">
      <c r="D26">
        <f ca="1"/>
        <v>8</v>
      </c>
      <c r="E26">
        <f ca="1"/>
        <v>29878.491185548424</v>
      </c>
      <c r="F26">
        <f ca="1"/>
        <v>30222.263002862062</v>
      </c>
      <c r="G26">
        <f ca="1"/>
        <v>30937.274938920877</v>
      </c>
      <c r="H26">
        <f ca="1"/>
        <v>29507.251066803248</v>
      </c>
      <c r="I26">
        <f ca="1"/>
        <v>0</v>
      </c>
      <c r="J26" s="54">
        <f ca="1"/>
        <v>0</v>
      </c>
      <c r="K26" s="54">
        <f ca="1"/>
        <v>0</v>
      </c>
      <c r="L26" s="54">
        <f ca="1"/>
        <v>0</v>
      </c>
      <c r="M26" s="54" t="str">
        <f ca="1"/>
        <v/>
      </c>
      <c r="N26" s="54"/>
      <c r="O26" s="54"/>
      <c r="P26" s="54"/>
      <c r="Q26" s="54"/>
    </row>
    <row r="27" spans="1:29" ht="15">
      <c r="A27" s="47" t="s">
        <v>1851</v>
      </c>
      <c r="D27">
        <f ca="1"/>
        <v>9</v>
      </c>
      <c r="E27">
        <f ca="1"/>
        <v>30652.56445726331</v>
      </c>
      <c r="F27">
        <f ca="1"/>
        <v>30322.862672340605</v>
      </c>
      <c r="G27" s="47">
        <f ca="1"/>
        <v>31130.888167930883</v>
      </c>
      <c r="H27">
        <f ca="1"/>
        <v>29514.837176750327</v>
      </c>
      <c r="I27">
        <f ca="1"/>
        <v>0</v>
      </c>
      <c r="J27" s="54">
        <f ca="1"/>
        <v>0</v>
      </c>
      <c r="K27" s="54">
        <f ca="1"/>
        <v>0</v>
      </c>
      <c r="L27" s="54">
        <f ca="1"/>
        <v>0</v>
      </c>
      <c r="M27" s="54" t="str">
        <f ca="1"/>
        <v/>
      </c>
      <c r="N27" s="54"/>
      <c r="O27" s="54"/>
      <c r="P27" s="54"/>
      <c r="Q27" s="54"/>
      <c r="R27" s="47" t="s">
        <v>1851</v>
      </c>
      <c r="AC27" t="s">
        <v>2068</v>
      </c>
    </row>
    <row r="28" spans="1:29" ht="15">
      <c r="A28" s="47" t="s">
        <v>1852</v>
      </c>
      <c r="D28">
        <f ca="1"/>
        <v>10</v>
      </c>
      <c r="E28">
        <f ca="1"/>
        <v>29848.042507457249</v>
      </c>
      <c r="F28">
        <f ca="1"/>
        <v>30220.290495803696</v>
      </c>
      <c r="G28" s="47">
        <f ca="1"/>
        <v>31163.838569533447</v>
      </c>
      <c r="H28">
        <f ca="1"/>
        <v>29276.742422073945</v>
      </c>
      <c r="I28">
        <f ca="1"/>
        <v>0</v>
      </c>
      <c r="J28" s="54">
        <f ca="1"/>
        <v>0</v>
      </c>
      <c r="K28" s="54">
        <f ca="1"/>
        <v>0</v>
      </c>
      <c r="L28" s="54">
        <f ca="1"/>
        <v>0</v>
      </c>
      <c r="M28" s="54" t="str">
        <f ca="1"/>
        <v/>
      </c>
      <c r="N28" s="54"/>
      <c r="O28" s="54"/>
      <c r="P28" s="54"/>
      <c r="Q28" s="54"/>
      <c r="R28" s="47" t="s">
        <v>1929</v>
      </c>
      <c r="AC28" s="47" t="s">
        <v>1851</v>
      </c>
    </row>
    <row r="29" spans="1:29" ht="15">
      <c r="A29" s="47" t="s">
        <v>1853</v>
      </c>
      <c r="D29">
        <f ca="1"/>
        <v>11</v>
      </c>
      <c r="E29">
        <f ca="1"/>
        <v>29631.490750114364</v>
      </c>
      <c r="F29">
        <f ca="1"/>
        <v>30075.520687785491</v>
      </c>
      <c r="G29" s="47">
        <f ca="1"/>
        <v>31185.589953409264</v>
      </c>
      <c r="H29" s="54">
        <f ca="1"/>
        <v>28965.451422161717</v>
      </c>
      <c r="I29">
        <f ca="1"/>
        <v>0</v>
      </c>
      <c r="J29" s="54">
        <f ca="1"/>
        <v>0</v>
      </c>
      <c r="K29" s="54">
        <f ca="1"/>
        <v>0</v>
      </c>
      <c r="L29" s="54">
        <f ca="1"/>
        <v>0</v>
      </c>
      <c r="M29" s="54" t="str">
        <f ca="1"/>
        <v/>
      </c>
      <c r="N29" s="54"/>
      <c r="O29" s="54"/>
      <c r="P29" s="54"/>
      <c r="Q29" s="54"/>
      <c r="R29" s="47" t="s">
        <v>1930</v>
      </c>
      <c r="AC29" s="47" t="s">
        <v>2047</v>
      </c>
    </row>
    <row r="30" spans="1:29" ht="15">
      <c r="A30" s="47" t="s">
        <v>1854</v>
      </c>
      <c r="D30">
        <f ca="1"/>
        <v>12</v>
      </c>
      <c r="E30">
        <f ca="1"/>
        <v>29271.203859756981</v>
      </c>
      <c r="F30">
        <f ca="1"/>
        <v>29876.914769652318</v>
      </c>
      <c r="G30" s="47">
        <f ca="1"/>
        <v>31270.965602136006</v>
      </c>
      <c r="H30">
        <f ca="1"/>
        <v>28482.863937168629</v>
      </c>
      <c r="I30">
        <f ca="1"/>
        <v>0</v>
      </c>
      <c r="J30" s="54">
        <f ca="1"/>
        <v>0</v>
      </c>
      <c r="K30" s="54">
        <f ca="1"/>
        <v>0</v>
      </c>
      <c r="L30" s="54">
        <f ca="1"/>
        <v>0</v>
      </c>
      <c r="M30" s="54" t="str">
        <f ca="1"/>
        <v/>
      </c>
      <c r="N30" s="54"/>
      <c r="O30" s="54"/>
      <c r="P30" s="54"/>
      <c r="Q30" s="54"/>
      <c r="R30" s="47" t="s">
        <v>1931</v>
      </c>
      <c r="AC30" s="47" t="s">
        <v>2048</v>
      </c>
    </row>
    <row r="31" spans="1:29" ht="15">
      <c r="A31" s="47" t="s">
        <v>1855</v>
      </c>
      <c r="D31">
        <f ca="1"/>
        <v>13</v>
      </c>
      <c r="E31">
        <f ca="1"/>
        <v>30083.840627207341</v>
      </c>
      <c r="F31">
        <f ca="1"/>
        <v>29889.631848186073</v>
      </c>
      <c r="G31" s="47">
        <f ca="1"/>
        <v>31162.776387503924</v>
      </c>
      <c r="H31">
        <f ca="1"/>
        <v>28616.487308868222</v>
      </c>
      <c r="I31">
        <f ca="1"/>
        <v>0</v>
      </c>
      <c r="J31" s="54">
        <f ca="1"/>
        <v>0</v>
      </c>
      <c r="K31" s="54">
        <f ca="1"/>
        <v>0</v>
      </c>
      <c r="L31" s="54">
        <f ca="1"/>
        <v>0</v>
      </c>
      <c r="M31" s="54" t="str">
        <f ca="1"/>
        <v/>
      </c>
      <c r="N31" s="54"/>
      <c r="O31" s="54"/>
      <c r="P31" s="54"/>
      <c r="Q31" s="54"/>
      <c r="R31" s="47" t="s">
        <v>1932</v>
      </c>
      <c r="AC31" s="47" t="s">
        <v>2049</v>
      </c>
    </row>
    <row r="32" spans="1:29" ht="15">
      <c r="A32" s="47" t="s">
        <v>1856</v>
      </c>
      <c r="D32">
        <f ca="1"/>
        <v>14</v>
      </c>
      <c r="E32">
        <f ca="1"/>
        <v>29337.696087496843</v>
      </c>
      <c r="F32">
        <f ca="1"/>
        <v>29738.862237014244</v>
      </c>
      <c r="G32" s="47">
        <f ca="1"/>
        <v>31017.955540765317</v>
      </c>
      <c r="H32">
        <f ca="1"/>
        <v>28459.768933263171</v>
      </c>
      <c r="I32">
        <f ca="1"/>
        <v>0</v>
      </c>
      <c r="J32" s="54">
        <f ca="1"/>
        <v>0</v>
      </c>
      <c r="K32" s="54">
        <f ca="1"/>
        <v>0</v>
      </c>
      <c r="L32" s="54">
        <f ca="1"/>
        <v>0</v>
      </c>
      <c r="M32" s="54" t="str">
        <f ca="1"/>
        <v/>
      </c>
      <c r="N32" s="54"/>
      <c r="O32" s="54"/>
      <c r="P32" s="54"/>
      <c r="Q32" s="54"/>
      <c r="R32" s="47" t="s">
        <v>1933</v>
      </c>
      <c r="AC32" s="47" t="s">
        <v>2050</v>
      </c>
    </row>
    <row r="33" spans="1:29" ht="15">
      <c r="A33" s="47" t="s">
        <v>1857</v>
      </c>
      <c r="D33">
        <f ca="1"/>
        <v>15</v>
      </c>
      <c r="E33">
        <f ca="1"/>
        <v>29603.893055034347</v>
      </c>
      <c r="F33">
        <f ca="1"/>
        <v>29675.216409380158</v>
      </c>
      <c r="G33" s="47">
        <f ca="1"/>
        <v>30759.778822533019</v>
      </c>
      <c r="H33">
        <f ca="1"/>
        <v>28590.653996227298</v>
      </c>
      <c r="I33">
        <f ca="1"/>
        <v>0</v>
      </c>
      <c r="J33" s="54">
        <f ca="1"/>
        <v>0</v>
      </c>
      <c r="K33" s="54">
        <f ca="1"/>
        <v>0</v>
      </c>
      <c r="L33" s="54">
        <f ca="1"/>
        <v>0</v>
      </c>
      <c r="M33" s="54" t="str">
        <f ca="1"/>
        <v/>
      </c>
      <c r="N33" s="54"/>
      <c r="O33" s="54"/>
      <c r="P33" s="54"/>
      <c r="Q33" s="54"/>
      <c r="R33" s="47" t="s">
        <v>1934</v>
      </c>
      <c r="AC33" s="47" t="s">
        <v>2051</v>
      </c>
    </row>
    <row r="34" spans="1:29" ht="15">
      <c r="A34" s="47" t="s">
        <v>1858</v>
      </c>
      <c r="D34">
        <f ca="1"/>
        <v>16</v>
      </c>
      <c r="E34">
        <f ca="1"/>
        <v>29157.253619298164</v>
      </c>
      <c r="F34">
        <f ca="1"/>
        <v>29534.961032283118</v>
      </c>
      <c r="G34" s="47">
        <f ca="1"/>
        <v>30614.971687718513</v>
      </c>
      <c r="H34">
        <f ca="1"/>
        <v>28454.950376847723</v>
      </c>
      <c r="I34">
        <f ca="1"/>
        <v>0</v>
      </c>
      <c r="J34" s="54">
        <f ca="1"/>
        <v>0</v>
      </c>
      <c r="K34" s="54">
        <f ca="1"/>
        <v>0</v>
      </c>
      <c r="L34" s="54">
        <f ca="1"/>
        <v>0</v>
      </c>
      <c r="M34" s="54" t="str">
        <f ca="1"/>
        <v/>
      </c>
      <c r="N34" s="54"/>
      <c r="O34" s="54"/>
      <c r="P34" s="54"/>
      <c r="Q34" s="54"/>
      <c r="R34" s="47" t="s">
        <v>77</v>
      </c>
      <c r="AC34" s="47" t="s">
        <v>2052</v>
      </c>
    </row>
    <row r="35" spans="1:29" ht="15">
      <c r="A35" s="47" t="s">
        <v>1858</v>
      </c>
      <c r="D35">
        <f ca="1"/>
        <v>17</v>
      </c>
      <c r="E35">
        <f ca="1"/>
        <v>30353.256012839491</v>
      </c>
      <c r="F35">
        <f ca="1"/>
        <v>29680.518341702216</v>
      </c>
      <c r="G35" s="47">
        <f ca="1"/>
        <v>31035.719058706523</v>
      </c>
      <c r="H35">
        <f ca="1"/>
        <v>28325.317624697909</v>
      </c>
      <c r="I35">
        <f ca="1"/>
        <v>0</v>
      </c>
      <c r="J35" s="54">
        <f ca="1"/>
        <v>0</v>
      </c>
      <c r="K35" s="54">
        <f ca="1"/>
        <v>0</v>
      </c>
      <c r="L35" s="54">
        <f ca="1"/>
        <v>0</v>
      </c>
      <c r="M35" s="54" t="str">
        <f ca="1"/>
        <v/>
      </c>
      <c r="N35" s="54"/>
      <c r="O35" s="54"/>
      <c r="P35" s="54"/>
      <c r="Q35" s="54"/>
      <c r="R35" s="47" t="s">
        <v>1935</v>
      </c>
      <c r="AC35" s="47" t="s">
        <v>2053</v>
      </c>
    </row>
    <row r="36" spans="1:29" ht="15">
      <c r="A36" s="47" t="s">
        <v>1859</v>
      </c>
      <c r="D36">
        <f ca="1"/>
        <v>18</v>
      </c>
      <c r="E36">
        <f ca="1"/>
        <v>29410.575570175602</v>
      </c>
      <c r="F36">
        <f ca="1"/>
        <v>29624.905231763325</v>
      </c>
      <c r="G36" s="47">
        <f ca="1"/>
        <v>30910.151467548305</v>
      </c>
      <c r="H36">
        <f ca="1"/>
        <v>28339.658995978345</v>
      </c>
      <c r="I36">
        <f ca="1"/>
        <v>0</v>
      </c>
      <c r="J36" s="54">
        <f ca="1"/>
        <v>0</v>
      </c>
      <c r="K36" s="54">
        <f ca="1"/>
        <v>0</v>
      </c>
      <c r="L36" s="54">
        <f ca="1"/>
        <v>0</v>
      </c>
      <c r="M36" s="54" t="str">
        <f ca="1"/>
        <v/>
      </c>
      <c r="N36" s="54"/>
      <c r="O36" s="54"/>
      <c r="P36" s="54"/>
      <c r="Q36" s="54"/>
      <c r="R36" s="47" t="s">
        <v>1936</v>
      </c>
      <c r="AC36" s="47" t="s">
        <v>2054</v>
      </c>
    </row>
    <row r="37" spans="1:29" ht="15">
      <c r="A37" s="47" t="s">
        <v>1860</v>
      </c>
      <c r="D37">
        <f ca="1"/>
        <v>19</v>
      </c>
      <c r="E37">
        <f ca="1"/>
        <v>29682.103025091266</v>
      </c>
      <c r="F37">
        <f ca="1"/>
        <v>29641.783415619077</v>
      </c>
      <c r="G37" s="47">
        <f ca="1"/>
        <v>30804.70198434448</v>
      </c>
      <c r="H37">
        <f ca="1"/>
        <v>28478.864846893674</v>
      </c>
      <c r="I37">
        <f ca="1"/>
        <v>0</v>
      </c>
      <c r="J37" s="54">
        <f ca="1"/>
        <v>0</v>
      </c>
      <c r="K37" s="54">
        <f ca="1"/>
        <v>0</v>
      </c>
      <c r="L37" s="54">
        <f ca="1"/>
        <v>0</v>
      </c>
      <c r="M37" s="54" t="str">
        <f ca="1"/>
        <v/>
      </c>
      <c r="N37" s="54"/>
      <c r="O37" s="54"/>
      <c r="P37" s="54"/>
      <c r="Q37" s="54"/>
      <c r="R37" s="47" t="s">
        <v>1937</v>
      </c>
      <c r="AC37" s="47" t="s">
        <v>2055</v>
      </c>
    </row>
    <row r="38" spans="1:29" ht="15">
      <c r="A38" s="47" t="s">
        <v>1861</v>
      </c>
      <c r="D38">
        <f ca="1"/>
        <v>20</v>
      </c>
      <c r="E38">
        <f ca="1"/>
        <v>30579.725928037049</v>
      </c>
      <c r="F38">
        <f ca="1"/>
        <v>29856.727459157861</v>
      </c>
      <c r="G38" s="47">
        <f ca="1"/>
        <v>31402.809608425898</v>
      </c>
      <c r="H38">
        <f ca="1"/>
        <v>28310.645309889824</v>
      </c>
      <c r="I38">
        <f ca="1"/>
        <v>0</v>
      </c>
      <c r="J38" s="54">
        <f ca="1"/>
        <v>0</v>
      </c>
      <c r="K38" s="54">
        <f ca="1"/>
        <v>0</v>
      </c>
      <c r="L38">
        <f ca="1"/>
        <v>0</v>
      </c>
      <c r="M38" t="str">
        <f ca="1"/>
        <v/>
      </c>
      <c r="R38" s="47" t="s">
        <v>1938</v>
      </c>
      <c r="AC38" s="47" t="s">
        <v>2056</v>
      </c>
    </row>
    <row r="39" spans="1:29" ht="15">
      <c r="A39" s="47" t="s">
        <v>1862</v>
      </c>
      <c r="J39" s="54"/>
      <c r="K39" s="54"/>
      <c r="R39" s="47" t="s">
        <v>1939</v>
      </c>
      <c r="AC39" s="47" t="s">
        <v>2057</v>
      </c>
    </row>
    <row r="40" spans="1:29" ht="16.5">
      <c r="A40" s="47" t="s">
        <v>1863</v>
      </c>
      <c r="C40" s="33"/>
      <c r="I40" s="47" t="s">
        <v>2095</v>
      </c>
      <c r="R40" s="47" t="s">
        <v>1940</v>
      </c>
      <c r="AC40" s="47" t="s">
        <v>2058</v>
      </c>
    </row>
    <row r="41" spans="1:29" ht="15">
      <c r="A41" s="47" t="s">
        <v>1864</v>
      </c>
      <c r="I41" s="47" t="s">
        <v>2078</v>
      </c>
      <c r="R41" s="47" t="s">
        <v>1941</v>
      </c>
      <c r="AC41" s="47" t="s">
        <v>2059</v>
      </c>
    </row>
    <row r="42" spans="1:29" ht="15">
      <c r="A42" s="47" t="s">
        <v>1865</v>
      </c>
      <c r="I42" s="47" t="s">
        <v>2079</v>
      </c>
      <c r="R42" s="47" t="s">
        <v>1942</v>
      </c>
      <c r="AC42" s="47" t="s">
        <v>2060</v>
      </c>
    </row>
    <row r="43" spans="1:29" ht="15">
      <c r="A43" s="47" t="s">
        <v>1866</v>
      </c>
      <c r="I43" s="47" t="s">
        <v>2080</v>
      </c>
      <c r="R43" s="47" t="s">
        <v>1943</v>
      </c>
      <c r="AC43" s="47" t="s">
        <v>2061</v>
      </c>
    </row>
    <row r="44" spans="1:29" ht="15">
      <c r="A44" s="47" t="s">
        <v>1867</v>
      </c>
      <c r="I44" s="47" t="s">
        <v>2081</v>
      </c>
      <c r="R44" s="47" t="s">
        <v>1944</v>
      </c>
      <c r="AC44" s="47" t="s">
        <v>2062</v>
      </c>
    </row>
    <row r="45" spans="1:29" ht="15">
      <c r="A45" s="47" t="s">
        <v>1868</v>
      </c>
      <c r="I45" s="47" t="s">
        <v>2082</v>
      </c>
      <c r="R45" s="47" t="s">
        <v>1945</v>
      </c>
      <c r="AC45" s="47" t="s">
        <v>2063</v>
      </c>
    </row>
    <row r="46" spans="1:29" ht="15">
      <c r="A46" s="47" t="s">
        <v>1869</v>
      </c>
      <c r="I46" s="47" t="s">
        <v>2083</v>
      </c>
      <c r="R46" s="47" t="s">
        <v>1946</v>
      </c>
      <c r="AC46" s="47" t="s">
        <v>80</v>
      </c>
    </row>
    <row r="47" spans="1:29" ht="15">
      <c r="A47" s="47" t="s">
        <v>1870</v>
      </c>
      <c r="I47" s="47" t="s">
        <v>2084</v>
      </c>
      <c r="R47" s="47" t="s">
        <v>1947</v>
      </c>
      <c r="AC47" s="47" t="s">
        <v>76</v>
      </c>
    </row>
    <row r="48" spans="1:29" ht="15">
      <c r="A48" s="47" t="s">
        <v>1871</v>
      </c>
      <c r="I48" s="47" t="s">
        <v>2057</v>
      </c>
      <c r="R48" s="47" t="s">
        <v>1948</v>
      </c>
      <c r="AC48" s="47" t="s">
        <v>77</v>
      </c>
    </row>
    <row r="49" spans="1:29" ht="15">
      <c r="A49" s="47" t="s">
        <v>1872</v>
      </c>
      <c r="I49" s="47" t="s">
        <v>2085</v>
      </c>
      <c r="R49" s="47" t="s">
        <v>77</v>
      </c>
      <c r="AC49" s="47" t="s">
        <v>2064</v>
      </c>
    </row>
    <row r="50" spans="1:29" ht="15">
      <c r="A50" s="47" t="s">
        <v>1873</v>
      </c>
      <c r="I50" s="47" t="s">
        <v>2086</v>
      </c>
      <c r="R50" s="47" t="s">
        <v>1949</v>
      </c>
      <c r="AC50" s="47" t="s">
        <v>2065</v>
      </c>
    </row>
    <row r="51" spans="1:29" ht="15">
      <c r="A51" s="47" t="s">
        <v>1874</v>
      </c>
      <c r="I51" s="47" t="s">
        <v>2087</v>
      </c>
      <c r="R51" s="47" t="s">
        <v>1950</v>
      </c>
      <c r="AC51" s="47" t="s">
        <v>2066</v>
      </c>
    </row>
    <row r="52" spans="1:29" ht="15">
      <c r="A52" s="47" t="s">
        <v>1875</v>
      </c>
      <c r="I52" s="47" t="s">
        <v>2088</v>
      </c>
      <c r="R52" s="47" t="s">
        <v>1951</v>
      </c>
      <c r="Y52" s="47" t="s">
        <v>2006</v>
      </c>
    </row>
    <row r="53" spans="1:29" ht="15">
      <c r="A53" s="47" t="s">
        <v>1876</v>
      </c>
      <c r="I53" s="47" t="s">
        <v>2089</v>
      </c>
      <c r="R53" s="47" t="s">
        <v>1952</v>
      </c>
      <c r="AC53" s="47" t="s">
        <v>2067</v>
      </c>
    </row>
    <row r="54" spans="1:29" ht="15">
      <c r="A54" s="47" t="s">
        <v>1877</v>
      </c>
      <c r="I54" s="47" t="s">
        <v>2090</v>
      </c>
      <c r="R54" s="47" t="s">
        <v>1953</v>
      </c>
      <c r="AC54" s="47" t="s">
        <v>1928</v>
      </c>
    </row>
    <row r="55" spans="1:29" ht="15">
      <c r="A55" s="47" t="s">
        <v>1878</v>
      </c>
      <c r="I55" s="47" t="s">
        <v>2091</v>
      </c>
      <c r="R55" s="47" t="s">
        <v>1954</v>
      </c>
      <c r="AC55" s="47" t="s">
        <v>83</v>
      </c>
    </row>
    <row r="56" spans="1:29" ht="15">
      <c r="A56" s="47" t="s">
        <v>1879</v>
      </c>
      <c r="I56" s="47" t="s">
        <v>2092</v>
      </c>
      <c r="R56" s="47" t="s">
        <v>77</v>
      </c>
    </row>
    <row r="57" spans="1:29" ht="15">
      <c r="A57" s="47" t="s">
        <v>1880</v>
      </c>
      <c r="I57" s="47" t="s">
        <v>2093</v>
      </c>
      <c r="R57" s="47" t="s">
        <v>1955</v>
      </c>
    </row>
    <row r="58" spans="1:29" ht="15">
      <c r="A58" s="47" t="s">
        <v>1881</v>
      </c>
      <c r="I58" s="47" t="s">
        <v>615</v>
      </c>
      <c r="R58" s="47" t="s">
        <v>1956</v>
      </c>
    </row>
    <row r="59" spans="1:29" ht="15">
      <c r="A59" s="47" t="s">
        <v>1882</v>
      </c>
      <c r="I59" s="47" t="s">
        <v>2063</v>
      </c>
      <c r="R59" s="47" t="s">
        <v>1957</v>
      </c>
    </row>
    <row r="60" spans="1:29" ht="15">
      <c r="A60" s="47" t="s">
        <v>1883</v>
      </c>
      <c r="I60" s="47" t="s">
        <v>80</v>
      </c>
      <c r="R60" s="47" t="s">
        <v>1958</v>
      </c>
    </row>
    <row r="61" spans="1:29" ht="15">
      <c r="A61" s="47" t="s">
        <v>1884</v>
      </c>
      <c r="I61" s="47" t="s">
        <v>76</v>
      </c>
      <c r="R61" s="47" t="s">
        <v>1959</v>
      </c>
    </row>
    <row r="62" spans="1:29" ht="15">
      <c r="A62" s="47" t="s">
        <v>1885</v>
      </c>
      <c r="I62" s="47" t="s">
        <v>2094</v>
      </c>
      <c r="R62" s="47" t="s">
        <v>1960</v>
      </c>
      <c r="X62" s="47" t="s">
        <v>1953</v>
      </c>
    </row>
    <row r="63" spans="1:29" ht="15">
      <c r="A63" s="47" t="s">
        <v>1886</v>
      </c>
      <c r="I63" s="47" t="s">
        <v>83</v>
      </c>
      <c r="R63" s="47" t="s">
        <v>1961</v>
      </c>
      <c r="X63" s="47" t="s">
        <v>1954</v>
      </c>
    </row>
    <row r="64" spans="1:29" ht="15">
      <c r="A64" s="47" t="s">
        <v>1887</v>
      </c>
      <c r="R64" s="47" t="s">
        <v>1962</v>
      </c>
      <c r="X64" s="47" t="s">
        <v>77</v>
      </c>
    </row>
    <row r="65" spans="1:24" ht="15">
      <c r="A65" s="47" t="s">
        <v>1888</v>
      </c>
      <c r="R65" s="47" t="s">
        <v>1963</v>
      </c>
      <c r="X65" s="47" t="s">
        <v>1955</v>
      </c>
    </row>
    <row r="66" spans="1:24" ht="15">
      <c r="A66" s="47" t="s">
        <v>1889</v>
      </c>
      <c r="R66" s="47" t="s">
        <v>76</v>
      </c>
    </row>
    <row r="67" spans="1:24" ht="15">
      <c r="A67" s="47" t="s">
        <v>1890</v>
      </c>
      <c r="R67" s="47" t="s">
        <v>77</v>
      </c>
    </row>
    <row r="68" spans="1:24" ht="15">
      <c r="A68" s="47" t="s">
        <v>1891</v>
      </c>
      <c r="R68" s="47" t="s">
        <v>1964</v>
      </c>
    </row>
    <row r="69" spans="1:24" ht="15">
      <c r="A69" s="47" t="s">
        <v>1892</v>
      </c>
      <c r="R69" s="47" t="s">
        <v>1965</v>
      </c>
    </row>
    <row r="70" spans="1:24" ht="15">
      <c r="A70" s="47" t="s">
        <v>1893</v>
      </c>
      <c r="R70" s="47" t="s">
        <v>1966</v>
      </c>
    </row>
    <row r="71" spans="1:24" ht="15">
      <c r="A71" s="47" t="s">
        <v>1894</v>
      </c>
      <c r="R71" s="47" t="s">
        <v>77</v>
      </c>
    </row>
    <row r="72" spans="1:24" ht="15">
      <c r="A72" s="47" t="s">
        <v>81</v>
      </c>
      <c r="R72" s="47" t="s">
        <v>1967</v>
      </c>
    </row>
    <row r="73" spans="1:24" ht="15">
      <c r="A73" s="47" t="s">
        <v>1895</v>
      </c>
      <c r="R73" s="47" t="s">
        <v>1968</v>
      </c>
    </row>
    <row r="74" spans="1:24" ht="15">
      <c r="A74" s="47" t="s">
        <v>1896</v>
      </c>
      <c r="R74" s="47" t="s">
        <v>1969</v>
      </c>
    </row>
    <row r="75" spans="1:24" ht="15">
      <c r="A75" s="47" t="s">
        <v>1897</v>
      </c>
      <c r="R75" s="47" t="s">
        <v>1970</v>
      </c>
    </row>
    <row r="76" spans="1:24" ht="15">
      <c r="A76" s="47" t="s">
        <v>1898</v>
      </c>
      <c r="R76" s="47" t="s">
        <v>1971</v>
      </c>
    </row>
    <row r="77" spans="1:24" ht="15">
      <c r="A77" s="47" t="s">
        <v>1899</v>
      </c>
      <c r="R77" s="47" t="s">
        <v>1972</v>
      </c>
    </row>
    <row r="78" spans="1:24" ht="15">
      <c r="A78" s="47" t="s">
        <v>1900</v>
      </c>
      <c r="R78" s="47" t="s">
        <v>1973</v>
      </c>
    </row>
    <row r="79" spans="1:24" ht="15">
      <c r="A79" s="47" t="s">
        <v>1901</v>
      </c>
      <c r="R79" s="47" t="s">
        <v>1974</v>
      </c>
    </row>
    <row r="80" spans="1:24" ht="15">
      <c r="A80" s="47" t="s">
        <v>81</v>
      </c>
      <c r="R80" s="47" t="s">
        <v>1975</v>
      </c>
    </row>
    <row r="81" spans="1:18" ht="15">
      <c r="A81" s="47" t="s">
        <v>1902</v>
      </c>
      <c r="R81" s="47" t="s">
        <v>1976</v>
      </c>
    </row>
    <row r="82" spans="1:18" ht="15">
      <c r="A82" s="47" t="s">
        <v>1903</v>
      </c>
      <c r="R82" s="47" t="s">
        <v>1977</v>
      </c>
    </row>
    <row r="83" spans="1:18" ht="15">
      <c r="A83" s="47" t="s">
        <v>1904</v>
      </c>
      <c r="R83" s="47" t="s">
        <v>1978</v>
      </c>
    </row>
    <row r="84" spans="1:18" ht="15">
      <c r="A84" s="47" t="s">
        <v>1905</v>
      </c>
      <c r="R84" s="47" t="s">
        <v>1979</v>
      </c>
    </row>
    <row r="85" spans="1:18" ht="15">
      <c r="A85" s="47" t="s">
        <v>81</v>
      </c>
      <c r="R85" s="47" t="s">
        <v>79</v>
      </c>
    </row>
    <row r="86" spans="1:18" ht="15">
      <c r="A86" s="47" t="s">
        <v>1906</v>
      </c>
      <c r="R86" s="47" t="s">
        <v>80</v>
      </c>
    </row>
    <row r="87" spans="1:18" ht="15">
      <c r="A87" s="47" t="s">
        <v>1907</v>
      </c>
      <c r="R87" s="47" t="s">
        <v>76</v>
      </c>
    </row>
    <row r="88" spans="1:18" ht="15">
      <c r="A88" s="47" t="s">
        <v>1908</v>
      </c>
      <c r="R88" s="47" t="s">
        <v>77</v>
      </c>
    </row>
    <row r="89" spans="1:18" ht="15">
      <c r="A89" s="47" t="s">
        <v>1909</v>
      </c>
      <c r="R89" s="47" t="s">
        <v>1980</v>
      </c>
    </row>
    <row r="90" spans="1:18" ht="15">
      <c r="A90" s="47" t="s">
        <v>77</v>
      </c>
      <c r="R90" s="47" t="s">
        <v>1981</v>
      </c>
    </row>
    <row r="91" spans="1:18" ht="15">
      <c r="A91" s="47" t="s">
        <v>1910</v>
      </c>
      <c r="R91" s="47" t="s">
        <v>1957</v>
      </c>
    </row>
    <row r="92" spans="1:18" ht="15">
      <c r="A92" s="47" t="s">
        <v>1911</v>
      </c>
      <c r="R92" s="47" t="s">
        <v>1982</v>
      </c>
    </row>
    <row r="93" spans="1:18" ht="15">
      <c r="A93" s="47" t="s">
        <v>1912</v>
      </c>
      <c r="R93" s="47" t="s">
        <v>1983</v>
      </c>
    </row>
    <row r="94" spans="1:18" ht="15">
      <c r="A94" s="47" t="s">
        <v>1913</v>
      </c>
      <c r="R94" s="47" t="s">
        <v>1984</v>
      </c>
    </row>
    <row r="95" spans="1:18" ht="15">
      <c r="A95" s="47" t="s">
        <v>1914</v>
      </c>
      <c r="R95" s="47" t="s">
        <v>1985</v>
      </c>
    </row>
    <row r="96" spans="1:18" ht="15">
      <c r="A96" s="47" t="s">
        <v>1915</v>
      </c>
      <c r="R96" s="47" t="s">
        <v>76</v>
      </c>
    </row>
    <row r="97" spans="1:18" ht="15">
      <c r="A97" s="47" t="s">
        <v>1916</v>
      </c>
      <c r="R97" s="47" t="s">
        <v>77</v>
      </c>
    </row>
    <row r="98" spans="1:18" ht="15">
      <c r="A98" s="47" t="s">
        <v>1917</v>
      </c>
      <c r="R98" s="47" t="s">
        <v>1986</v>
      </c>
    </row>
    <row r="99" spans="1:18" ht="15">
      <c r="A99" s="47" t="s">
        <v>1918</v>
      </c>
      <c r="R99" s="47" t="s">
        <v>1957</v>
      </c>
    </row>
    <row r="100" spans="1:18" ht="15">
      <c r="A100" s="47" t="s">
        <v>1919</v>
      </c>
      <c r="R100" s="47" t="s">
        <v>1982</v>
      </c>
    </row>
    <row r="101" spans="1:18" ht="15">
      <c r="A101" s="47" t="s">
        <v>1920</v>
      </c>
      <c r="R101" s="47" t="s">
        <v>1987</v>
      </c>
    </row>
    <row r="102" spans="1:18" ht="15">
      <c r="A102" s="47" t="s">
        <v>1921</v>
      </c>
      <c r="R102" s="47" t="s">
        <v>1988</v>
      </c>
    </row>
    <row r="103" spans="1:18" ht="15">
      <c r="A103" s="47" t="s">
        <v>1922</v>
      </c>
      <c r="R103" s="47" t="s">
        <v>1989</v>
      </c>
    </row>
    <row r="104" spans="1:18" ht="15">
      <c r="A104" s="47" t="s">
        <v>1923</v>
      </c>
      <c r="R104" s="47" t="s">
        <v>1985</v>
      </c>
    </row>
    <row r="105" spans="1:18" ht="15">
      <c r="A105" s="47" t="s">
        <v>81</v>
      </c>
      <c r="R105" s="47" t="s">
        <v>76</v>
      </c>
    </row>
    <row r="106" spans="1:18" ht="15">
      <c r="A106" s="47" t="s">
        <v>1924</v>
      </c>
      <c r="R106" s="47" t="s">
        <v>77</v>
      </c>
    </row>
    <row r="107" spans="1:18" ht="15">
      <c r="A107" s="47" t="s">
        <v>1909</v>
      </c>
      <c r="R107" s="47" t="s">
        <v>1990</v>
      </c>
    </row>
    <row r="108" spans="1:18" ht="15">
      <c r="A108" s="47" t="s">
        <v>77</v>
      </c>
      <c r="R108" s="47" t="s">
        <v>1957</v>
      </c>
    </row>
    <row r="109" spans="1:18" ht="15">
      <c r="A109" s="47" t="s">
        <v>1925</v>
      </c>
      <c r="R109" s="47" t="s">
        <v>1991</v>
      </c>
    </row>
    <row r="110" spans="1:18" ht="15">
      <c r="A110" s="47" t="s">
        <v>1926</v>
      </c>
      <c r="R110" s="47" t="s">
        <v>1992</v>
      </c>
    </row>
    <row r="111" spans="1:18" ht="15">
      <c r="A111" s="47" t="s">
        <v>1927</v>
      </c>
      <c r="R111" s="47" t="s">
        <v>1993</v>
      </c>
    </row>
    <row r="112" spans="1:18" ht="15">
      <c r="A112" s="47" t="s">
        <v>1928</v>
      </c>
      <c r="R112" s="47" t="s">
        <v>1994</v>
      </c>
    </row>
    <row r="113" spans="1:18" ht="15">
      <c r="A113" s="47" t="s">
        <v>83</v>
      </c>
      <c r="R113" s="47" t="s">
        <v>1995</v>
      </c>
    </row>
    <row r="114" spans="1:18" ht="15">
      <c r="R114" s="47" t="s">
        <v>1996</v>
      </c>
    </row>
    <row r="115" spans="1:18" ht="15">
      <c r="R115" s="47" t="s">
        <v>1997</v>
      </c>
    </row>
    <row r="116" spans="1:18" ht="15">
      <c r="R116" s="47" t="s">
        <v>1998</v>
      </c>
    </row>
    <row r="117" spans="1:18" ht="15">
      <c r="R117" s="47" t="s">
        <v>1999</v>
      </c>
    </row>
    <row r="118" spans="1:18" ht="15">
      <c r="R118" s="47" t="s">
        <v>2000</v>
      </c>
    </row>
    <row r="119" spans="1:18" ht="15">
      <c r="R119" s="47" t="s">
        <v>78</v>
      </c>
    </row>
    <row r="120" spans="1:18" ht="15">
      <c r="R120" s="47" t="s">
        <v>79</v>
      </c>
    </row>
    <row r="121" spans="1:18" ht="15">
      <c r="R121" s="47" t="s">
        <v>80</v>
      </c>
    </row>
    <row r="122" spans="1:18" ht="15">
      <c r="R122" s="47" t="s">
        <v>76</v>
      </c>
    </row>
    <row r="123" spans="1:18" ht="15">
      <c r="R123" s="47" t="s">
        <v>77</v>
      </c>
    </row>
    <row r="124" spans="1:18" ht="15">
      <c r="R124" s="47" t="s">
        <v>2001</v>
      </c>
    </row>
    <row r="125" spans="1:18" ht="15">
      <c r="R125" s="47" t="s">
        <v>2002</v>
      </c>
    </row>
    <row r="126" spans="1:18" ht="15">
      <c r="R126" s="47" t="s">
        <v>2003</v>
      </c>
    </row>
    <row r="127" spans="1:18" ht="15">
      <c r="R127" s="47" t="s">
        <v>2004</v>
      </c>
    </row>
    <row r="128" spans="1:18" ht="15">
      <c r="R128" s="47" t="s">
        <v>2005</v>
      </c>
    </row>
    <row r="129" spans="18:24" ht="15">
      <c r="R129" s="47" t="s">
        <v>2006</v>
      </c>
    </row>
    <row r="130" spans="18:24" ht="15">
      <c r="R130" s="47" t="s">
        <v>2007</v>
      </c>
    </row>
    <row r="131" spans="18:24" ht="15">
      <c r="R131" s="47" t="s">
        <v>2008</v>
      </c>
    </row>
    <row r="132" spans="18:24" ht="15">
      <c r="R132" s="47" t="s">
        <v>2009</v>
      </c>
    </row>
    <row r="133" spans="18:24" ht="15">
      <c r="R133" s="47" t="s">
        <v>2010</v>
      </c>
      <c r="X133" s="47" t="s">
        <v>1941</v>
      </c>
    </row>
    <row r="134" spans="18:24" ht="15">
      <c r="R134" s="47" t="s">
        <v>2011</v>
      </c>
    </row>
    <row r="135" spans="18:24" ht="15">
      <c r="R135" s="47" t="s">
        <v>77</v>
      </c>
      <c r="X135" s="47" t="s">
        <v>1956</v>
      </c>
    </row>
    <row r="136" spans="18:24" ht="15">
      <c r="R136" s="47" t="s">
        <v>2012</v>
      </c>
      <c r="X136" s="47" t="s">
        <v>1957</v>
      </c>
    </row>
    <row r="137" spans="18:24" ht="15">
      <c r="R137" s="47" t="s">
        <v>2013</v>
      </c>
      <c r="X137" s="47" t="s">
        <v>1958</v>
      </c>
    </row>
    <row r="138" spans="18:24" ht="15">
      <c r="R138" s="47" t="s">
        <v>2014</v>
      </c>
      <c r="X138" s="47" t="s">
        <v>1959</v>
      </c>
    </row>
    <row r="139" spans="18:24" ht="15">
      <c r="R139" s="47" t="s">
        <v>2015</v>
      </c>
      <c r="X139" s="47" t="s">
        <v>1960</v>
      </c>
    </row>
    <row r="140" spans="18:24" ht="15">
      <c r="R140" s="47" t="s">
        <v>2016</v>
      </c>
      <c r="X140" s="47" t="s">
        <v>1961</v>
      </c>
    </row>
    <row r="141" spans="18:24" ht="15">
      <c r="R141" s="47" t="s">
        <v>77</v>
      </c>
      <c r="X141" s="47" t="s">
        <v>1962</v>
      </c>
    </row>
    <row r="142" spans="18:24" ht="15">
      <c r="R142" s="47" t="s">
        <v>2017</v>
      </c>
      <c r="X142" s="47" t="s">
        <v>1963</v>
      </c>
    </row>
    <row r="143" spans="18:24" ht="15">
      <c r="R143" s="47" t="s">
        <v>2018</v>
      </c>
      <c r="X143" s="47" t="s">
        <v>76</v>
      </c>
    </row>
    <row r="144" spans="18:24" ht="15">
      <c r="R144" s="47" t="s">
        <v>2019</v>
      </c>
      <c r="X144" s="47" t="s">
        <v>77</v>
      </c>
    </row>
    <row r="145" spans="18:18" ht="15">
      <c r="R145" s="47" t="s">
        <v>2020</v>
      </c>
    </row>
    <row r="146" spans="18:18" ht="15">
      <c r="R146" s="47" t="s">
        <v>2021</v>
      </c>
    </row>
    <row r="147" spans="18:18" ht="15">
      <c r="R147" s="47" t="s">
        <v>2022</v>
      </c>
    </row>
    <row r="148" spans="18:18" ht="15">
      <c r="R148" s="47" t="s">
        <v>2023</v>
      </c>
    </row>
    <row r="149" spans="18:18" ht="15">
      <c r="R149" s="47" t="s">
        <v>1969</v>
      </c>
    </row>
    <row r="150" spans="18:18" ht="15">
      <c r="R150" s="47" t="s">
        <v>2024</v>
      </c>
    </row>
    <row r="151" spans="18:18" ht="15">
      <c r="R151" s="47" t="s">
        <v>2025</v>
      </c>
    </row>
    <row r="152" spans="18:18" ht="15">
      <c r="R152" s="47" t="s">
        <v>2026</v>
      </c>
    </row>
    <row r="153" spans="18:18" ht="15">
      <c r="R153" s="47" t="s">
        <v>76</v>
      </c>
    </row>
    <row r="154" spans="18:18" ht="15">
      <c r="R154" s="47" t="s">
        <v>77</v>
      </c>
    </row>
    <row r="155" spans="18:18" ht="15">
      <c r="R155" s="47" t="s">
        <v>2027</v>
      </c>
    </row>
    <row r="156" spans="18:18" ht="15">
      <c r="R156" s="47" t="s">
        <v>2028</v>
      </c>
    </row>
    <row r="157" spans="18:18" ht="15">
      <c r="R157" s="47" t="s">
        <v>2029</v>
      </c>
    </row>
    <row r="158" spans="18:18" ht="15">
      <c r="R158" s="47" t="s">
        <v>2030</v>
      </c>
    </row>
    <row r="159" spans="18:18" ht="15">
      <c r="R159" s="47" t="s">
        <v>1957</v>
      </c>
    </row>
    <row r="160" spans="18:18" ht="15">
      <c r="R160" s="47" t="s">
        <v>2031</v>
      </c>
    </row>
    <row r="161" spans="18:18" ht="15">
      <c r="R161" s="47" t="s">
        <v>2032</v>
      </c>
    </row>
    <row r="162" spans="18:18" ht="15">
      <c r="R162" s="47" t="s">
        <v>2033</v>
      </c>
    </row>
    <row r="163" spans="18:18" ht="15">
      <c r="R163" s="47" t="s">
        <v>2034</v>
      </c>
    </row>
    <row r="164" spans="18:18" ht="15">
      <c r="R164" s="47" t="s">
        <v>82</v>
      </c>
    </row>
    <row r="165" spans="18:18" ht="15">
      <c r="R165" s="47" t="s">
        <v>2035</v>
      </c>
    </row>
    <row r="166" spans="18:18" ht="15">
      <c r="R166" s="47" t="s">
        <v>76</v>
      </c>
    </row>
    <row r="167" spans="18:18" ht="15">
      <c r="R167" s="47" t="s">
        <v>77</v>
      </c>
    </row>
    <row r="168" spans="18:18" ht="15">
      <c r="R168" s="47" t="s">
        <v>2036</v>
      </c>
    </row>
    <row r="169" spans="18:18" ht="15">
      <c r="R169" s="47" t="s">
        <v>1957</v>
      </c>
    </row>
    <row r="170" spans="18:18" ht="15">
      <c r="R170" s="47" t="s">
        <v>2031</v>
      </c>
    </row>
    <row r="171" spans="18:18" ht="15">
      <c r="R171" s="47" t="s">
        <v>2032</v>
      </c>
    </row>
    <row r="172" spans="18:18" ht="15">
      <c r="R172" s="47" t="s">
        <v>2037</v>
      </c>
    </row>
    <row r="173" spans="18:18" ht="15">
      <c r="R173" s="47" t="s">
        <v>2034</v>
      </c>
    </row>
    <row r="174" spans="18:18" ht="15">
      <c r="R174" s="47" t="s">
        <v>82</v>
      </c>
    </row>
    <row r="175" spans="18:18" ht="15">
      <c r="R175" s="47" t="s">
        <v>2038</v>
      </c>
    </row>
    <row r="176" spans="18:18" ht="15">
      <c r="R176" s="47" t="s">
        <v>76</v>
      </c>
    </row>
    <row r="177" spans="18:18" ht="15">
      <c r="R177" s="47" t="s">
        <v>77</v>
      </c>
    </row>
    <row r="178" spans="18:18" ht="15">
      <c r="R178" s="47" t="s">
        <v>2039</v>
      </c>
    </row>
    <row r="179" spans="18:18" ht="15">
      <c r="R179" s="47" t="s">
        <v>2040</v>
      </c>
    </row>
    <row r="180" spans="18:18" ht="15">
      <c r="R180" s="47" t="s">
        <v>2041</v>
      </c>
    </row>
    <row r="181" spans="18:18" ht="15">
      <c r="R181" s="47" t="s">
        <v>2042</v>
      </c>
    </row>
    <row r="182" spans="18:18" ht="15">
      <c r="R182" s="47" t="s">
        <v>2043</v>
      </c>
    </row>
    <row r="183" spans="18:18" ht="15">
      <c r="R183" s="47" t="s">
        <v>2044</v>
      </c>
    </row>
    <row r="184" spans="18:18" ht="15">
      <c r="R184" s="47" t="s">
        <v>2045</v>
      </c>
    </row>
    <row r="185" spans="18:18" ht="15">
      <c r="R185" s="47" t="s">
        <v>2046</v>
      </c>
    </row>
    <row r="186" spans="18:18" ht="15">
      <c r="R186" s="47" t="s">
        <v>1928</v>
      </c>
    </row>
    <row r="187" spans="18:18" ht="15">
      <c r="R187" s="47" t="s">
        <v>83</v>
      </c>
    </row>
  </sheetData>
  <dataValidations count="2">
    <dataValidation type="list" allowBlank="1" showInputMessage="1" showErrorMessage="1" sqref="I8:L8" xr:uid="{9F114357-EEEA-413D-B6FD-3C3F917B2DA0}">
      <formula1>"raw,zscore"</formula1>
    </dataValidation>
    <dataValidation type="list" allowBlank="1" showInputMessage="1" showErrorMessage="1" sqref="I4:L4" xr:uid="{D14B69B3-FF9C-4399-AF6A-58BC8905983C}">
      <formula1>"avg,cma,sma,wma,ema,emal,trim,med"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S491"/>
  <sheetViews>
    <sheetView topLeftCell="A254" zoomScaleNormal="100" workbookViewId="0">
      <selection activeCell="F292" sqref="F292"/>
    </sheetView>
  </sheetViews>
  <sheetFormatPr defaultColWidth="9.125" defaultRowHeight="14.25"/>
  <cols>
    <col min="1" max="10" width="9.125" style="2"/>
    <col min="11" max="11" width="10.125" style="2" bestFit="1" customWidth="1"/>
    <col min="12" max="16384" width="9.125" style="2"/>
  </cols>
  <sheetData>
    <row r="1" spans="1:11">
      <c r="A1" s="3" t="s">
        <v>514</v>
      </c>
      <c r="K1" s="17">
        <v>46183</v>
      </c>
    </row>
    <row r="2" spans="1:11">
      <c r="A2" s="65" t="s">
        <v>561</v>
      </c>
      <c r="B2" s="65"/>
      <c r="C2" s="65"/>
      <c r="D2" s="65"/>
      <c r="E2" s="65"/>
      <c r="F2" s="65"/>
      <c r="G2" s="65"/>
      <c r="H2" s="65"/>
      <c r="I2" s="65"/>
      <c r="J2" s="65"/>
      <c r="K2" s="65"/>
    </row>
    <row r="3" spans="1:11">
      <c r="A3" s="65" t="s">
        <v>562</v>
      </c>
      <c r="B3" s="65"/>
      <c r="C3" s="65"/>
      <c r="D3" s="65"/>
      <c r="E3" s="65"/>
      <c r="F3" s="65"/>
      <c r="G3" s="65"/>
      <c r="H3" s="65"/>
      <c r="I3" s="65"/>
      <c r="J3" s="65"/>
      <c r="K3" s="65"/>
    </row>
    <row r="4" spans="1:11">
      <c r="A4" s="65" t="s">
        <v>563</v>
      </c>
      <c r="B4" s="65"/>
      <c r="C4" s="65"/>
      <c r="D4" s="65"/>
      <c r="E4" s="65"/>
      <c r="F4" s="65"/>
      <c r="G4" s="65"/>
      <c r="H4" s="65"/>
      <c r="I4" s="65"/>
      <c r="J4" s="65"/>
      <c r="K4" s="65"/>
    </row>
    <row r="5" spans="1:11">
      <c r="A5" s="65" t="s">
        <v>564</v>
      </c>
      <c r="B5" s="65"/>
      <c r="C5" s="65"/>
      <c r="D5" s="65"/>
      <c r="E5" s="65"/>
      <c r="F5" s="65"/>
      <c r="G5" s="65"/>
      <c r="H5" s="65"/>
      <c r="I5" s="65"/>
      <c r="J5" s="65"/>
      <c r="K5" s="65"/>
    </row>
    <row r="6" spans="1:11">
      <c r="A6" s="65" t="s">
        <v>565</v>
      </c>
      <c r="B6" s="65"/>
      <c r="C6" s="65"/>
      <c r="D6" s="65"/>
      <c r="E6" s="65"/>
      <c r="F6" s="65"/>
      <c r="G6" s="65"/>
      <c r="H6" s="65"/>
      <c r="I6" s="65"/>
      <c r="J6" s="65"/>
      <c r="K6" s="65"/>
    </row>
    <row r="8" spans="1:11">
      <c r="A8" s="3" t="s">
        <v>1</v>
      </c>
    </row>
    <row r="9" spans="1:11">
      <c r="A9" s="65" t="s">
        <v>566</v>
      </c>
      <c r="B9" s="65"/>
      <c r="C9" s="65"/>
      <c r="D9" s="65"/>
      <c r="E9" s="65"/>
      <c r="F9" s="65"/>
      <c r="G9" s="65"/>
      <c r="H9" s="65"/>
      <c r="I9" s="65"/>
      <c r="J9" s="65"/>
      <c r="K9" s="65"/>
    </row>
    <row r="10" spans="1:11">
      <c r="A10" s="65" t="s">
        <v>567</v>
      </c>
      <c r="B10" s="65"/>
      <c r="C10" s="65"/>
      <c r="D10" s="65"/>
      <c r="E10" s="65"/>
      <c r="F10" s="65"/>
      <c r="G10" s="65"/>
      <c r="H10" s="65"/>
      <c r="I10" s="65"/>
      <c r="J10" s="65"/>
      <c r="K10" s="65"/>
    </row>
    <row r="11" spans="1:11">
      <c r="A11" s="65" t="s">
        <v>568</v>
      </c>
      <c r="B11" s="65"/>
      <c r="C11" s="65"/>
      <c r="D11" s="65"/>
      <c r="E11" s="65"/>
      <c r="F11" s="65"/>
      <c r="G11" s="65"/>
      <c r="H11" s="65"/>
      <c r="I11" s="65"/>
      <c r="J11" s="65"/>
      <c r="K11" s="65"/>
    </row>
    <row r="12" spans="1:11">
      <c r="A12" s="65" t="s">
        <v>569</v>
      </c>
      <c r="B12" s="65"/>
      <c r="C12" s="65"/>
      <c r="D12" s="65"/>
      <c r="E12" s="65"/>
      <c r="F12" s="65"/>
      <c r="G12" s="65"/>
      <c r="H12" s="65"/>
      <c r="I12" s="65"/>
      <c r="J12" s="65"/>
      <c r="K12" s="65"/>
    </row>
    <row r="14" spans="1:11">
      <c r="A14" s="3" t="s">
        <v>220</v>
      </c>
    </row>
    <row r="15" spans="1:11">
      <c r="A15" s="66" t="s">
        <v>1621</v>
      </c>
      <c r="B15" s="66"/>
      <c r="C15" s="66"/>
      <c r="D15" s="66"/>
      <c r="E15" s="66"/>
      <c r="F15" s="66"/>
      <c r="G15" s="66"/>
      <c r="H15" s="66"/>
      <c r="I15" s="66"/>
      <c r="J15" s="66"/>
      <c r="K15" s="66"/>
    </row>
    <row r="16" spans="1:11">
      <c r="A16" s="67" t="s">
        <v>101</v>
      </c>
      <c r="B16" s="67"/>
      <c r="C16" s="67"/>
      <c r="D16" s="67"/>
      <c r="E16" s="67"/>
      <c r="F16" s="67"/>
      <c r="G16" s="67"/>
      <c r="H16" s="67"/>
      <c r="I16" s="67"/>
      <c r="J16" s="67"/>
      <c r="K16" s="67"/>
    </row>
    <row r="17" spans="1:11">
      <c r="A17" s="67" t="s">
        <v>745</v>
      </c>
      <c r="B17" s="67"/>
      <c r="C17" s="67"/>
      <c r="D17" s="67"/>
      <c r="E17" s="67"/>
      <c r="F17" s="67"/>
      <c r="G17" s="67"/>
      <c r="H17" s="67"/>
      <c r="I17" s="67"/>
      <c r="J17" s="67"/>
      <c r="K17" s="67"/>
    </row>
    <row r="18" spans="1:11">
      <c r="A18" s="67" t="s">
        <v>103</v>
      </c>
      <c r="B18" s="67"/>
      <c r="C18" s="67"/>
      <c r="D18" s="67"/>
      <c r="E18" s="67"/>
      <c r="F18" s="67"/>
      <c r="G18" s="67"/>
      <c r="H18" s="67"/>
      <c r="I18" s="67"/>
      <c r="J18" s="67"/>
      <c r="K18" s="67"/>
    </row>
    <row r="19" spans="1:11">
      <c r="A19" s="67" t="s">
        <v>746</v>
      </c>
      <c r="B19" s="67"/>
      <c r="C19" s="67"/>
      <c r="D19" s="67"/>
      <c r="E19" s="67"/>
      <c r="F19" s="67"/>
      <c r="G19" s="67"/>
      <c r="H19" s="67"/>
      <c r="I19" s="67"/>
      <c r="J19" s="67"/>
      <c r="K19" s="67"/>
    </row>
    <row r="20" spans="1:11">
      <c r="A20" s="67" t="s">
        <v>747</v>
      </c>
      <c r="B20" s="67"/>
      <c r="C20" s="67"/>
      <c r="D20" s="67"/>
      <c r="E20" s="67"/>
      <c r="F20" s="67"/>
      <c r="G20" s="67"/>
      <c r="H20" s="67"/>
      <c r="I20" s="67"/>
      <c r="J20" s="67"/>
      <c r="K20" s="67"/>
    </row>
    <row r="21" spans="1:11">
      <c r="A21" s="67" t="s">
        <v>106</v>
      </c>
      <c r="B21" s="67"/>
      <c r="C21" s="67"/>
      <c r="D21" s="67"/>
      <c r="E21" s="67"/>
      <c r="F21" s="67"/>
      <c r="G21" s="67"/>
      <c r="H21" s="67"/>
      <c r="I21" s="67"/>
      <c r="J21" s="67"/>
      <c r="K21" s="67"/>
    </row>
    <row r="22" spans="1:11">
      <c r="A22" s="67" t="s">
        <v>107</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748</v>
      </c>
      <c r="B24" s="67"/>
      <c r="C24" s="67"/>
      <c r="D24" s="67"/>
      <c r="E24" s="67"/>
      <c r="F24" s="67"/>
      <c r="G24" s="67"/>
      <c r="H24" s="67"/>
      <c r="I24" s="67"/>
      <c r="J24" s="67"/>
      <c r="K24" s="67"/>
    </row>
    <row r="25" spans="1:11">
      <c r="A25" s="67" t="s">
        <v>749</v>
      </c>
      <c r="B25" s="67"/>
      <c r="C25" s="67"/>
      <c r="D25" s="67"/>
      <c r="E25" s="67"/>
      <c r="F25" s="67"/>
      <c r="G25" s="67"/>
      <c r="H25" s="67"/>
      <c r="I25" s="67"/>
      <c r="J25" s="67"/>
      <c r="K25" s="67"/>
    </row>
    <row r="26" spans="1:11">
      <c r="A26" s="67" t="s">
        <v>750</v>
      </c>
      <c r="B26" s="67"/>
      <c r="C26" s="67"/>
      <c r="D26" s="67"/>
      <c r="E26" s="67"/>
      <c r="F26" s="67"/>
      <c r="G26" s="67"/>
      <c r="H26" s="67"/>
      <c r="I26" s="67"/>
      <c r="J26" s="67"/>
      <c r="K26" s="67"/>
    </row>
    <row r="27" spans="1:11">
      <c r="A27" s="67" t="s">
        <v>751</v>
      </c>
      <c r="B27" s="67"/>
      <c r="C27" s="67"/>
      <c r="D27" s="67"/>
      <c r="E27" s="67"/>
      <c r="F27" s="67"/>
      <c r="G27" s="67"/>
      <c r="H27" s="67"/>
      <c r="I27" s="67"/>
      <c r="J27" s="67"/>
      <c r="K27" s="67"/>
    </row>
    <row r="28" spans="1:11">
      <c r="A28" s="67" t="s">
        <v>752</v>
      </c>
      <c r="B28" s="67"/>
      <c r="C28" s="67"/>
      <c r="D28" s="67"/>
      <c r="E28" s="67"/>
      <c r="F28" s="67"/>
      <c r="G28" s="67"/>
      <c r="H28" s="67"/>
      <c r="I28" s="67"/>
      <c r="J28" s="67"/>
      <c r="K28" s="67"/>
    </row>
    <row r="29" spans="1:11">
      <c r="A29" s="67" t="s">
        <v>753</v>
      </c>
      <c r="B29" s="67"/>
      <c r="C29" s="67"/>
      <c r="D29" s="67"/>
      <c r="E29" s="67"/>
      <c r="F29" s="67"/>
      <c r="G29" s="67"/>
      <c r="H29" s="67"/>
      <c r="I29" s="67"/>
      <c r="J29" s="67"/>
      <c r="K29" s="67"/>
    </row>
    <row r="30" spans="1:11">
      <c r="A30" s="67" t="s">
        <v>754</v>
      </c>
      <c r="B30" s="67"/>
      <c r="C30" s="67"/>
      <c r="D30" s="67"/>
      <c r="E30" s="67"/>
      <c r="F30" s="67"/>
      <c r="G30" s="67"/>
      <c r="H30" s="67"/>
      <c r="I30" s="67"/>
      <c r="J30" s="67"/>
      <c r="K30" s="67"/>
    </row>
    <row r="31" spans="1:11">
      <c r="A31" s="67" t="s">
        <v>755</v>
      </c>
      <c r="B31" s="67"/>
      <c r="C31" s="67"/>
      <c r="D31" s="67"/>
      <c r="E31" s="67"/>
      <c r="F31" s="67"/>
      <c r="G31" s="67"/>
      <c r="H31" s="67"/>
      <c r="I31" s="67"/>
      <c r="J31" s="67"/>
      <c r="K31" s="67"/>
    </row>
    <row r="32" spans="1:11">
      <c r="A32" s="67" t="s">
        <v>756</v>
      </c>
      <c r="B32" s="67"/>
      <c r="C32" s="67"/>
      <c r="D32" s="67"/>
      <c r="E32" s="67"/>
      <c r="F32" s="67"/>
      <c r="G32" s="67"/>
      <c r="H32" s="67"/>
      <c r="I32" s="67"/>
      <c r="J32" s="67"/>
      <c r="K32" s="67"/>
    </row>
    <row r="33" spans="1:12">
      <c r="A33" s="67" t="s">
        <v>757</v>
      </c>
      <c r="B33" s="67"/>
      <c r="C33" s="67"/>
      <c r="D33" s="67"/>
      <c r="E33" s="67"/>
      <c r="F33" s="67"/>
      <c r="G33" s="67"/>
      <c r="H33" s="67"/>
      <c r="I33" s="67"/>
      <c r="J33" s="67"/>
      <c r="K33" s="67"/>
    </row>
    <row r="34" spans="1:12">
      <c r="A34" s="67" t="s">
        <v>758</v>
      </c>
      <c r="B34" s="67"/>
      <c r="C34" s="67"/>
      <c r="D34" s="67"/>
      <c r="E34" s="67"/>
      <c r="F34" s="67"/>
      <c r="G34" s="67"/>
      <c r="H34" s="67"/>
      <c r="I34" s="67"/>
      <c r="J34" s="67"/>
      <c r="K34" s="67"/>
      <c r="L34" s="21"/>
    </row>
    <row r="35" spans="1:12">
      <c r="A35" s="67" t="s">
        <v>759</v>
      </c>
      <c r="B35" s="67"/>
      <c r="C35" s="67"/>
      <c r="D35" s="67"/>
      <c r="E35" s="67"/>
      <c r="F35" s="67"/>
      <c r="G35" s="67"/>
      <c r="H35" s="67"/>
      <c r="I35" s="67"/>
      <c r="J35" s="67"/>
      <c r="K35" s="67"/>
      <c r="L35" s="21"/>
    </row>
    <row r="36" spans="1:12">
      <c r="A36" s="67" t="s">
        <v>760</v>
      </c>
      <c r="B36" s="67"/>
      <c r="C36" s="67"/>
      <c r="D36" s="67"/>
      <c r="E36" s="67"/>
      <c r="F36" s="67"/>
      <c r="G36" s="67"/>
      <c r="H36" s="67"/>
      <c r="I36" s="67"/>
      <c r="J36" s="67"/>
      <c r="K36" s="67"/>
      <c r="L36" s="21"/>
    </row>
    <row r="37" spans="1:12">
      <c r="A37" s="67" t="s">
        <v>761</v>
      </c>
      <c r="B37" s="67"/>
      <c r="C37" s="67"/>
      <c r="D37" s="67"/>
      <c r="E37" s="67"/>
      <c r="F37" s="67"/>
      <c r="G37" s="67"/>
      <c r="H37" s="67"/>
      <c r="I37" s="67"/>
      <c r="J37" s="67"/>
      <c r="K37" s="67"/>
      <c r="L37" s="21"/>
    </row>
    <row r="38" spans="1:12">
      <c r="A38" s="67" t="s">
        <v>77</v>
      </c>
      <c r="B38" s="67"/>
      <c r="C38" s="67"/>
      <c r="D38" s="67"/>
      <c r="E38" s="67"/>
      <c r="F38" s="67"/>
      <c r="G38" s="67"/>
      <c r="H38" s="67"/>
      <c r="I38" s="67"/>
      <c r="J38" s="67"/>
      <c r="K38" s="67"/>
      <c r="L38" s="21"/>
    </row>
    <row r="39" spans="1:12">
      <c r="A39" s="67" t="s">
        <v>762</v>
      </c>
      <c r="B39" s="67"/>
      <c r="C39" s="67"/>
      <c r="D39" s="67"/>
      <c r="E39" s="67"/>
      <c r="F39" s="67"/>
      <c r="G39" s="67"/>
      <c r="H39" s="67"/>
      <c r="I39" s="67"/>
      <c r="J39" s="67"/>
      <c r="K39" s="67"/>
      <c r="L39" s="21"/>
    </row>
    <row r="40" spans="1:12">
      <c r="A40" s="67" t="s">
        <v>471</v>
      </c>
      <c r="B40" s="67"/>
      <c r="C40" s="67"/>
      <c r="D40" s="67"/>
      <c r="E40" s="67"/>
      <c r="F40" s="67"/>
      <c r="G40" s="67"/>
      <c r="H40" s="67"/>
      <c r="I40" s="67"/>
      <c r="J40" s="67"/>
      <c r="K40" s="67"/>
      <c r="L40" s="21"/>
    </row>
    <row r="41" spans="1:12">
      <c r="A41" s="67" t="s">
        <v>472</v>
      </c>
      <c r="B41" s="67"/>
      <c r="C41" s="67"/>
      <c r="D41" s="67"/>
      <c r="E41" s="67"/>
      <c r="F41" s="67"/>
      <c r="G41" s="67"/>
      <c r="H41" s="67"/>
      <c r="I41" s="67"/>
      <c r="J41" s="67"/>
      <c r="K41" s="67"/>
      <c r="L41" s="21"/>
    </row>
    <row r="42" spans="1:12">
      <c r="A42" s="67" t="s">
        <v>473</v>
      </c>
      <c r="B42" s="67"/>
      <c r="C42" s="67"/>
      <c r="D42" s="67"/>
      <c r="E42" s="67"/>
      <c r="F42" s="67"/>
      <c r="G42" s="67"/>
      <c r="H42" s="67"/>
      <c r="I42" s="67"/>
      <c r="J42" s="67"/>
      <c r="K42" s="67"/>
    </row>
    <row r="43" spans="1:12">
      <c r="A43" s="67" t="s">
        <v>474</v>
      </c>
      <c r="B43" s="67"/>
      <c r="C43" s="67"/>
      <c r="D43" s="67"/>
      <c r="E43" s="67"/>
      <c r="F43" s="67"/>
      <c r="G43" s="67"/>
      <c r="H43" s="67"/>
      <c r="I43" s="67"/>
      <c r="J43" s="67"/>
      <c r="K43" s="67"/>
    </row>
    <row r="44" spans="1:12">
      <c r="A44" s="67" t="s">
        <v>475</v>
      </c>
      <c r="B44" s="67"/>
      <c r="C44" s="67"/>
      <c r="D44" s="67"/>
      <c r="E44" s="67"/>
      <c r="F44" s="67"/>
      <c r="G44" s="67"/>
      <c r="H44" s="67"/>
      <c r="I44" s="67"/>
      <c r="J44" s="67"/>
      <c r="K44" s="67"/>
    </row>
    <row r="45" spans="1:12">
      <c r="A45" s="67" t="s">
        <v>77</v>
      </c>
      <c r="B45" s="67"/>
      <c r="C45" s="67"/>
      <c r="D45" s="67"/>
      <c r="E45" s="67"/>
      <c r="F45" s="67"/>
      <c r="G45" s="67"/>
      <c r="H45" s="67"/>
      <c r="I45" s="67"/>
      <c r="J45" s="67"/>
      <c r="K45" s="67"/>
    </row>
    <row r="46" spans="1:12">
      <c r="A46" s="67" t="s">
        <v>763</v>
      </c>
      <c r="B46" s="67"/>
      <c r="C46" s="67"/>
      <c r="D46" s="67"/>
      <c r="E46" s="67"/>
      <c r="F46" s="67"/>
      <c r="G46" s="67"/>
      <c r="H46" s="67"/>
      <c r="I46" s="67"/>
      <c r="J46" s="67"/>
      <c r="K46" s="67"/>
    </row>
    <row r="47" spans="1:12">
      <c r="A47" s="67" t="s">
        <v>476</v>
      </c>
      <c r="B47" s="67"/>
      <c r="C47" s="67"/>
      <c r="D47" s="67"/>
      <c r="E47" s="67"/>
      <c r="F47" s="67"/>
      <c r="G47" s="67"/>
      <c r="H47" s="67"/>
      <c r="I47" s="67"/>
      <c r="J47" s="67"/>
      <c r="K47" s="67"/>
    </row>
    <row r="48" spans="1:12">
      <c r="A48" s="67" t="s">
        <v>407</v>
      </c>
      <c r="B48" s="67"/>
      <c r="C48" s="67"/>
      <c r="D48" s="67"/>
      <c r="E48" s="67"/>
      <c r="F48" s="67"/>
      <c r="G48" s="67"/>
      <c r="H48" s="67"/>
      <c r="I48" s="67"/>
      <c r="J48" s="67"/>
      <c r="K48" s="67"/>
    </row>
    <row r="49" spans="1:11">
      <c r="A49" s="67" t="s">
        <v>477</v>
      </c>
      <c r="B49" s="67"/>
      <c r="C49" s="67"/>
      <c r="D49" s="67"/>
      <c r="E49" s="67"/>
      <c r="F49" s="67"/>
      <c r="G49" s="67"/>
      <c r="H49" s="67"/>
      <c r="I49" s="67"/>
      <c r="J49" s="67"/>
      <c r="K49" s="67"/>
    </row>
    <row r="50" spans="1:11">
      <c r="A50" s="67" t="s">
        <v>478</v>
      </c>
      <c r="B50" s="67"/>
      <c r="C50" s="67"/>
      <c r="D50" s="67"/>
      <c r="E50" s="67"/>
      <c r="F50" s="67"/>
      <c r="G50" s="67"/>
      <c r="H50" s="67"/>
      <c r="I50" s="67"/>
      <c r="J50" s="67"/>
      <c r="K50" s="67"/>
    </row>
    <row r="51" spans="1:11">
      <c r="A51" s="67" t="s">
        <v>479</v>
      </c>
      <c r="B51" s="67"/>
      <c r="C51" s="67"/>
      <c r="D51" s="67"/>
      <c r="E51" s="67"/>
      <c r="F51" s="67"/>
      <c r="G51" s="67"/>
      <c r="H51" s="67"/>
      <c r="I51" s="67"/>
      <c r="J51" s="67"/>
      <c r="K51" s="67"/>
    </row>
    <row r="52" spans="1:11">
      <c r="A52" s="67" t="s">
        <v>480</v>
      </c>
      <c r="B52" s="67"/>
      <c r="C52" s="67"/>
      <c r="D52" s="67"/>
      <c r="E52" s="67"/>
      <c r="F52" s="67"/>
      <c r="G52" s="67"/>
      <c r="H52" s="67"/>
      <c r="I52" s="67"/>
      <c r="J52" s="67"/>
      <c r="K52" s="67"/>
    </row>
    <row r="53" spans="1:11">
      <c r="A53" s="67" t="s">
        <v>481</v>
      </c>
      <c r="B53" s="67"/>
      <c r="C53" s="67"/>
      <c r="D53" s="67"/>
      <c r="E53" s="67"/>
      <c r="F53" s="67"/>
      <c r="G53" s="67"/>
      <c r="H53" s="67"/>
      <c r="I53" s="67"/>
      <c r="J53" s="67"/>
      <c r="K53" s="67"/>
    </row>
    <row r="54" spans="1:11">
      <c r="A54" s="67" t="s">
        <v>482</v>
      </c>
      <c r="B54" s="67"/>
      <c r="C54" s="67"/>
      <c r="D54" s="67"/>
      <c r="E54" s="67"/>
      <c r="F54" s="67"/>
      <c r="G54" s="67"/>
      <c r="H54" s="67"/>
      <c r="I54" s="67"/>
      <c r="J54" s="67"/>
      <c r="K54" s="67"/>
    </row>
    <row r="55" spans="1:11">
      <c r="A55" s="67" t="s">
        <v>76</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483</v>
      </c>
      <c r="B57" s="67"/>
      <c r="C57" s="67"/>
      <c r="D57" s="67"/>
      <c r="E57" s="67"/>
      <c r="F57" s="67"/>
      <c r="G57" s="67"/>
      <c r="H57" s="67"/>
      <c r="I57" s="67"/>
      <c r="J57" s="67"/>
      <c r="K57" s="67"/>
    </row>
    <row r="58" spans="1:11">
      <c r="A58" s="67" t="s">
        <v>484</v>
      </c>
      <c r="B58" s="67"/>
      <c r="C58" s="67"/>
      <c r="D58" s="67"/>
      <c r="E58" s="67"/>
      <c r="F58" s="67"/>
      <c r="G58" s="67"/>
      <c r="H58" s="67"/>
      <c r="I58" s="67"/>
      <c r="J58" s="67"/>
      <c r="K58" s="67"/>
    </row>
    <row r="59" spans="1:11">
      <c r="A59" s="67" t="s">
        <v>485</v>
      </c>
      <c r="B59" s="67"/>
      <c r="C59" s="67"/>
      <c r="D59" s="67"/>
      <c r="E59" s="67"/>
      <c r="F59" s="67"/>
      <c r="G59" s="67"/>
      <c r="H59" s="67"/>
      <c r="I59" s="67"/>
      <c r="J59" s="67"/>
      <c r="K59" s="67"/>
    </row>
    <row r="60" spans="1:11">
      <c r="A60" s="67" t="s">
        <v>77</v>
      </c>
      <c r="B60" s="67"/>
      <c r="C60" s="67"/>
      <c r="D60" s="67"/>
      <c r="E60" s="67"/>
      <c r="F60" s="67"/>
      <c r="G60" s="67"/>
      <c r="H60" s="67"/>
      <c r="I60" s="67"/>
      <c r="J60" s="67"/>
      <c r="K60" s="67"/>
    </row>
    <row r="61" spans="1:11">
      <c r="A61" s="67" t="s">
        <v>764</v>
      </c>
      <c r="B61" s="67"/>
      <c r="C61" s="67"/>
      <c r="D61" s="67"/>
      <c r="E61" s="67"/>
      <c r="F61" s="67"/>
      <c r="G61" s="67"/>
      <c r="H61" s="67"/>
      <c r="I61" s="67"/>
      <c r="J61" s="67"/>
      <c r="K61" s="67"/>
    </row>
    <row r="62" spans="1:11">
      <c r="A62" s="67" t="s">
        <v>765</v>
      </c>
      <c r="B62" s="67"/>
      <c r="C62" s="67"/>
      <c r="D62" s="67"/>
      <c r="E62" s="67"/>
      <c r="F62" s="67"/>
      <c r="G62" s="67"/>
      <c r="H62" s="67"/>
      <c r="I62" s="67"/>
      <c r="J62" s="67"/>
      <c r="K62" s="67"/>
    </row>
    <row r="63" spans="1:11">
      <c r="A63" s="67" t="s">
        <v>486</v>
      </c>
      <c r="B63" s="67"/>
      <c r="C63" s="67"/>
      <c r="D63" s="67"/>
      <c r="E63" s="67"/>
      <c r="F63" s="67"/>
      <c r="G63" s="67"/>
      <c r="H63" s="67"/>
      <c r="I63" s="67"/>
      <c r="J63" s="67"/>
      <c r="K63" s="67"/>
    </row>
    <row r="64" spans="1:11">
      <c r="A64" s="67" t="s">
        <v>487</v>
      </c>
      <c r="B64" s="67"/>
      <c r="C64" s="67"/>
      <c r="D64" s="67"/>
      <c r="E64" s="67"/>
      <c r="F64" s="67"/>
      <c r="G64" s="67"/>
      <c r="H64" s="67"/>
      <c r="I64" s="67"/>
      <c r="J64" s="67"/>
      <c r="K64" s="67"/>
    </row>
    <row r="65" spans="1:11">
      <c r="A65" s="67" t="s">
        <v>488</v>
      </c>
      <c r="B65" s="67"/>
      <c r="C65" s="67"/>
      <c r="D65" s="67"/>
      <c r="E65" s="67"/>
      <c r="F65" s="67"/>
      <c r="G65" s="67"/>
      <c r="H65" s="67"/>
      <c r="I65" s="67"/>
      <c r="J65" s="67"/>
      <c r="K65" s="67"/>
    </row>
    <row r="66" spans="1:11">
      <c r="A66" s="67" t="s">
        <v>489</v>
      </c>
      <c r="B66" s="67"/>
      <c r="C66" s="67"/>
      <c r="D66" s="67"/>
      <c r="E66" s="67"/>
      <c r="F66" s="67"/>
      <c r="G66" s="67"/>
      <c r="H66" s="67"/>
      <c r="I66" s="67"/>
      <c r="J66" s="67"/>
      <c r="K66" s="67"/>
    </row>
    <row r="67" spans="1:11">
      <c r="A67" s="67" t="s">
        <v>490</v>
      </c>
      <c r="B67" s="67"/>
      <c r="C67" s="67"/>
      <c r="D67" s="67"/>
      <c r="E67" s="67"/>
      <c r="F67" s="67"/>
      <c r="G67" s="67"/>
      <c r="H67" s="67"/>
      <c r="I67" s="67"/>
      <c r="J67" s="67"/>
      <c r="K67" s="67"/>
    </row>
    <row r="68" spans="1:11">
      <c r="A68" s="67" t="s">
        <v>766</v>
      </c>
      <c r="B68" s="67"/>
      <c r="C68" s="67"/>
      <c r="D68" s="67"/>
      <c r="E68" s="67"/>
      <c r="F68" s="67"/>
      <c r="G68" s="67"/>
      <c r="H68" s="67"/>
      <c r="I68" s="67"/>
      <c r="J68" s="67"/>
      <c r="K68" s="67"/>
    </row>
    <row r="69" spans="1:11">
      <c r="A69" s="67" t="s">
        <v>767</v>
      </c>
      <c r="B69" s="67"/>
      <c r="C69" s="67"/>
      <c r="D69" s="67"/>
      <c r="E69" s="67"/>
      <c r="F69" s="67"/>
      <c r="G69" s="67"/>
      <c r="H69" s="67"/>
      <c r="I69" s="67"/>
      <c r="J69" s="67"/>
      <c r="K69" s="67"/>
    </row>
    <row r="70" spans="1:11">
      <c r="A70" s="67" t="s">
        <v>768</v>
      </c>
      <c r="B70" s="67"/>
      <c r="C70" s="67"/>
      <c r="D70" s="67"/>
      <c r="E70" s="67"/>
      <c r="F70" s="67"/>
      <c r="G70" s="67"/>
      <c r="H70" s="67"/>
      <c r="I70" s="67"/>
      <c r="J70" s="67"/>
      <c r="K70" s="67"/>
    </row>
    <row r="71" spans="1:11">
      <c r="A71" s="67" t="s">
        <v>491</v>
      </c>
      <c r="B71" s="67"/>
      <c r="C71" s="67"/>
      <c r="D71" s="67"/>
      <c r="E71" s="67"/>
      <c r="F71" s="67"/>
      <c r="G71" s="67"/>
      <c r="H71" s="67"/>
      <c r="I71" s="67"/>
      <c r="J71" s="67"/>
      <c r="K71" s="67"/>
    </row>
    <row r="72" spans="1:11">
      <c r="A72" s="67" t="s">
        <v>492</v>
      </c>
      <c r="B72" s="67"/>
      <c r="C72" s="67"/>
      <c r="D72" s="67"/>
      <c r="E72" s="67"/>
      <c r="F72" s="67"/>
      <c r="G72" s="67"/>
      <c r="H72" s="67"/>
      <c r="I72" s="67"/>
      <c r="J72" s="67"/>
      <c r="K72" s="67"/>
    </row>
    <row r="73" spans="1:11">
      <c r="A73" s="67" t="s">
        <v>769</v>
      </c>
      <c r="B73" s="67"/>
      <c r="C73" s="67"/>
      <c r="D73" s="67"/>
      <c r="E73" s="67"/>
      <c r="F73" s="67"/>
      <c r="G73" s="67"/>
      <c r="H73" s="67"/>
      <c r="I73" s="67"/>
      <c r="J73" s="67"/>
      <c r="K73" s="67"/>
    </row>
    <row r="74" spans="1:11">
      <c r="A74" s="67" t="s">
        <v>79</v>
      </c>
      <c r="B74" s="67"/>
      <c r="C74" s="67"/>
      <c r="D74" s="67"/>
      <c r="E74" s="67"/>
      <c r="F74" s="67"/>
      <c r="G74" s="67"/>
      <c r="H74" s="67"/>
      <c r="I74" s="67"/>
      <c r="J74" s="67"/>
      <c r="K74" s="67"/>
    </row>
    <row r="75" spans="1:11">
      <c r="A75" s="67" t="s">
        <v>80</v>
      </c>
      <c r="B75" s="67"/>
      <c r="C75" s="67"/>
      <c r="D75" s="67"/>
      <c r="E75" s="67"/>
      <c r="F75" s="67"/>
      <c r="G75" s="67"/>
      <c r="H75" s="67"/>
      <c r="I75" s="67"/>
      <c r="J75" s="67"/>
      <c r="K75" s="67"/>
    </row>
    <row r="76" spans="1:11">
      <c r="A76" s="67" t="s">
        <v>76</v>
      </c>
      <c r="B76" s="67"/>
      <c r="C76" s="67"/>
      <c r="D76" s="67"/>
      <c r="E76" s="67"/>
      <c r="F76" s="67"/>
      <c r="G76" s="67"/>
      <c r="H76" s="67"/>
      <c r="I76" s="67"/>
      <c r="J76" s="67"/>
      <c r="K76" s="67"/>
    </row>
    <row r="77" spans="1:11">
      <c r="A77" s="67" t="s">
        <v>77</v>
      </c>
      <c r="B77" s="67"/>
      <c r="C77" s="67"/>
      <c r="D77" s="67"/>
      <c r="E77" s="67"/>
      <c r="F77" s="67"/>
      <c r="G77" s="67"/>
      <c r="H77" s="67"/>
      <c r="I77" s="67"/>
      <c r="J77" s="67"/>
      <c r="K77" s="67"/>
    </row>
    <row r="78" spans="1:11">
      <c r="A78" s="67" t="s">
        <v>493</v>
      </c>
      <c r="B78" s="67"/>
      <c r="C78" s="67"/>
      <c r="D78" s="67"/>
      <c r="E78" s="67"/>
      <c r="F78" s="67"/>
      <c r="G78" s="67"/>
      <c r="H78" s="67"/>
      <c r="I78" s="67"/>
      <c r="J78" s="67"/>
      <c r="K78" s="67"/>
    </row>
    <row r="79" spans="1:11">
      <c r="A79" s="67" t="s">
        <v>494</v>
      </c>
      <c r="B79" s="67"/>
      <c r="C79" s="67"/>
      <c r="D79" s="67"/>
      <c r="E79" s="67"/>
      <c r="F79" s="67"/>
      <c r="G79" s="67"/>
      <c r="H79" s="67"/>
      <c r="I79" s="67"/>
      <c r="J79" s="67"/>
      <c r="K79" s="67"/>
    </row>
    <row r="80" spans="1:11">
      <c r="A80" s="67" t="s">
        <v>407</v>
      </c>
      <c r="B80" s="67"/>
      <c r="C80" s="67"/>
      <c r="D80" s="67"/>
      <c r="E80" s="67"/>
      <c r="F80" s="67"/>
      <c r="G80" s="67"/>
      <c r="H80" s="67"/>
      <c r="I80" s="67"/>
      <c r="J80" s="67"/>
      <c r="K80" s="67"/>
    </row>
    <row r="81" spans="1:11">
      <c r="A81" s="67" t="s">
        <v>495</v>
      </c>
      <c r="B81" s="67"/>
      <c r="C81" s="67"/>
      <c r="D81" s="67"/>
      <c r="E81" s="67"/>
      <c r="F81" s="67"/>
      <c r="G81" s="67"/>
      <c r="H81" s="67"/>
      <c r="I81" s="67"/>
      <c r="J81" s="67"/>
      <c r="K81" s="67"/>
    </row>
    <row r="82" spans="1:11">
      <c r="A82" s="67" t="s">
        <v>496</v>
      </c>
      <c r="B82" s="67"/>
      <c r="C82" s="67"/>
      <c r="D82" s="67"/>
      <c r="E82" s="67"/>
      <c r="F82" s="67"/>
      <c r="G82" s="67"/>
      <c r="H82" s="67"/>
      <c r="I82" s="67"/>
      <c r="J82" s="67"/>
      <c r="K82" s="67"/>
    </row>
    <row r="83" spans="1:11">
      <c r="A83" s="67" t="s">
        <v>497</v>
      </c>
      <c r="B83" s="67"/>
      <c r="C83" s="67"/>
      <c r="D83" s="67"/>
      <c r="E83" s="67"/>
      <c r="F83" s="67"/>
      <c r="G83" s="67"/>
      <c r="H83" s="67"/>
      <c r="I83" s="67"/>
      <c r="J83" s="67"/>
      <c r="K83" s="67"/>
    </row>
    <row r="84" spans="1:11">
      <c r="A84" s="67" t="s">
        <v>498</v>
      </c>
      <c r="B84" s="67"/>
      <c r="C84" s="67"/>
      <c r="D84" s="67"/>
      <c r="E84" s="67"/>
      <c r="F84" s="67"/>
      <c r="G84" s="67"/>
      <c r="H84" s="67"/>
      <c r="I84" s="67"/>
      <c r="J84" s="67"/>
      <c r="K84" s="67"/>
    </row>
    <row r="85" spans="1:11">
      <c r="A85" s="67" t="s">
        <v>76</v>
      </c>
      <c r="B85" s="67"/>
      <c r="C85" s="67"/>
      <c r="D85" s="67"/>
      <c r="E85" s="67"/>
      <c r="F85" s="67"/>
      <c r="G85" s="67"/>
      <c r="H85" s="67"/>
      <c r="I85" s="67"/>
      <c r="J85" s="67"/>
      <c r="K85" s="67"/>
    </row>
    <row r="86" spans="1:11">
      <c r="A86" s="67" t="s">
        <v>77</v>
      </c>
      <c r="B86" s="67"/>
      <c r="C86" s="67"/>
      <c r="D86" s="67"/>
      <c r="E86" s="67"/>
      <c r="F86" s="67"/>
      <c r="G86" s="67"/>
      <c r="H86" s="67"/>
      <c r="I86" s="67"/>
      <c r="J86" s="67"/>
      <c r="K86" s="67"/>
    </row>
    <row r="87" spans="1:11">
      <c r="A87" s="67" t="s">
        <v>499</v>
      </c>
      <c r="B87" s="67"/>
      <c r="C87" s="67"/>
      <c r="D87" s="67"/>
      <c r="E87" s="67"/>
      <c r="F87" s="67"/>
      <c r="G87" s="67"/>
      <c r="H87" s="67"/>
      <c r="I87" s="67"/>
      <c r="J87" s="67"/>
      <c r="K87" s="67"/>
    </row>
    <row r="88" spans="1:11">
      <c r="A88" s="67" t="s">
        <v>407</v>
      </c>
      <c r="B88" s="67"/>
      <c r="C88" s="67"/>
      <c r="D88" s="67"/>
      <c r="E88" s="67"/>
      <c r="F88" s="67"/>
      <c r="G88" s="67"/>
      <c r="H88" s="67"/>
      <c r="I88" s="67"/>
      <c r="J88" s="67"/>
      <c r="K88" s="67"/>
    </row>
    <row r="89" spans="1:11">
      <c r="A89" s="67" t="s">
        <v>495</v>
      </c>
      <c r="B89" s="67"/>
      <c r="C89" s="67"/>
      <c r="D89" s="67"/>
      <c r="E89" s="67"/>
      <c r="F89" s="67"/>
      <c r="G89" s="67"/>
      <c r="H89" s="67"/>
      <c r="I89" s="67"/>
      <c r="J89" s="67"/>
      <c r="K89" s="67"/>
    </row>
    <row r="90" spans="1:11">
      <c r="A90" s="67" t="s">
        <v>500</v>
      </c>
      <c r="B90" s="67"/>
      <c r="C90" s="67"/>
      <c r="D90" s="67"/>
      <c r="E90" s="67"/>
      <c r="F90" s="67"/>
      <c r="G90" s="67"/>
      <c r="H90" s="67"/>
      <c r="I90" s="67"/>
      <c r="J90" s="67"/>
      <c r="K90" s="67"/>
    </row>
    <row r="91" spans="1:11">
      <c r="A91" s="67" t="s">
        <v>501</v>
      </c>
      <c r="B91" s="67"/>
      <c r="C91" s="67"/>
      <c r="D91" s="67"/>
      <c r="E91" s="67"/>
      <c r="F91" s="67"/>
      <c r="G91" s="67"/>
      <c r="H91" s="67"/>
      <c r="I91" s="67"/>
      <c r="J91" s="67"/>
      <c r="K91" s="67"/>
    </row>
    <row r="92" spans="1:11">
      <c r="A92" s="67" t="s">
        <v>502</v>
      </c>
      <c r="B92" s="67"/>
      <c r="C92" s="67"/>
      <c r="D92" s="67"/>
      <c r="E92" s="67"/>
      <c r="F92" s="67"/>
      <c r="G92" s="67"/>
      <c r="H92" s="67"/>
      <c r="I92" s="67"/>
      <c r="J92" s="67"/>
      <c r="K92" s="67"/>
    </row>
    <row r="93" spans="1:11">
      <c r="A93" s="67" t="s">
        <v>498</v>
      </c>
      <c r="B93" s="67"/>
      <c r="C93" s="67"/>
      <c r="D93" s="67"/>
      <c r="E93" s="67"/>
      <c r="F93" s="67"/>
      <c r="G93" s="67"/>
      <c r="H93" s="67"/>
      <c r="I93" s="67"/>
      <c r="J93" s="67"/>
      <c r="K93" s="67"/>
    </row>
    <row r="94" spans="1:11">
      <c r="A94" s="67" t="s">
        <v>76</v>
      </c>
      <c r="B94" s="67"/>
      <c r="C94" s="67"/>
      <c r="D94" s="67"/>
      <c r="E94" s="67"/>
      <c r="F94" s="67"/>
      <c r="G94" s="67"/>
      <c r="H94" s="67"/>
      <c r="I94" s="67"/>
      <c r="J94" s="67"/>
      <c r="K94" s="67"/>
    </row>
    <row r="95" spans="1:11">
      <c r="A95" s="67" t="s">
        <v>77</v>
      </c>
      <c r="B95" s="67"/>
      <c r="C95" s="67"/>
      <c r="D95" s="67"/>
      <c r="E95" s="67"/>
      <c r="F95" s="67"/>
      <c r="G95" s="67"/>
      <c r="H95" s="67"/>
      <c r="I95" s="67"/>
      <c r="J95" s="67"/>
      <c r="K95" s="67"/>
    </row>
    <row r="96" spans="1:11">
      <c r="A96" s="67" t="s">
        <v>503</v>
      </c>
      <c r="B96" s="67"/>
      <c r="C96" s="67"/>
      <c r="D96" s="67"/>
      <c r="E96" s="67"/>
      <c r="F96" s="67"/>
      <c r="G96" s="67"/>
      <c r="H96" s="67"/>
      <c r="I96" s="67"/>
      <c r="J96" s="67"/>
      <c r="K96" s="67"/>
    </row>
    <row r="97" spans="1:11">
      <c r="A97" s="67" t="s">
        <v>407</v>
      </c>
      <c r="B97" s="67"/>
      <c r="C97" s="67"/>
      <c r="D97" s="67"/>
      <c r="E97" s="67"/>
      <c r="F97" s="67"/>
      <c r="G97" s="67"/>
      <c r="H97" s="67"/>
      <c r="I97" s="67"/>
      <c r="J97" s="67"/>
      <c r="K97" s="67"/>
    </row>
    <row r="98" spans="1:11">
      <c r="A98" s="67" t="s">
        <v>504</v>
      </c>
      <c r="B98" s="67"/>
      <c r="C98" s="67"/>
      <c r="D98" s="67"/>
      <c r="E98" s="67"/>
      <c r="F98" s="67"/>
      <c r="G98" s="67"/>
      <c r="H98" s="67"/>
      <c r="I98" s="67"/>
      <c r="J98" s="67"/>
      <c r="K98" s="67"/>
    </row>
    <row r="99" spans="1:11">
      <c r="A99" s="67" t="s">
        <v>505</v>
      </c>
      <c r="B99" s="67"/>
      <c r="C99" s="67"/>
      <c r="D99" s="67"/>
      <c r="E99" s="67"/>
      <c r="F99" s="67"/>
      <c r="G99" s="67"/>
      <c r="H99" s="67"/>
      <c r="I99" s="67"/>
      <c r="J99" s="67"/>
      <c r="K99" s="67"/>
    </row>
    <row r="100" spans="1:11">
      <c r="A100" s="67" t="s">
        <v>506</v>
      </c>
      <c r="B100" s="67"/>
      <c r="C100" s="67"/>
      <c r="D100" s="67"/>
      <c r="E100" s="67"/>
      <c r="F100" s="67"/>
      <c r="G100" s="67"/>
      <c r="H100" s="67"/>
      <c r="I100" s="67"/>
      <c r="J100" s="67"/>
      <c r="K100" s="67"/>
    </row>
    <row r="101" spans="1:11">
      <c r="A101" s="67" t="s">
        <v>507</v>
      </c>
      <c r="B101" s="67"/>
      <c r="C101" s="67"/>
      <c r="D101" s="67"/>
      <c r="E101" s="67"/>
      <c r="F101" s="67"/>
      <c r="G101" s="67"/>
      <c r="H101" s="67"/>
      <c r="I101" s="67"/>
      <c r="J101" s="67"/>
      <c r="K101" s="67"/>
    </row>
    <row r="102" spans="1:11">
      <c r="A102" s="67" t="s">
        <v>508</v>
      </c>
      <c r="B102" s="67"/>
      <c r="C102" s="67"/>
      <c r="D102" s="67"/>
      <c r="E102" s="67"/>
      <c r="F102" s="67"/>
      <c r="G102" s="67"/>
      <c r="H102" s="67"/>
      <c r="I102" s="67"/>
      <c r="J102" s="67"/>
      <c r="K102" s="67"/>
    </row>
    <row r="103" spans="1:11">
      <c r="A103" s="67" t="s">
        <v>509</v>
      </c>
      <c r="B103" s="67"/>
      <c r="C103" s="67"/>
      <c r="D103" s="67"/>
      <c r="E103" s="67"/>
      <c r="F103" s="67"/>
      <c r="G103" s="67"/>
      <c r="H103" s="67"/>
      <c r="I103" s="67"/>
      <c r="J103" s="67"/>
      <c r="K103" s="67"/>
    </row>
    <row r="104" spans="1:11">
      <c r="A104" s="67" t="s">
        <v>510</v>
      </c>
      <c r="B104" s="67"/>
      <c r="C104" s="67"/>
      <c r="D104" s="67"/>
      <c r="E104" s="67"/>
      <c r="F104" s="67"/>
      <c r="G104" s="67"/>
      <c r="H104" s="67"/>
      <c r="I104" s="67"/>
      <c r="J104" s="67"/>
      <c r="K104" s="67"/>
    </row>
    <row r="105" spans="1:11">
      <c r="A105" s="67" t="s">
        <v>511</v>
      </c>
      <c r="B105" s="67"/>
      <c r="C105" s="67"/>
      <c r="D105" s="67"/>
      <c r="E105" s="67"/>
      <c r="F105" s="67"/>
      <c r="G105" s="67"/>
      <c r="H105" s="67"/>
      <c r="I105" s="67"/>
      <c r="J105" s="67"/>
      <c r="K105" s="67"/>
    </row>
    <row r="106" spans="1:11">
      <c r="A106" s="67" t="s">
        <v>512</v>
      </c>
      <c r="B106" s="67"/>
      <c r="C106" s="67"/>
      <c r="D106" s="67"/>
      <c r="E106" s="67"/>
      <c r="F106" s="67"/>
      <c r="G106" s="67"/>
      <c r="H106" s="67"/>
      <c r="I106" s="67"/>
      <c r="J106" s="67"/>
      <c r="K106" s="67"/>
    </row>
    <row r="107" spans="1:11">
      <c r="A107" s="67" t="s">
        <v>513</v>
      </c>
      <c r="B107" s="67"/>
      <c r="C107" s="67"/>
      <c r="D107" s="67"/>
      <c r="E107" s="67"/>
      <c r="F107" s="67"/>
      <c r="G107" s="67"/>
      <c r="H107" s="67"/>
      <c r="I107" s="67"/>
      <c r="J107" s="67"/>
      <c r="K107" s="67"/>
    </row>
    <row r="108" spans="1:11">
      <c r="A108" s="67" t="s">
        <v>78</v>
      </c>
      <c r="B108" s="67"/>
      <c r="C108" s="67"/>
      <c r="D108" s="67"/>
      <c r="E108" s="67"/>
      <c r="F108" s="67"/>
      <c r="G108" s="67"/>
      <c r="H108" s="67"/>
      <c r="I108" s="67"/>
      <c r="J108" s="67"/>
      <c r="K108" s="67"/>
    </row>
    <row r="109" spans="1:11">
      <c r="A109" s="67" t="s">
        <v>79</v>
      </c>
      <c r="B109" s="67"/>
      <c r="C109" s="67"/>
      <c r="D109" s="67"/>
      <c r="E109" s="67"/>
      <c r="F109" s="67"/>
      <c r="G109" s="67"/>
      <c r="H109" s="67"/>
      <c r="I109" s="67"/>
      <c r="J109" s="67"/>
      <c r="K109" s="67"/>
    </row>
    <row r="110" spans="1:11">
      <c r="A110" s="67" t="s">
        <v>80</v>
      </c>
      <c r="B110" s="67"/>
      <c r="C110" s="67"/>
      <c r="D110" s="67"/>
      <c r="E110" s="67"/>
      <c r="F110" s="67"/>
      <c r="G110" s="67"/>
      <c r="H110" s="67"/>
      <c r="I110" s="67"/>
      <c r="J110" s="67"/>
      <c r="K110" s="67"/>
    </row>
    <row r="111" spans="1:11">
      <c r="A111" s="67" t="s">
        <v>76</v>
      </c>
      <c r="B111" s="67"/>
      <c r="C111" s="67"/>
      <c r="D111" s="67"/>
      <c r="E111" s="67"/>
      <c r="F111" s="67"/>
      <c r="G111" s="67"/>
      <c r="H111" s="67"/>
      <c r="I111" s="67"/>
      <c r="J111" s="67"/>
      <c r="K111" s="67"/>
    </row>
    <row r="112" spans="1:11">
      <c r="A112" s="67" t="s">
        <v>77</v>
      </c>
      <c r="B112" s="67"/>
      <c r="C112" s="67"/>
      <c r="D112" s="67"/>
      <c r="E112" s="67"/>
      <c r="F112" s="67"/>
      <c r="G112" s="67"/>
      <c r="H112" s="67"/>
      <c r="I112" s="67"/>
      <c r="J112" s="67"/>
      <c r="K112" s="67"/>
    </row>
    <row r="113" spans="1:11">
      <c r="A113" s="67" t="s">
        <v>770</v>
      </c>
      <c r="B113" s="67"/>
      <c r="C113" s="67"/>
      <c r="D113" s="67"/>
      <c r="E113" s="67"/>
      <c r="F113" s="67"/>
      <c r="G113" s="67"/>
      <c r="H113" s="67"/>
      <c r="I113" s="67"/>
      <c r="J113" s="67"/>
      <c r="K113" s="67"/>
    </row>
    <row r="114" spans="1:11">
      <c r="A114" s="67" t="s">
        <v>771</v>
      </c>
      <c r="B114" s="67"/>
      <c r="C114" s="67"/>
      <c r="D114" s="67"/>
      <c r="E114" s="67"/>
      <c r="F114" s="67"/>
      <c r="G114" s="67"/>
      <c r="H114" s="67"/>
      <c r="I114" s="67"/>
      <c r="J114" s="67"/>
      <c r="K114" s="67"/>
    </row>
    <row r="115" spans="1:11">
      <c r="A115" s="67" t="s">
        <v>772</v>
      </c>
      <c r="B115" s="67"/>
      <c r="C115" s="67"/>
      <c r="D115" s="67"/>
      <c r="E115" s="67"/>
      <c r="F115" s="67"/>
      <c r="G115" s="67"/>
      <c r="H115" s="67"/>
      <c r="I115" s="67"/>
      <c r="J115" s="67"/>
      <c r="K115" s="67"/>
    </row>
    <row r="116" spans="1:11">
      <c r="A116" s="67" t="s">
        <v>773</v>
      </c>
      <c r="B116" s="67"/>
      <c r="C116" s="67"/>
      <c r="D116" s="67"/>
      <c r="E116" s="67"/>
      <c r="F116" s="67"/>
      <c r="G116" s="67"/>
      <c r="H116" s="67"/>
      <c r="I116" s="67"/>
      <c r="J116" s="67"/>
      <c r="K116" s="67"/>
    </row>
    <row r="117" spans="1:11">
      <c r="A117" s="67" t="s">
        <v>774</v>
      </c>
      <c r="B117" s="67"/>
      <c r="C117" s="67"/>
      <c r="D117" s="67"/>
      <c r="E117" s="67"/>
      <c r="F117" s="67"/>
      <c r="G117" s="67"/>
      <c r="H117" s="67"/>
      <c r="I117" s="67"/>
      <c r="J117" s="67"/>
      <c r="K117" s="67"/>
    </row>
    <row r="118" spans="1:11">
      <c r="A118" s="67" t="s">
        <v>775</v>
      </c>
      <c r="B118" s="67"/>
      <c r="C118" s="67"/>
      <c r="D118" s="67"/>
      <c r="E118" s="67"/>
      <c r="F118" s="67"/>
      <c r="G118" s="67"/>
      <c r="H118" s="67"/>
      <c r="I118" s="67"/>
      <c r="J118" s="67"/>
      <c r="K118" s="67"/>
    </row>
    <row r="119" spans="1:11">
      <c r="A119" s="67" t="s">
        <v>776</v>
      </c>
      <c r="B119" s="67"/>
      <c r="C119" s="67"/>
      <c r="D119" s="67"/>
      <c r="E119" s="67"/>
      <c r="F119" s="67"/>
      <c r="G119" s="67"/>
      <c r="H119" s="67"/>
      <c r="I119" s="67"/>
      <c r="J119" s="67"/>
      <c r="K119" s="67"/>
    </row>
    <row r="120" spans="1:11">
      <c r="A120" s="67" t="s">
        <v>777</v>
      </c>
      <c r="B120" s="67"/>
      <c r="C120" s="67"/>
      <c r="D120" s="67"/>
      <c r="E120" s="67"/>
      <c r="F120" s="67"/>
      <c r="G120" s="67"/>
      <c r="H120" s="67"/>
      <c r="I120" s="67"/>
      <c r="J120" s="67"/>
      <c r="K120" s="67"/>
    </row>
    <row r="121" spans="1:11">
      <c r="A121" s="67" t="s">
        <v>778</v>
      </c>
      <c r="B121" s="67"/>
      <c r="C121" s="67"/>
      <c r="D121" s="67"/>
      <c r="E121" s="67"/>
      <c r="F121" s="67"/>
      <c r="G121" s="67"/>
      <c r="H121" s="67"/>
      <c r="I121" s="67"/>
      <c r="J121" s="67"/>
      <c r="K121" s="67"/>
    </row>
    <row r="122" spans="1:11">
      <c r="A122" s="67" t="s">
        <v>779</v>
      </c>
      <c r="B122" s="67"/>
      <c r="C122" s="67"/>
      <c r="D122" s="67"/>
      <c r="E122" s="67"/>
      <c r="F122" s="67"/>
      <c r="G122" s="67"/>
      <c r="H122" s="67"/>
      <c r="I122" s="67"/>
      <c r="J122" s="67"/>
      <c r="K122" s="67"/>
    </row>
    <row r="123" spans="1:11">
      <c r="A123" s="67" t="s">
        <v>780</v>
      </c>
      <c r="B123" s="67"/>
      <c r="C123" s="67"/>
      <c r="D123" s="67"/>
      <c r="E123" s="67"/>
      <c r="F123" s="67"/>
      <c r="G123" s="67"/>
      <c r="H123" s="67"/>
      <c r="I123" s="67"/>
      <c r="J123" s="67"/>
      <c r="K123" s="67"/>
    </row>
    <row r="124" spans="1:11">
      <c r="A124" s="67" t="s">
        <v>77</v>
      </c>
      <c r="B124" s="67"/>
      <c r="C124" s="67"/>
      <c r="D124" s="67"/>
      <c r="E124" s="67"/>
      <c r="F124" s="67"/>
      <c r="G124" s="67"/>
      <c r="H124" s="67"/>
      <c r="I124" s="67"/>
      <c r="J124" s="67"/>
      <c r="K124" s="67"/>
    </row>
    <row r="125" spans="1:11">
      <c r="A125" s="67" t="s">
        <v>781</v>
      </c>
      <c r="B125" s="67"/>
      <c r="C125" s="67"/>
      <c r="D125" s="67"/>
      <c r="E125" s="67"/>
      <c r="F125" s="67"/>
      <c r="G125" s="67"/>
      <c r="H125" s="67"/>
      <c r="I125" s="67"/>
      <c r="J125" s="67"/>
      <c r="K125" s="67"/>
    </row>
    <row r="126" spans="1:11">
      <c r="A126" s="67" t="s">
        <v>782</v>
      </c>
      <c r="B126" s="67"/>
      <c r="C126" s="67"/>
      <c r="D126" s="67"/>
      <c r="E126" s="67"/>
      <c r="F126" s="67"/>
      <c r="G126" s="67"/>
      <c r="H126" s="67"/>
      <c r="I126" s="67"/>
      <c r="J126" s="67"/>
      <c r="K126" s="67"/>
    </row>
    <row r="127" spans="1:11">
      <c r="A127" s="67" t="s">
        <v>783</v>
      </c>
      <c r="B127" s="67"/>
      <c r="C127" s="67"/>
      <c r="D127" s="67"/>
      <c r="E127" s="67"/>
      <c r="F127" s="67"/>
      <c r="G127" s="67"/>
      <c r="H127" s="67"/>
      <c r="I127" s="67"/>
      <c r="J127" s="67"/>
      <c r="K127" s="67"/>
    </row>
    <row r="128" spans="1:11">
      <c r="A128" s="67" t="s">
        <v>784</v>
      </c>
      <c r="B128" s="67"/>
      <c r="C128" s="67"/>
      <c r="D128" s="67"/>
      <c r="E128" s="67"/>
      <c r="F128" s="67"/>
      <c r="G128" s="67"/>
      <c r="H128" s="67"/>
      <c r="I128" s="67"/>
      <c r="J128" s="67"/>
      <c r="K128" s="67"/>
    </row>
    <row r="129" spans="1:11">
      <c r="A129" s="67" t="s">
        <v>785</v>
      </c>
      <c r="B129" s="67"/>
      <c r="C129" s="67"/>
      <c r="D129" s="67"/>
      <c r="E129" s="67"/>
      <c r="F129" s="67"/>
      <c r="G129" s="67"/>
      <c r="H129" s="67"/>
      <c r="I129" s="67"/>
      <c r="J129" s="67"/>
      <c r="K129" s="67"/>
    </row>
    <row r="130" spans="1:11">
      <c r="A130" s="67" t="s">
        <v>77</v>
      </c>
      <c r="B130" s="67"/>
      <c r="C130" s="67"/>
      <c r="D130" s="67"/>
      <c r="E130" s="67"/>
      <c r="F130" s="67"/>
      <c r="G130" s="67"/>
      <c r="H130" s="67"/>
      <c r="I130" s="67"/>
      <c r="J130" s="67"/>
      <c r="K130" s="67"/>
    </row>
    <row r="131" spans="1:11">
      <c r="A131" s="67" t="s">
        <v>786</v>
      </c>
      <c r="B131" s="67"/>
      <c r="C131" s="67"/>
      <c r="D131" s="67"/>
      <c r="E131" s="67"/>
      <c r="F131" s="67"/>
      <c r="G131" s="67"/>
      <c r="H131" s="67"/>
      <c r="I131" s="67"/>
      <c r="J131" s="67"/>
      <c r="K131" s="67"/>
    </row>
    <row r="132" spans="1:11">
      <c r="A132" s="67" t="s">
        <v>787</v>
      </c>
      <c r="B132" s="67"/>
      <c r="C132" s="67"/>
      <c r="D132" s="67"/>
      <c r="E132" s="67"/>
      <c r="F132" s="67"/>
      <c r="G132" s="67"/>
      <c r="H132" s="67"/>
      <c r="I132" s="67"/>
      <c r="J132" s="67"/>
      <c r="K132" s="67"/>
    </row>
    <row r="133" spans="1:11">
      <c r="A133" s="67" t="s">
        <v>788</v>
      </c>
      <c r="B133" s="67"/>
      <c r="C133" s="67"/>
      <c r="D133" s="67"/>
      <c r="E133" s="67"/>
      <c r="F133" s="67"/>
      <c r="G133" s="67"/>
      <c r="H133" s="67"/>
      <c r="I133" s="67"/>
      <c r="J133" s="67"/>
      <c r="K133" s="67"/>
    </row>
    <row r="134" spans="1:11">
      <c r="A134" s="67" t="s">
        <v>789</v>
      </c>
      <c r="B134" s="67"/>
      <c r="C134" s="67"/>
      <c r="D134" s="67"/>
      <c r="E134" s="67"/>
      <c r="F134" s="67"/>
      <c r="G134" s="67"/>
      <c r="H134" s="67"/>
      <c r="I134" s="67"/>
      <c r="J134" s="67"/>
      <c r="K134" s="67"/>
    </row>
    <row r="135" spans="1:11">
      <c r="A135" s="67" t="s">
        <v>790</v>
      </c>
      <c r="B135" s="67"/>
      <c r="C135" s="67"/>
      <c r="D135" s="67"/>
      <c r="E135" s="67"/>
      <c r="F135" s="67"/>
      <c r="G135" s="67"/>
      <c r="H135" s="67"/>
      <c r="I135" s="67"/>
      <c r="J135" s="67"/>
      <c r="K135" s="67"/>
    </row>
    <row r="136" spans="1:11">
      <c r="A136" s="67" t="s">
        <v>791</v>
      </c>
      <c r="B136" s="67"/>
      <c r="C136" s="67"/>
      <c r="D136" s="67"/>
      <c r="E136" s="67"/>
      <c r="F136" s="67"/>
      <c r="G136" s="67"/>
      <c r="H136" s="67"/>
      <c r="I136" s="67"/>
      <c r="J136" s="67"/>
      <c r="K136" s="67"/>
    </row>
    <row r="137" spans="1:11">
      <c r="A137" s="67" t="s">
        <v>792</v>
      </c>
      <c r="B137" s="67"/>
      <c r="C137" s="67"/>
      <c r="D137" s="67"/>
      <c r="E137" s="67"/>
      <c r="F137" s="67"/>
      <c r="G137" s="67"/>
      <c r="H137" s="67"/>
      <c r="I137" s="67"/>
      <c r="J137" s="67"/>
      <c r="K137" s="67"/>
    </row>
    <row r="138" spans="1:11">
      <c r="A138" s="67" t="s">
        <v>486</v>
      </c>
      <c r="B138" s="67"/>
      <c r="C138" s="67"/>
      <c r="D138" s="67"/>
      <c r="E138" s="67"/>
      <c r="F138" s="67"/>
      <c r="G138" s="67"/>
      <c r="H138" s="67"/>
      <c r="I138" s="67"/>
      <c r="J138" s="67"/>
      <c r="K138" s="67"/>
    </row>
    <row r="139" spans="1:11">
      <c r="A139" s="67" t="s">
        <v>793</v>
      </c>
      <c r="B139" s="67"/>
      <c r="C139" s="67"/>
      <c r="D139" s="67"/>
      <c r="E139" s="67"/>
      <c r="F139" s="67"/>
      <c r="G139" s="67"/>
      <c r="H139" s="67"/>
      <c r="I139" s="67"/>
      <c r="J139" s="67"/>
      <c r="K139" s="67"/>
    </row>
    <row r="140" spans="1:11">
      <c r="A140" s="67" t="s">
        <v>794</v>
      </c>
      <c r="B140" s="67"/>
      <c r="C140" s="67"/>
      <c r="D140" s="67"/>
      <c r="E140" s="67"/>
      <c r="F140" s="67"/>
      <c r="G140" s="67"/>
      <c r="H140" s="67"/>
      <c r="I140" s="67"/>
      <c r="J140" s="67"/>
      <c r="K140" s="67"/>
    </row>
    <row r="141" spans="1:11">
      <c r="A141" s="67" t="s">
        <v>795</v>
      </c>
      <c r="B141" s="67"/>
      <c r="C141" s="67"/>
      <c r="D141" s="67"/>
      <c r="E141" s="67"/>
      <c r="F141" s="67"/>
      <c r="G141" s="67"/>
      <c r="H141" s="67"/>
      <c r="I141" s="67"/>
      <c r="J141" s="67"/>
      <c r="K141" s="67"/>
    </row>
    <row r="142" spans="1:11">
      <c r="A142" s="67" t="s">
        <v>76</v>
      </c>
      <c r="B142" s="67"/>
      <c r="C142" s="67"/>
      <c r="D142" s="67"/>
      <c r="E142" s="67"/>
      <c r="F142" s="67"/>
      <c r="G142" s="67"/>
      <c r="H142" s="67"/>
      <c r="I142" s="67"/>
      <c r="J142" s="67"/>
      <c r="K142" s="67"/>
    </row>
    <row r="143" spans="1:11">
      <c r="A143" s="67" t="s">
        <v>77</v>
      </c>
      <c r="B143" s="67"/>
      <c r="C143" s="67"/>
      <c r="D143" s="67"/>
      <c r="E143" s="67"/>
      <c r="F143" s="67"/>
      <c r="G143" s="67"/>
      <c r="H143" s="67"/>
      <c r="I143" s="67"/>
      <c r="J143" s="67"/>
      <c r="K143" s="67"/>
    </row>
    <row r="144" spans="1:11">
      <c r="A144" s="67" t="s">
        <v>796</v>
      </c>
      <c r="B144" s="67"/>
      <c r="C144" s="67"/>
      <c r="D144" s="67"/>
      <c r="E144" s="67"/>
      <c r="F144" s="67"/>
      <c r="G144" s="67"/>
      <c r="H144" s="67"/>
      <c r="I144" s="67"/>
      <c r="J144" s="67"/>
      <c r="K144" s="67"/>
    </row>
    <row r="145" spans="1:11">
      <c r="A145" s="67" t="s">
        <v>797</v>
      </c>
      <c r="B145" s="67"/>
      <c r="C145" s="67"/>
      <c r="D145" s="67"/>
      <c r="E145" s="67"/>
      <c r="F145" s="67"/>
      <c r="G145" s="67"/>
      <c r="H145" s="67"/>
      <c r="I145" s="67"/>
      <c r="J145" s="67"/>
      <c r="K145" s="67"/>
    </row>
    <row r="146" spans="1:11">
      <c r="A146" s="67" t="s">
        <v>798</v>
      </c>
      <c r="B146" s="67"/>
      <c r="C146" s="67"/>
      <c r="D146" s="67"/>
      <c r="E146" s="67"/>
      <c r="F146" s="67"/>
      <c r="G146" s="67"/>
      <c r="H146" s="67"/>
      <c r="I146" s="67"/>
      <c r="J146" s="67"/>
      <c r="K146" s="67"/>
    </row>
    <row r="147" spans="1:11">
      <c r="A147" s="67" t="s">
        <v>799</v>
      </c>
      <c r="B147" s="67"/>
      <c r="C147" s="67"/>
      <c r="D147" s="67"/>
      <c r="E147" s="67"/>
      <c r="F147" s="67"/>
      <c r="G147" s="67"/>
      <c r="H147" s="67"/>
      <c r="I147" s="67"/>
      <c r="J147" s="67"/>
      <c r="K147" s="67"/>
    </row>
    <row r="148" spans="1:11">
      <c r="A148" s="67" t="s">
        <v>407</v>
      </c>
      <c r="B148" s="67"/>
      <c r="C148" s="67"/>
      <c r="D148" s="67"/>
      <c r="E148" s="67"/>
      <c r="F148" s="67"/>
      <c r="G148" s="67"/>
      <c r="H148" s="67"/>
      <c r="I148" s="67"/>
      <c r="J148" s="67"/>
      <c r="K148" s="67"/>
    </row>
    <row r="149" spans="1:11">
      <c r="A149" s="67" t="s">
        <v>800</v>
      </c>
      <c r="B149" s="67"/>
      <c r="C149" s="67"/>
      <c r="D149" s="67"/>
      <c r="E149" s="67"/>
      <c r="F149" s="67"/>
      <c r="G149" s="67"/>
      <c r="H149" s="67"/>
      <c r="I149" s="67"/>
      <c r="J149" s="67"/>
      <c r="K149" s="67"/>
    </row>
    <row r="150" spans="1:11">
      <c r="A150" s="67" t="s">
        <v>801</v>
      </c>
      <c r="B150" s="67"/>
      <c r="C150" s="67"/>
      <c r="D150" s="67"/>
      <c r="E150" s="67"/>
      <c r="F150" s="67"/>
      <c r="G150" s="67"/>
      <c r="H150" s="67"/>
      <c r="I150" s="67"/>
      <c r="J150" s="67"/>
      <c r="K150" s="67"/>
    </row>
    <row r="151" spans="1:11">
      <c r="A151" s="67" t="s">
        <v>802</v>
      </c>
      <c r="B151" s="67"/>
      <c r="C151" s="67"/>
      <c r="D151" s="67"/>
      <c r="E151" s="67"/>
      <c r="F151" s="67"/>
      <c r="G151" s="67"/>
      <c r="H151" s="67"/>
      <c r="I151" s="67"/>
      <c r="J151" s="67"/>
      <c r="K151" s="67"/>
    </row>
    <row r="152" spans="1:11">
      <c r="A152" s="67" t="s">
        <v>803</v>
      </c>
      <c r="B152" s="67"/>
      <c r="C152" s="67"/>
      <c r="D152" s="67"/>
      <c r="E152" s="67"/>
      <c r="F152" s="67"/>
      <c r="G152" s="67"/>
      <c r="H152" s="67"/>
      <c r="I152" s="67"/>
      <c r="J152" s="67"/>
      <c r="K152" s="67"/>
    </row>
    <row r="153" spans="1:11">
      <c r="A153" s="67" t="s">
        <v>82</v>
      </c>
      <c r="B153" s="67"/>
      <c r="C153" s="67"/>
      <c r="D153" s="67"/>
      <c r="E153" s="67"/>
      <c r="F153" s="67"/>
      <c r="G153" s="67"/>
      <c r="H153" s="67"/>
      <c r="I153" s="67"/>
      <c r="J153" s="67"/>
      <c r="K153" s="67"/>
    </row>
    <row r="154" spans="1:11">
      <c r="A154" s="67" t="s">
        <v>804</v>
      </c>
      <c r="B154" s="67"/>
      <c r="C154" s="67"/>
      <c r="D154" s="67"/>
      <c r="E154" s="67"/>
      <c r="F154" s="67"/>
      <c r="G154" s="67"/>
      <c r="H154" s="67"/>
      <c r="I154" s="67"/>
      <c r="J154" s="67"/>
      <c r="K154" s="67"/>
    </row>
    <row r="155" spans="1:11">
      <c r="A155" s="67" t="s">
        <v>76</v>
      </c>
      <c r="B155" s="67"/>
      <c r="C155" s="67"/>
      <c r="D155" s="67"/>
      <c r="E155" s="67"/>
      <c r="F155" s="67"/>
      <c r="G155" s="67"/>
      <c r="H155" s="67"/>
      <c r="I155" s="67"/>
      <c r="J155" s="67"/>
      <c r="K155" s="67"/>
    </row>
    <row r="156" spans="1:11">
      <c r="A156" s="67" t="s">
        <v>77</v>
      </c>
      <c r="B156" s="67"/>
      <c r="C156" s="67"/>
      <c r="D156" s="67"/>
      <c r="E156" s="67"/>
      <c r="F156" s="67"/>
      <c r="G156" s="67"/>
      <c r="H156" s="67"/>
      <c r="I156" s="67"/>
      <c r="J156" s="67"/>
      <c r="K156" s="67"/>
    </row>
    <row r="157" spans="1:11">
      <c r="A157" s="67" t="s">
        <v>805</v>
      </c>
      <c r="B157" s="67"/>
      <c r="C157" s="67"/>
      <c r="D157" s="67"/>
      <c r="E157" s="67"/>
      <c r="F157" s="67"/>
      <c r="G157" s="67"/>
      <c r="H157" s="67"/>
      <c r="I157" s="67"/>
      <c r="J157" s="67"/>
      <c r="K157" s="67"/>
    </row>
    <row r="158" spans="1:11">
      <c r="A158" s="67" t="s">
        <v>407</v>
      </c>
      <c r="B158" s="67"/>
      <c r="C158" s="67"/>
      <c r="D158" s="67"/>
      <c r="E158" s="67"/>
      <c r="F158" s="67"/>
      <c r="G158" s="67"/>
      <c r="H158" s="67"/>
      <c r="I158" s="67"/>
      <c r="J158" s="67"/>
      <c r="K158" s="67"/>
    </row>
    <row r="159" spans="1:11">
      <c r="A159" s="67" t="s">
        <v>800</v>
      </c>
      <c r="B159" s="67"/>
      <c r="C159" s="67"/>
      <c r="D159" s="67"/>
      <c r="E159" s="67"/>
      <c r="F159" s="67"/>
      <c r="G159" s="67"/>
      <c r="H159" s="67"/>
      <c r="I159" s="67"/>
      <c r="J159" s="67"/>
      <c r="K159" s="67"/>
    </row>
    <row r="160" spans="1:11">
      <c r="A160" s="67" t="s">
        <v>801</v>
      </c>
      <c r="B160" s="67"/>
      <c r="C160" s="67"/>
      <c r="D160" s="67"/>
      <c r="E160" s="67"/>
      <c r="F160" s="67"/>
      <c r="G160" s="67"/>
      <c r="H160" s="67"/>
      <c r="I160" s="67"/>
      <c r="J160" s="67"/>
      <c r="K160" s="67"/>
    </row>
    <row r="161" spans="1:11">
      <c r="A161" s="67" t="s">
        <v>806</v>
      </c>
      <c r="B161" s="67"/>
      <c r="C161" s="67"/>
      <c r="D161" s="67"/>
      <c r="E161" s="67"/>
      <c r="F161" s="67"/>
      <c r="G161" s="67"/>
      <c r="H161" s="67"/>
      <c r="I161" s="67"/>
      <c r="J161" s="67"/>
      <c r="K161" s="67"/>
    </row>
    <row r="162" spans="1:11">
      <c r="A162" s="67" t="s">
        <v>807</v>
      </c>
      <c r="B162" s="67"/>
      <c r="C162" s="67"/>
      <c r="D162" s="67"/>
      <c r="E162" s="67"/>
      <c r="F162" s="67"/>
      <c r="G162" s="67"/>
      <c r="H162" s="67"/>
      <c r="I162" s="67"/>
      <c r="J162" s="67"/>
      <c r="K162" s="67"/>
    </row>
    <row r="163" spans="1:11">
      <c r="A163" s="67" t="s">
        <v>82</v>
      </c>
      <c r="B163" s="67"/>
      <c r="C163" s="67"/>
      <c r="D163" s="67"/>
      <c r="E163" s="67"/>
      <c r="F163" s="67"/>
      <c r="G163" s="67"/>
      <c r="H163" s="67"/>
      <c r="I163" s="67"/>
      <c r="J163" s="67"/>
      <c r="K163" s="67"/>
    </row>
    <row r="164" spans="1:11">
      <c r="A164" s="67" t="s">
        <v>808</v>
      </c>
      <c r="B164" s="67"/>
      <c r="C164" s="67"/>
      <c r="D164" s="67"/>
      <c r="E164" s="67"/>
      <c r="F164" s="67"/>
      <c r="G164" s="67"/>
      <c r="H164" s="67"/>
      <c r="I164" s="67"/>
      <c r="J164" s="67"/>
      <c r="K164" s="67"/>
    </row>
    <row r="165" spans="1:11">
      <c r="A165" s="67" t="s">
        <v>76</v>
      </c>
      <c r="B165" s="67"/>
      <c r="C165" s="67"/>
      <c r="D165" s="67"/>
      <c r="E165" s="67"/>
      <c r="F165" s="67"/>
      <c r="G165" s="67"/>
      <c r="H165" s="67"/>
      <c r="I165" s="67"/>
      <c r="J165" s="67"/>
      <c r="K165" s="67"/>
    </row>
    <row r="166" spans="1:11">
      <c r="A166" s="67" t="s">
        <v>77</v>
      </c>
      <c r="B166" s="67"/>
      <c r="C166" s="67"/>
      <c r="D166" s="67"/>
      <c r="E166" s="67"/>
      <c r="F166" s="67"/>
      <c r="G166" s="67"/>
      <c r="H166" s="67"/>
      <c r="I166" s="67"/>
      <c r="J166" s="67"/>
      <c r="K166" s="67"/>
    </row>
    <row r="167" spans="1:11">
      <c r="A167" s="67" t="s">
        <v>809</v>
      </c>
      <c r="B167" s="67"/>
      <c r="C167" s="67"/>
      <c r="D167" s="67"/>
      <c r="E167" s="67"/>
      <c r="F167" s="67"/>
      <c r="G167" s="67"/>
      <c r="H167" s="67"/>
      <c r="I167" s="67"/>
      <c r="J167" s="67"/>
      <c r="K167" s="67"/>
    </row>
    <row r="168" spans="1:11">
      <c r="A168" s="67" t="s">
        <v>810</v>
      </c>
      <c r="B168" s="67"/>
      <c r="C168" s="67"/>
      <c r="D168" s="67"/>
      <c r="E168" s="67"/>
      <c r="F168" s="67"/>
      <c r="G168" s="67"/>
      <c r="H168" s="67"/>
      <c r="I168" s="67"/>
      <c r="J168" s="67"/>
      <c r="K168" s="67"/>
    </row>
    <row r="169" spans="1:11">
      <c r="A169" s="67" t="s">
        <v>811</v>
      </c>
      <c r="B169" s="67"/>
      <c r="C169" s="67"/>
      <c r="D169" s="67"/>
      <c r="E169" s="67"/>
      <c r="F169" s="67"/>
      <c r="G169" s="67"/>
      <c r="H169" s="67"/>
      <c r="I169" s="67"/>
      <c r="J169" s="67"/>
      <c r="K169" s="67"/>
    </row>
    <row r="170" spans="1:11">
      <c r="A170" s="67" t="s">
        <v>812</v>
      </c>
      <c r="B170" s="67"/>
      <c r="C170" s="67"/>
      <c r="D170" s="67"/>
      <c r="E170" s="67"/>
      <c r="F170" s="67"/>
      <c r="G170" s="67"/>
      <c r="H170" s="67"/>
      <c r="I170" s="67"/>
      <c r="J170" s="67"/>
      <c r="K170" s="67"/>
    </row>
    <row r="171" spans="1:11">
      <c r="A171" s="67" t="s">
        <v>813</v>
      </c>
      <c r="B171" s="67"/>
      <c r="C171" s="67"/>
      <c r="D171" s="67"/>
      <c r="E171" s="67"/>
      <c r="F171" s="67"/>
      <c r="G171" s="67"/>
      <c r="H171" s="67"/>
      <c r="I171" s="67"/>
      <c r="J171" s="67"/>
      <c r="K171" s="67"/>
    </row>
    <row r="172" spans="1:11">
      <c r="A172" s="67" t="s">
        <v>814</v>
      </c>
      <c r="B172" s="67"/>
      <c r="C172" s="67"/>
      <c r="D172" s="67"/>
      <c r="E172" s="67"/>
      <c r="F172" s="67"/>
      <c r="G172" s="67"/>
      <c r="H172" s="67"/>
      <c r="I172" s="67"/>
      <c r="J172" s="67"/>
      <c r="K172" s="67"/>
    </row>
    <row r="173" spans="1:11">
      <c r="A173" s="67" t="s">
        <v>815</v>
      </c>
      <c r="B173" s="67"/>
      <c r="C173" s="67"/>
      <c r="D173" s="67"/>
      <c r="E173" s="67"/>
      <c r="F173" s="67"/>
      <c r="G173" s="67"/>
      <c r="H173" s="67"/>
      <c r="I173" s="67"/>
      <c r="J173" s="67"/>
      <c r="K173" s="67"/>
    </row>
    <row r="174" spans="1:11">
      <c r="A174" s="67" t="s">
        <v>816</v>
      </c>
      <c r="B174" s="67"/>
      <c r="C174" s="67"/>
      <c r="D174" s="67"/>
      <c r="E174" s="67"/>
      <c r="F174" s="67"/>
      <c r="G174" s="67"/>
      <c r="H174" s="67"/>
      <c r="I174" s="67"/>
      <c r="J174" s="67"/>
      <c r="K174" s="67"/>
    </row>
    <row r="175" spans="1:11">
      <c r="A175" s="67" t="s">
        <v>177</v>
      </c>
      <c r="B175" s="67"/>
      <c r="C175" s="67"/>
      <c r="D175" s="67"/>
      <c r="E175" s="67"/>
      <c r="F175" s="67"/>
      <c r="G175" s="67"/>
      <c r="H175" s="67"/>
      <c r="I175" s="67"/>
      <c r="J175" s="67"/>
      <c r="K175" s="67"/>
    </row>
    <row r="176" spans="1:11">
      <c r="A176" s="67" t="s">
        <v>83</v>
      </c>
      <c r="B176" s="67"/>
      <c r="C176" s="67"/>
      <c r="D176" s="67"/>
      <c r="E176" s="67"/>
      <c r="F176" s="67"/>
      <c r="G176" s="67"/>
      <c r="H176" s="67"/>
      <c r="I176" s="67"/>
      <c r="J176" s="67"/>
      <c r="K176" s="67"/>
    </row>
    <row r="178" spans="1:11">
      <c r="A178" s="3" t="s">
        <v>213</v>
      </c>
    </row>
    <row r="179" spans="1:11">
      <c r="A179" s="63" t="s">
        <v>188</v>
      </c>
      <c r="B179" s="63"/>
      <c r="C179" s="64" t="s">
        <v>2</v>
      </c>
      <c r="D179" s="64"/>
      <c r="E179" s="64"/>
      <c r="F179" s="64"/>
      <c r="G179" s="64"/>
      <c r="H179" s="64"/>
      <c r="I179" s="64"/>
      <c r="J179" s="64"/>
      <c r="K179" s="64"/>
    </row>
    <row r="180" spans="1:11">
      <c r="A180" s="59" t="s">
        <v>5</v>
      </c>
      <c r="B180" s="59"/>
      <c r="C180" s="60" t="s">
        <v>520</v>
      </c>
      <c r="D180" s="60"/>
      <c r="E180" s="60"/>
      <c r="F180" s="60"/>
      <c r="G180" s="60"/>
      <c r="H180" s="60"/>
      <c r="I180" s="60"/>
      <c r="J180" s="60"/>
      <c r="K180" s="60"/>
    </row>
    <row r="181" spans="1:11">
      <c r="A181" s="59" t="s">
        <v>75</v>
      </c>
      <c r="B181" s="59"/>
      <c r="C181" s="60" t="s">
        <v>570</v>
      </c>
      <c r="D181" s="60"/>
      <c r="E181" s="60"/>
      <c r="F181" s="60"/>
      <c r="G181" s="60"/>
      <c r="H181" s="60"/>
      <c r="I181" s="60"/>
      <c r="J181" s="60"/>
      <c r="K181" s="60"/>
    </row>
    <row r="182" spans="1:11" ht="28.5" customHeight="1">
      <c r="A182" s="59" t="s">
        <v>191</v>
      </c>
      <c r="B182" s="59"/>
      <c r="C182" s="60" t="s">
        <v>571</v>
      </c>
      <c r="D182" s="60"/>
      <c r="E182" s="60"/>
      <c r="F182" s="60"/>
      <c r="G182" s="60"/>
      <c r="H182" s="60"/>
      <c r="I182" s="60"/>
      <c r="J182" s="60"/>
      <c r="K182" s="60"/>
    </row>
    <row r="183" spans="1:11" ht="30" customHeight="1">
      <c r="A183" s="59" t="s">
        <v>9</v>
      </c>
      <c r="B183" s="59"/>
      <c r="C183" s="60" t="s">
        <v>823</v>
      </c>
      <c r="D183" s="60"/>
      <c r="E183" s="60"/>
      <c r="F183" s="60"/>
      <c r="G183" s="60"/>
      <c r="H183" s="60"/>
      <c r="I183" s="60"/>
      <c r="J183" s="60"/>
      <c r="K183" s="60"/>
    </row>
    <row r="185" spans="1:11">
      <c r="A185" s="3" t="s">
        <v>214</v>
      </c>
    </row>
    <row r="186" spans="1:11">
      <c r="A186" s="63" t="s">
        <v>193</v>
      </c>
      <c r="B186" s="63"/>
      <c r="C186" s="64" t="s">
        <v>2</v>
      </c>
      <c r="D186" s="64"/>
      <c r="E186" s="64"/>
      <c r="F186" s="64"/>
      <c r="G186" s="64"/>
      <c r="H186" s="64"/>
      <c r="I186" s="64"/>
      <c r="J186" s="64"/>
      <c r="K186" s="64"/>
    </row>
    <row r="187" spans="1:11">
      <c r="A187" s="59" t="s">
        <v>6</v>
      </c>
      <c r="B187" s="59"/>
      <c r="C187" s="60" t="s">
        <v>824</v>
      </c>
      <c r="D187" s="60"/>
      <c r="E187" s="60"/>
      <c r="F187" s="60"/>
      <c r="G187" s="60"/>
      <c r="H187" s="60"/>
      <c r="I187" s="60"/>
      <c r="J187" s="60"/>
      <c r="K187" s="60"/>
    </row>
    <row r="188" spans="1:11" ht="28.5" customHeight="1">
      <c r="A188" s="59" t="s">
        <v>7</v>
      </c>
      <c r="B188" s="59"/>
      <c r="C188" s="60" t="s">
        <v>590</v>
      </c>
      <c r="D188" s="60"/>
      <c r="E188" s="60"/>
      <c r="F188" s="60"/>
      <c r="G188" s="60"/>
      <c r="H188" s="60"/>
      <c r="I188" s="60"/>
      <c r="J188" s="60"/>
      <c r="K188" s="60"/>
    </row>
    <row r="189" spans="1:11" ht="30" customHeight="1">
      <c r="A189" s="59" t="s">
        <v>8</v>
      </c>
      <c r="B189" s="59"/>
      <c r="C189" s="60" t="s">
        <v>825</v>
      </c>
      <c r="D189" s="60"/>
      <c r="E189" s="60"/>
      <c r="F189" s="60"/>
      <c r="G189" s="60"/>
      <c r="H189" s="60"/>
      <c r="I189" s="60"/>
      <c r="J189" s="60"/>
      <c r="K189" s="60"/>
    </row>
    <row r="190" spans="1:11">
      <c r="A190" s="59" t="s">
        <v>13</v>
      </c>
      <c r="B190" s="59"/>
      <c r="C190" s="60" t="s">
        <v>826</v>
      </c>
      <c r="D190" s="60"/>
      <c r="E190" s="60"/>
      <c r="F190" s="60"/>
      <c r="G190" s="60"/>
      <c r="H190" s="60"/>
      <c r="I190" s="60"/>
      <c r="J190" s="60"/>
      <c r="K190" s="60"/>
    </row>
    <row r="191" spans="1:11">
      <c r="A191" s="59" t="s">
        <v>12</v>
      </c>
      <c r="B191" s="59"/>
      <c r="C191" s="60" t="s">
        <v>827</v>
      </c>
      <c r="D191" s="60"/>
      <c r="E191" s="60"/>
      <c r="F191" s="60"/>
      <c r="G191" s="60"/>
      <c r="H191" s="60"/>
      <c r="I191" s="60"/>
      <c r="J191" s="60"/>
      <c r="K191" s="60"/>
    </row>
    <row r="192" spans="1:11">
      <c r="A192" s="59" t="s">
        <v>10</v>
      </c>
      <c r="B192" s="59"/>
      <c r="C192" s="60" t="s">
        <v>828</v>
      </c>
      <c r="D192" s="60"/>
      <c r="E192" s="60"/>
      <c r="F192" s="60"/>
      <c r="G192" s="60"/>
      <c r="H192" s="60"/>
      <c r="I192" s="60"/>
      <c r="J192" s="60"/>
      <c r="K192" s="60"/>
    </row>
    <row r="193" spans="1:11">
      <c r="A193" s="59" t="s">
        <v>11</v>
      </c>
      <c r="B193" s="59"/>
      <c r="C193" s="60" t="s">
        <v>829</v>
      </c>
      <c r="D193" s="60"/>
      <c r="E193" s="60"/>
      <c r="F193" s="60"/>
      <c r="G193" s="60"/>
      <c r="H193" s="60"/>
      <c r="I193" s="60"/>
      <c r="J193" s="60"/>
      <c r="K193" s="60"/>
    </row>
    <row r="194" spans="1:11">
      <c r="A194" s="59" t="s">
        <v>554</v>
      </c>
      <c r="B194" s="59"/>
      <c r="C194" s="60" t="s">
        <v>830</v>
      </c>
      <c r="D194" s="60"/>
      <c r="E194" s="60"/>
      <c r="F194" s="60"/>
      <c r="G194" s="60"/>
      <c r="H194" s="60"/>
      <c r="I194" s="60"/>
      <c r="J194" s="60"/>
      <c r="K194" s="60"/>
    </row>
    <row r="196" spans="1:11">
      <c r="A196" s="3" t="s">
        <v>532</v>
      </c>
    </row>
    <row r="197" spans="1:11">
      <c r="A197" s="63" t="s">
        <v>235</v>
      </c>
      <c r="B197" s="63"/>
      <c r="C197" s="64" t="s">
        <v>2</v>
      </c>
      <c r="D197" s="64"/>
      <c r="E197" s="64"/>
      <c r="F197" s="64"/>
      <c r="G197" s="64"/>
      <c r="H197" s="64"/>
      <c r="I197" s="64"/>
      <c r="J197" s="64"/>
      <c r="K197" s="64"/>
    </row>
    <row r="198" spans="1:11">
      <c r="A198" s="61" t="s">
        <v>521</v>
      </c>
      <c r="B198" s="61"/>
      <c r="C198" s="62" t="s">
        <v>572</v>
      </c>
      <c r="D198" s="62"/>
      <c r="E198" s="62"/>
      <c r="F198" s="62"/>
      <c r="G198" s="62"/>
      <c r="H198" s="62"/>
      <c r="I198" s="62"/>
      <c r="J198" s="62"/>
      <c r="K198" s="62"/>
    </row>
    <row r="199" spans="1:11" ht="27.75" customHeight="1">
      <c r="A199" s="61" t="s">
        <v>522</v>
      </c>
      <c r="B199" s="61"/>
      <c r="C199" s="62" t="s">
        <v>573</v>
      </c>
      <c r="D199" s="62"/>
      <c r="E199" s="62"/>
      <c r="F199" s="62"/>
      <c r="G199" s="62"/>
      <c r="H199" s="62"/>
      <c r="I199" s="62"/>
      <c r="J199" s="62"/>
      <c r="K199" s="62"/>
    </row>
    <row r="200" spans="1:11">
      <c r="A200" s="61" t="s">
        <v>523</v>
      </c>
      <c r="B200" s="61"/>
      <c r="C200" s="62" t="s">
        <v>574</v>
      </c>
      <c r="D200" s="62"/>
      <c r="E200" s="62"/>
      <c r="F200" s="62"/>
      <c r="G200" s="62"/>
      <c r="H200" s="62"/>
      <c r="I200" s="62"/>
      <c r="J200" s="62"/>
      <c r="K200" s="62"/>
    </row>
    <row r="201" spans="1:11" ht="30" customHeight="1">
      <c r="A201" s="61" t="s">
        <v>524</v>
      </c>
      <c r="B201" s="61"/>
      <c r="C201" s="62" t="s">
        <v>575</v>
      </c>
      <c r="D201" s="62"/>
      <c r="E201" s="62"/>
      <c r="F201" s="62"/>
      <c r="G201" s="62"/>
      <c r="H201" s="62"/>
      <c r="I201" s="62"/>
      <c r="J201" s="62"/>
      <c r="K201" s="62"/>
    </row>
    <row r="202" spans="1:11">
      <c r="A202" s="61" t="s">
        <v>525</v>
      </c>
      <c r="B202" s="61"/>
      <c r="C202" s="62" t="s">
        <v>530</v>
      </c>
      <c r="D202" s="62"/>
      <c r="E202" s="62"/>
      <c r="F202" s="62"/>
      <c r="G202" s="62"/>
      <c r="H202" s="62"/>
      <c r="I202" s="62"/>
      <c r="J202" s="62"/>
      <c r="K202" s="62"/>
    </row>
    <row r="203" spans="1:11">
      <c r="A203" s="61" t="s">
        <v>526</v>
      </c>
      <c r="B203" s="61"/>
      <c r="C203" s="62" t="s">
        <v>527</v>
      </c>
      <c r="D203" s="62"/>
      <c r="E203" s="62"/>
      <c r="F203" s="62"/>
      <c r="G203" s="62"/>
      <c r="H203" s="62"/>
      <c r="I203" s="62"/>
      <c r="J203" s="62"/>
      <c r="K203" s="62"/>
    </row>
    <row r="204" spans="1:11" ht="27.75" customHeight="1">
      <c r="A204" s="61" t="s">
        <v>528</v>
      </c>
      <c r="B204" s="61"/>
      <c r="C204" s="62" t="s">
        <v>531</v>
      </c>
      <c r="D204" s="62"/>
      <c r="E204" s="62"/>
      <c r="F204" s="62"/>
      <c r="G204" s="62"/>
      <c r="H204" s="62"/>
      <c r="I204" s="62"/>
      <c r="J204" s="62"/>
      <c r="K204" s="62"/>
    </row>
    <row r="205" spans="1:11">
      <c r="A205" s="61" t="s">
        <v>529</v>
      </c>
      <c r="B205" s="61"/>
      <c r="C205" s="62" t="s">
        <v>576</v>
      </c>
      <c r="D205" s="62"/>
      <c r="E205" s="62"/>
      <c r="F205" s="62"/>
      <c r="G205" s="62"/>
      <c r="H205" s="62"/>
      <c r="I205" s="62"/>
      <c r="J205" s="62"/>
      <c r="K205" s="62"/>
    </row>
    <row r="207" spans="1:11">
      <c r="A207" s="3" t="s">
        <v>533</v>
      </c>
    </row>
    <row r="208" spans="1:11">
      <c r="A208" s="7" t="s">
        <v>21</v>
      </c>
      <c r="B208" s="6" t="s">
        <v>534</v>
      </c>
      <c r="C208" s="64" t="s">
        <v>2</v>
      </c>
      <c r="D208" s="64"/>
      <c r="E208" s="64"/>
      <c r="F208" s="64"/>
      <c r="G208" s="64"/>
      <c r="H208" s="64"/>
      <c r="I208" s="64"/>
      <c r="J208" s="64"/>
      <c r="K208" s="64"/>
    </row>
    <row r="209" spans="1:11" ht="29.25" customHeight="1">
      <c r="A209" s="7" t="s">
        <v>535</v>
      </c>
      <c r="B209" s="6" t="s">
        <v>536</v>
      </c>
      <c r="C209" s="62" t="s">
        <v>537</v>
      </c>
      <c r="D209" s="62"/>
      <c r="E209" s="62"/>
      <c r="F209" s="62"/>
      <c r="G209" s="62"/>
      <c r="H209" s="62"/>
      <c r="I209" s="62"/>
      <c r="J209" s="62"/>
      <c r="K209" s="62"/>
    </row>
    <row r="210" spans="1:11" ht="29.25" customHeight="1">
      <c r="A210" s="7" t="s">
        <v>538</v>
      </c>
      <c r="B210" s="6" t="s">
        <v>539</v>
      </c>
      <c r="C210" s="62" t="s">
        <v>540</v>
      </c>
      <c r="D210" s="62"/>
      <c r="E210" s="62"/>
      <c r="F210" s="62"/>
      <c r="G210" s="62"/>
      <c r="H210" s="62"/>
      <c r="I210" s="62"/>
      <c r="J210" s="62"/>
      <c r="K210" s="62"/>
    </row>
    <row r="211" spans="1:11" ht="26.25" customHeight="1">
      <c r="A211" s="7" t="s">
        <v>541</v>
      </c>
      <c r="B211" s="6" t="s">
        <v>542</v>
      </c>
      <c r="C211" s="62" t="s">
        <v>543</v>
      </c>
      <c r="D211" s="62"/>
      <c r="E211" s="62"/>
      <c r="F211" s="62"/>
      <c r="G211" s="62"/>
      <c r="H211" s="62"/>
      <c r="I211" s="62"/>
      <c r="J211" s="62"/>
      <c r="K211" s="62"/>
    </row>
    <row r="212" spans="1:11" ht="27" customHeight="1">
      <c r="A212" s="7" t="s">
        <v>544</v>
      </c>
      <c r="B212" s="6" t="s">
        <v>545</v>
      </c>
      <c r="C212" s="62" t="s">
        <v>546</v>
      </c>
      <c r="D212" s="62"/>
      <c r="E212" s="62"/>
      <c r="F212" s="62"/>
      <c r="G212" s="62"/>
      <c r="H212" s="62"/>
      <c r="I212" s="62"/>
      <c r="J212" s="62"/>
      <c r="K212" s="62"/>
    </row>
    <row r="214" spans="1:11">
      <c r="A214" s="3" t="s">
        <v>224</v>
      </c>
    </row>
    <row r="215" spans="1:11">
      <c r="A215" s="69" t="s">
        <v>589</v>
      </c>
      <c r="B215" s="65"/>
      <c r="C215" s="65"/>
      <c r="D215" s="65"/>
      <c r="E215" s="65"/>
      <c r="F215" s="65"/>
      <c r="G215" s="65"/>
      <c r="H215" s="65"/>
      <c r="I215" s="65"/>
      <c r="J215" s="65"/>
      <c r="K215" s="65"/>
    </row>
    <row r="216" spans="1:11">
      <c r="A216" s="65" t="s">
        <v>577</v>
      </c>
      <c r="B216" s="65"/>
      <c r="C216" s="65"/>
      <c r="D216" s="65"/>
      <c r="E216" s="65"/>
      <c r="F216" s="65"/>
      <c r="G216" s="65"/>
      <c r="H216" s="65"/>
      <c r="I216" s="65"/>
      <c r="J216" s="65"/>
      <c r="K216" s="65"/>
    </row>
    <row r="217" spans="1:11">
      <c r="A217" s="65" t="s">
        <v>578</v>
      </c>
      <c r="B217" s="65"/>
      <c r="C217" s="65"/>
      <c r="D217" s="65"/>
      <c r="E217" s="65"/>
      <c r="F217" s="65"/>
      <c r="G217" s="65"/>
      <c r="H217" s="65"/>
      <c r="I217" s="65"/>
      <c r="J217" s="65"/>
      <c r="K217" s="65"/>
    </row>
    <row r="218" spans="1:11">
      <c r="A218" s="65" t="s">
        <v>579</v>
      </c>
      <c r="B218" s="65"/>
      <c r="C218" s="65"/>
      <c r="D218" s="65"/>
      <c r="E218" s="65"/>
      <c r="F218" s="65"/>
      <c r="G218" s="65"/>
      <c r="H218" s="65"/>
      <c r="I218" s="65"/>
      <c r="J218" s="65"/>
      <c r="K218" s="65"/>
    </row>
    <row r="219" spans="1:11">
      <c r="A219" s="65" t="s">
        <v>580</v>
      </c>
      <c r="B219" s="65"/>
      <c r="C219" s="65"/>
      <c r="D219" s="65"/>
      <c r="E219" s="65"/>
      <c r="F219" s="65"/>
      <c r="G219" s="65"/>
      <c r="H219" s="65"/>
      <c r="I219" s="65"/>
      <c r="J219" s="65"/>
      <c r="K219" s="65"/>
    </row>
    <row r="220" spans="1:11">
      <c r="A220" s="65" t="s">
        <v>581</v>
      </c>
      <c r="B220" s="65"/>
      <c r="C220" s="65"/>
      <c r="D220" s="65"/>
      <c r="E220" s="65"/>
      <c r="F220" s="65"/>
      <c r="G220" s="65"/>
      <c r="H220" s="65"/>
      <c r="I220" s="65"/>
      <c r="J220" s="65"/>
      <c r="K220" s="65"/>
    </row>
    <row r="221" spans="1:11">
      <c r="A221" s="65" t="s">
        <v>582</v>
      </c>
      <c r="B221" s="65"/>
      <c r="C221" s="65"/>
      <c r="D221" s="65"/>
      <c r="E221" s="65"/>
      <c r="F221" s="65"/>
      <c r="G221" s="65"/>
      <c r="H221" s="65"/>
      <c r="I221" s="65"/>
      <c r="J221" s="65"/>
      <c r="K221" s="65"/>
    </row>
    <row r="222" spans="1:11">
      <c r="A222" s="65" t="s">
        <v>583</v>
      </c>
      <c r="B222" s="65"/>
      <c r="C222" s="65"/>
      <c r="D222" s="65"/>
      <c r="E222" s="65"/>
      <c r="F222" s="65"/>
      <c r="G222" s="65"/>
      <c r="H222" s="65"/>
      <c r="I222" s="65"/>
      <c r="J222" s="65"/>
      <c r="K222" s="65"/>
    </row>
    <row r="223" spans="1:11">
      <c r="A223" s="65" t="s">
        <v>584</v>
      </c>
      <c r="B223" s="65"/>
      <c r="C223" s="65"/>
      <c r="D223" s="65"/>
      <c r="E223" s="65"/>
      <c r="F223" s="65"/>
      <c r="G223" s="65"/>
      <c r="H223" s="65"/>
      <c r="I223" s="65"/>
      <c r="J223" s="65"/>
      <c r="K223" s="65"/>
    </row>
    <row r="224" spans="1:11">
      <c r="A224" s="3"/>
    </row>
    <row r="225" spans="1:11">
      <c r="A225" s="3" t="s">
        <v>519</v>
      </c>
    </row>
    <row r="226" spans="1:11">
      <c r="A226" s="65" t="s">
        <v>515</v>
      </c>
      <c r="B226" s="65"/>
      <c r="C226" s="65"/>
      <c r="D226" s="65"/>
      <c r="E226" s="65"/>
      <c r="F226" s="65"/>
      <c r="G226" s="65"/>
      <c r="H226" s="65"/>
      <c r="I226" s="65"/>
      <c r="J226" s="65"/>
      <c r="K226" s="65"/>
    </row>
    <row r="227" spans="1:11">
      <c r="A227" s="65" t="s">
        <v>516</v>
      </c>
      <c r="B227" s="65"/>
      <c r="C227" s="65"/>
      <c r="D227" s="65"/>
      <c r="E227" s="65"/>
      <c r="F227" s="65"/>
      <c r="G227" s="65"/>
      <c r="H227" s="65"/>
      <c r="I227" s="65"/>
      <c r="J227" s="65"/>
      <c r="K227" s="65"/>
    </row>
    <row r="228" spans="1:11">
      <c r="A228" s="65" t="s">
        <v>585</v>
      </c>
      <c r="B228" s="65"/>
      <c r="C228" s="65"/>
      <c r="D228" s="65"/>
      <c r="E228" s="65"/>
      <c r="F228" s="65"/>
      <c r="G228" s="65"/>
      <c r="H228" s="65"/>
      <c r="I228" s="65"/>
      <c r="J228" s="65"/>
      <c r="K228" s="65"/>
    </row>
    <row r="229" spans="1:11">
      <c r="A229" s="65" t="s">
        <v>517</v>
      </c>
      <c r="B229" s="65"/>
      <c r="C229" s="65"/>
      <c r="D229" s="65"/>
      <c r="E229" s="65"/>
      <c r="F229" s="65"/>
      <c r="G229" s="65"/>
      <c r="H229" s="65"/>
      <c r="I229" s="65"/>
      <c r="J229" s="65"/>
      <c r="K229" s="65"/>
    </row>
    <row r="230" spans="1:11">
      <c r="A230" s="65" t="s">
        <v>586</v>
      </c>
      <c r="B230" s="65"/>
      <c r="C230" s="65"/>
      <c r="D230" s="65"/>
      <c r="E230" s="65"/>
      <c r="F230" s="65"/>
      <c r="G230" s="65"/>
      <c r="H230" s="65"/>
      <c r="I230" s="65"/>
      <c r="J230" s="65"/>
      <c r="K230" s="65"/>
    </row>
    <row r="231" spans="1:11">
      <c r="A231" s="65" t="s">
        <v>587</v>
      </c>
      <c r="B231" s="65"/>
      <c r="C231" s="65"/>
      <c r="D231" s="65"/>
      <c r="E231" s="65"/>
      <c r="F231" s="65"/>
      <c r="G231" s="65"/>
      <c r="H231" s="65"/>
      <c r="I231" s="65"/>
      <c r="J231" s="65"/>
      <c r="K231" s="65"/>
    </row>
    <row r="232" spans="1:11">
      <c r="A232" s="65" t="s">
        <v>518</v>
      </c>
      <c r="B232" s="65"/>
      <c r="C232" s="65"/>
      <c r="D232" s="65"/>
      <c r="E232" s="65"/>
      <c r="F232" s="65"/>
      <c r="G232" s="65"/>
      <c r="H232" s="65"/>
      <c r="I232" s="65"/>
      <c r="J232" s="65"/>
      <c r="K232" s="65"/>
    </row>
    <row r="233" spans="1:11">
      <c r="A233" s="65" t="s">
        <v>588</v>
      </c>
      <c r="B233" s="65"/>
      <c r="C233" s="65"/>
      <c r="D233" s="65"/>
      <c r="E233" s="65"/>
      <c r="F233" s="65"/>
      <c r="G233" s="65"/>
      <c r="H233" s="65"/>
      <c r="I233" s="65"/>
      <c r="J233" s="65"/>
      <c r="K233" s="65"/>
    </row>
    <row r="235" spans="1:11">
      <c r="A235" s="3" t="s">
        <v>68</v>
      </c>
      <c r="B235" s="3"/>
      <c r="C235" s="3"/>
      <c r="D235" s="3"/>
      <c r="E235" s="3"/>
    </row>
    <row r="236" spans="1:11">
      <c r="A236" s="63" t="s">
        <v>33</v>
      </c>
      <c r="B236" s="63"/>
      <c r="C236" s="63" t="s">
        <v>6</v>
      </c>
      <c r="D236" s="63"/>
      <c r="E236" s="70" t="s">
        <v>69</v>
      </c>
      <c r="F236" s="70"/>
      <c r="G236" s="70" t="s">
        <v>547</v>
      </c>
      <c r="H236" s="70"/>
      <c r="I236" s="70" t="s">
        <v>34</v>
      </c>
      <c r="J236" s="70"/>
      <c r="K236" s="70"/>
    </row>
    <row r="237" spans="1:11" ht="34.5" customHeight="1">
      <c r="A237" s="60" t="s">
        <v>35</v>
      </c>
      <c r="B237" s="60"/>
      <c r="C237" s="60" t="s">
        <v>36</v>
      </c>
      <c r="D237" s="60"/>
      <c r="E237" s="62" t="s">
        <v>22</v>
      </c>
      <c r="F237" s="62"/>
      <c r="G237" s="62" t="s">
        <v>27</v>
      </c>
      <c r="H237" s="62"/>
      <c r="I237" s="62" t="s">
        <v>37</v>
      </c>
      <c r="J237" s="62"/>
      <c r="K237" s="62"/>
    </row>
    <row r="238" spans="1:11" ht="34.5" customHeight="1">
      <c r="A238" s="60" t="s">
        <v>23</v>
      </c>
      <c r="B238" s="60"/>
      <c r="C238" s="60" t="s">
        <v>38</v>
      </c>
      <c r="D238" s="60"/>
      <c r="E238" s="62" t="s">
        <v>24</v>
      </c>
      <c r="F238" s="62"/>
      <c r="G238" s="62" t="s">
        <v>14</v>
      </c>
      <c r="H238" s="62"/>
      <c r="I238" s="62" t="s">
        <v>39</v>
      </c>
      <c r="J238" s="62"/>
      <c r="K238" s="62"/>
    </row>
    <row r="239" spans="1:11" ht="28.5" customHeight="1">
      <c r="A239" s="60" t="s">
        <v>40</v>
      </c>
      <c r="B239" s="60"/>
      <c r="C239" s="60" t="s">
        <v>41</v>
      </c>
      <c r="D239" s="60"/>
      <c r="E239" s="62" t="s">
        <v>25</v>
      </c>
      <c r="F239" s="62"/>
      <c r="G239" s="62" t="s">
        <v>42</v>
      </c>
      <c r="H239" s="62"/>
      <c r="I239" s="62" t="s">
        <v>43</v>
      </c>
      <c r="J239" s="62"/>
      <c r="K239" s="62"/>
    </row>
    <row r="240" spans="1:11" ht="29.25" customHeight="1">
      <c r="A240" s="60" t="s">
        <v>44</v>
      </c>
      <c r="B240" s="60"/>
      <c r="C240" s="60" t="s">
        <v>45</v>
      </c>
      <c r="D240" s="60"/>
      <c r="E240" s="62" t="s">
        <v>26</v>
      </c>
      <c r="F240" s="62"/>
      <c r="G240" s="62" t="s">
        <v>46</v>
      </c>
      <c r="H240" s="62"/>
      <c r="I240" s="62" t="s">
        <v>47</v>
      </c>
      <c r="J240" s="62"/>
      <c r="K240" s="62"/>
    </row>
    <row r="241" spans="1:11" ht="30.75" customHeight="1">
      <c r="A241" s="60" t="s">
        <v>28</v>
      </c>
      <c r="B241" s="60"/>
      <c r="C241" s="60" t="s">
        <v>36</v>
      </c>
      <c r="D241" s="60"/>
      <c r="E241" s="62" t="s">
        <v>29</v>
      </c>
      <c r="F241" s="62"/>
      <c r="G241" s="62" t="s">
        <v>31</v>
      </c>
      <c r="H241" s="62"/>
      <c r="I241" s="62" t="s">
        <v>48</v>
      </c>
      <c r="J241" s="62"/>
      <c r="K241" s="62"/>
    </row>
    <row r="242" spans="1:11" ht="29.25" customHeight="1">
      <c r="A242" s="60" t="s">
        <v>49</v>
      </c>
      <c r="B242" s="60"/>
      <c r="C242" s="60">
        <v>7</v>
      </c>
      <c r="D242" s="60"/>
      <c r="E242" s="62" t="s">
        <v>50</v>
      </c>
      <c r="F242" s="62"/>
      <c r="G242" s="62" t="s">
        <v>51</v>
      </c>
      <c r="H242" s="62"/>
      <c r="I242" s="62" t="s">
        <v>52</v>
      </c>
      <c r="J242" s="62"/>
      <c r="K242" s="62"/>
    </row>
    <row r="243" spans="1:11" ht="42.75" customHeight="1">
      <c r="A243" s="60" t="s">
        <v>53</v>
      </c>
      <c r="B243" s="60"/>
      <c r="C243" s="60" t="s">
        <v>54</v>
      </c>
      <c r="D243" s="60"/>
      <c r="E243" s="62" t="s">
        <v>30</v>
      </c>
      <c r="F243" s="62"/>
      <c r="G243" s="62" t="s">
        <v>31</v>
      </c>
      <c r="H243" s="62"/>
      <c r="I243" s="62" t="s">
        <v>55</v>
      </c>
      <c r="J243" s="62"/>
      <c r="K243" s="62"/>
    </row>
    <row r="244" spans="1:11" ht="29.25" customHeight="1">
      <c r="A244" s="60" t="s">
        <v>56</v>
      </c>
      <c r="B244" s="60"/>
      <c r="C244" s="60" t="s">
        <v>57</v>
      </c>
      <c r="D244" s="60"/>
      <c r="E244" s="62" t="s">
        <v>25</v>
      </c>
      <c r="F244" s="62"/>
      <c r="G244" s="62" t="s">
        <v>15</v>
      </c>
      <c r="H244" s="62"/>
      <c r="I244" s="62" t="s">
        <v>32</v>
      </c>
      <c r="J244" s="62"/>
      <c r="K244" s="62"/>
    </row>
    <row r="245" spans="1:11" ht="27" customHeight="1">
      <c r="A245" s="60" t="s">
        <v>58</v>
      </c>
      <c r="B245" s="60"/>
      <c r="C245" s="60" t="s">
        <v>549</v>
      </c>
      <c r="D245" s="60"/>
      <c r="E245" s="62" t="s">
        <v>548</v>
      </c>
      <c r="F245" s="62"/>
      <c r="G245" s="62" t="s">
        <v>59</v>
      </c>
      <c r="H245" s="62"/>
      <c r="I245" s="62" t="s">
        <v>60</v>
      </c>
      <c r="J245" s="62"/>
      <c r="K245" s="62"/>
    </row>
    <row r="246" spans="1:11" ht="38.25" customHeight="1">
      <c r="A246" s="60" t="s">
        <v>61</v>
      </c>
      <c r="B246" s="60"/>
      <c r="C246" s="60" t="s">
        <v>62</v>
      </c>
      <c r="D246" s="60"/>
      <c r="E246" s="62" t="s">
        <v>26</v>
      </c>
      <c r="F246" s="62"/>
      <c r="G246" s="62" t="s">
        <v>63</v>
      </c>
      <c r="H246" s="62"/>
      <c r="I246" s="62" t="s">
        <v>64</v>
      </c>
      <c r="J246" s="62"/>
      <c r="K246" s="62"/>
    </row>
    <row r="247" spans="1:11" ht="31.5" customHeight="1">
      <c r="A247" s="60" t="s">
        <v>65</v>
      </c>
      <c r="B247" s="60"/>
      <c r="C247" s="60" t="s">
        <v>41</v>
      </c>
      <c r="D247" s="60"/>
      <c r="E247" s="62" t="s">
        <v>25</v>
      </c>
      <c r="F247" s="62"/>
      <c r="G247" s="62" t="s">
        <v>66</v>
      </c>
      <c r="H247" s="62"/>
      <c r="I247" s="62" t="s">
        <v>67</v>
      </c>
      <c r="J247" s="62"/>
      <c r="K247" s="62"/>
    </row>
    <row r="249" spans="1:11" ht="15">
      <c r="A249" s="3" t="s">
        <v>550</v>
      </c>
      <c r="B249" s="18"/>
    </row>
    <row r="250" spans="1:11">
      <c r="A250" s="7" t="s">
        <v>16</v>
      </c>
      <c r="B250" s="63" t="s">
        <v>17</v>
      </c>
      <c r="C250" s="63"/>
      <c r="D250" s="63"/>
    </row>
    <row r="251" spans="1:11">
      <c r="A251" s="1">
        <v>0.2</v>
      </c>
      <c r="B251" s="60" t="s">
        <v>18</v>
      </c>
      <c r="C251" s="60"/>
      <c r="D251" s="60"/>
    </row>
    <row r="252" spans="1:11">
      <c r="A252" s="1">
        <v>0.1</v>
      </c>
      <c r="B252" s="60" t="s">
        <v>19</v>
      </c>
      <c r="C252" s="60"/>
      <c r="D252" s="60"/>
    </row>
    <row r="253" spans="1:11">
      <c r="A253" s="1">
        <v>0.05</v>
      </c>
      <c r="B253" s="60" t="s">
        <v>20</v>
      </c>
      <c r="C253" s="60"/>
      <c r="D253" s="60"/>
    </row>
    <row r="255" spans="1:11">
      <c r="A255" s="3" t="s">
        <v>1299</v>
      </c>
    </row>
    <row r="257" spans="1:3">
      <c r="A257" s="3" t="s">
        <v>553</v>
      </c>
    </row>
    <row r="258" spans="1:3">
      <c r="A258" s="72" t="s">
        <v>193</v>
      </c>
      <c r="B258" s="72"/>
      <c r="C258" s="8" t="s">
        <v>235</v>
      </c>
    </row>
    <row r="259" spans="1:3">
      <c r="A259" s="68" t="s">
        <v>6</v>
      </c>
      <c r="B259" s="68"/>
      <c r="C259" s="10">
        <v>7</v>
      </c>
    </row>
    <row r="260" spans="1:3">
      <c r="A260" s="68" t="s">
        <v>7</v>
      </c>
      <c r="B260" s="68"/>
      <c r="C260" s="45" t="s">
        <v>1830</v>
      </c>
    </row>
    <row r="261" spans="1:3">
      <c r="A261" s="73" t="s">
        <v>8</v>
      </c>
      <c r="B261" s="73"/>
      <c r="C261" s="49"/>
    </row>
    <row r="262" spans="1:3">
      <c r="A262" s="68" t="s">
        <v>13</v>
      </c>
      <c r="B262" s="68"/>
      <c r="C262" s="46" t="b">
        <v>1</v>
      </c>
    </row>
    <row r="263" spans="1:3">
      <c r="A263" s="68" t="s">
        <v>12</v>
      </c>
      <c r="B263" s="68"/>
      <c r="C263" s="46" t="b">
        <v>0</v>
      </c>
    </row>
    <row r="264" spans="1:3">
      <c r="A264" s="68" t="s">
        <v>10</v>
      </c>
      <c r="B264" s="68"/>
      <c r="C264" s="10"/>
    </row>
    <row r="265" spans="1:3">
      <c r="A265" s="68" t="s">
        <v>11</v>
      </c>
      <c r="B265" s="68"/>
      <c r="C265" s="10"/>
    </row>
    <row r="266" spans="1:3">
      <c r="A266" s="68" t="s">
        <v>554</v>
      </c>
      <c r="B266" s="68"/>
      <c r="C266" s="46" t="b">
        <v>1</v>
      </c>
    </row>
    <row r="268" spans="1:3">
      <c r="A268" s="3" t="s">
        <v>559</v>
      </c>
      <c r="B268" s="3"/>
      <c r="C268" s="20"/>
    </row>
    <row r="269" spans="1:3">
      <c r="A269" s="68" t="s">
        <v>555</v>
      </c>
      <c r="B269" s="68"/>
      <c r="C269" s="10">
        <v>3</v>
      </c>
    </row>
    <row r="270" spans="1:3">
      <c r="A270" s="68" t="s">
        <v>556</v>
      </c>
      <c r="B270" s="68"/>
      <c r="C270" s="10">
        <v>2</v>
      </c>
    </row>
    <row r="271" spans="1:3">
      <c r="A271" s="68" t="s">
        <v>557</v>
      </c>
      <c r="B271" s="68"/>
      <c r="C271" s="10">
        <v>-2</v>
      </c>
    </row>
    <row r="272" spans="1:3">
      <c r="A272" s="68" t="s">
        <v>558</v>
      </c>
      <c r="B272" s="68"/>
      <c r="C272" s="10">
        <v>-3</v>
      </c>
    </row>
    <row r="275" spans="1:13">
      <c r="A275" s="3" t="s">
        <v>552</v>
      </c>
      <c r="B275" s="4"/>
      <c r="C275" s="4"/>
    </row>
    <row r="276" spans="1:13">
      <c r="A276" s="72" t="s">
        <v>193</v>
      </c>
      <c r="B276" s="72"/>
      <c r="C276" s="8" t="s">
        <v>235</v>
      </c>
    </row>
    <row r="277" spans="1:13">
      <c r="A277" s="68" t="s">
        <v>84</v>
      </c>
      <c r="B277" s="68"/>
      <c r="C277" s="9" t="s">
        <v>94</v>
      </c>
    </row>
    <row r="278" spans="1:13">
      <c r="A278" s="68" t="s">
        <v>85</v>
      </c>
      <c r="B278" s="68"/>
      <c r="C278" s="10">
        <v>2</v>
      </c>
    </row>
    <row r="279" spans="1:13">
      <c r="A279" s="68" t="s">
        <v>86</v>
      </c>
      <c r="B279" s="68"/>
      <c r="C279" s="10">
        <v>2</v>
      </c>
    </row>
    <row r="280" spans="1:13">
      <c r="A280" s="68" t="s">
        <v>87</v>
      </c>
      <c r="B280" s="68"/>
      <c r="C280" s="10">
        <v>0.1</v>
      </c>
    </row>
    <row r="281" spans="1:13">
      <c r="A281" s="68" t="s">
        <v>88</v>
      </c>
      <c r="B281" s="68"/>
      <c r="C281" s="10">
        <v>0</v>
      </c>
    </row>
    <row r="282" spans="1:13">
      <c r="A282" s="68" t="s">
        <v>89</v>
      </c>
      <c r="B282" s="68"/>
      <c r="C282" s="10">
        <v>0.5</v>
      </c>
    </row>
    <row r="283" spans="1:13">
      <c r="A283" s="68" t="s">
        <v>90</v>
      </c>
      <c r="B283" s="68"/>
      <c r="C283" s="10">
        <v>0</v>
      </c>
    </row>
    <row r="284" spans="1:13">
      <c r="A284" s="68" t="s">
        <v>91</v>
      </c>
      <c r="B284" s="68"/>
      <c r="C284" s="10">
        <v>100</v>
      </c>
    </row>
    <row r="285" spans="1:13">
      <c r="A285" s="68" t="s">
        <v>92</v>
      </c>
      <c r="B285" s="68"/>
      <c r="C285" s="10"/>
    </row>
    <row r="286" spans="1:13">
      <c r="A286" s="68" t="s">
        <v>93</v>
      </c>
      <c r="B286" s="68"/>
      <c r="C286" s="10">
        <v>2</v>
      </c>
    </row>
    <row r="288" spans="1:13">
      <c r="A288" s="50" t="str" cm="1">
        <f t="array" aca="1" ref="A288" ca="1">_xlfn.LET(
    _xlpm.mode, $C$260,
    _xlpm.p, $C$259,
    _xlpm.lambda, $C$264,
    _xlpm.trim, $C$265,
    _xlpm.data,_xlfn.ANCHORARRAY( $A$292),
    _xlpm.n, ROWS(_xlpm.data),
    _xlpm.avg, AVERAGE(INDEX(_xlpm.data,,2)),
    _xlpm.med, MEDIAN(INDEX(_xlpm.data,,2)),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Raw Control Chart: Exponentially Weighted Moving Average (n=200, p=7, λ=0.25)
[Control Limits - UCL: σ+3, UWL: σ+2, LWL: σ-2, LCL: σ-3]</v>
      </c>
      <c r="M288" s="50" t="str" cm="1">
        <f t="array" aca="1" ref="M288" ca="1">_xlfn.LET(
    _xlpm.mode, $C$260,
    _xlpm.p, $C$259,
    _xlpm.lambda, $C$264,
    _xlpm.trim, $C$265,
    _xlpm.data,_xlfn.ANCHORARRAY( $A$292),
    _xlpm.n, ROWS(_xlpm.data),
    _xlpm.avg, AVERAGE(INDEX(_xlpm.data,,2)),
    _xlpm.med, MEDIAN(INDEX(_xlpm.data,,2)),
    _xlpm.msg_pre, "Z-Score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2 / (_xlpm.p + 1)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_xlpm.ctrl, $A$269:$C$272,
        _xlpm.lbl, _xlfn.TAKE(_xlpm.ctrl, , 1),
        _xlpm.val, _xlfn.TAKE(_xlpm.ctrl, , -1),
        _xlpm.val_msg, IF(_xlpm.val &lt; 0, "σ" &amp; _xlpm.val, "σ+" &amp; _xlpm.val),
        _xlpm.lbl_val_msg, _xlpm.lbl &amp; ": " &amp; _xlpm.val_msg,
        _xlpm.return, CHAR(10) &amp; "[Control Limits - " &amp; _xlfn.ARRAYTOTEXT(_xlpm.lbl_val_msg) &amp; "]",
        _xlpm.return
    ),
    _xlpm.return, _xlpm.msg_pre &amp; _xlpm.msg_mode &amp; _xlpm.msg_ctrl,
    _xlpm.return
)</f>
        <v>Z-Score Control Chart: Exponentially Weighted Moving Average (n=200, p=7, λ=0.25)
[Control Limits - UCL: σ+3, UWL: σ+2, LWL: σ-2, LCL: σ-3]</v>
      </c>
    </row>
    <row r="290" spans="1:19">
      <c r="A290" s="71" t="s">
        <v>551</v>
      </c>
      <c r="B290" s="71"/>
      <c r="D290" s="3" t="s">
        <v>1836</v>
      </c>
      <c r="M290" s="3" t="s">
        <v>1837</v>
      </c>
    </row>
    <row r="291" spans="1:19">
      <c r="A291" s="11" t="s">
        <v>75</v>
      </c>
      <c r="B291" s="11" t="s">
        <v>5</v>
      </c>
      <c r="D291" s="11" t="str" cm="1">
        <f t="array" aca="1" ref="D291:J491" ca="1">CONTROL_CHART(INDEX(_xlfn.ANCHORARRAY(A292),,2),INDEX(_xlfn.ANCHORARRAY(A292),,1),_xlfn.VSTACK(A259:C260,{"output_mode","","raw"},A262:C266),A269:C272)</f>
        <v>x</v>
      </c>
      <c r="E291" s="11" t="str">
        <f ca="1"/>
        <v>y</v>
      </c>
      <c r="F291" s="11" t="str">
        <f ca="1"/>
        <v>ema</v>
      </c>
      <c r="G291" s="11" t="str">
        <f ca="1"/>
        <v>UCL</v>
      </c>
      <c r="H291" s="11" t="str">
        <f ca="1"/>
        <v>UWL</v>
      </c>
      <c r="I291" s="11" t="str">
        <f ca="1"/>
        <v>LWL</v>
      </c>
      <c r="J291" s="11" t="str">
        <f ca="1"/>
        <v>LCL</v>
      </c>
      <c r="K291" s="11"/>
      <c r="M291" s="11" t="str" cm="1">
        <f t="array" aca="1" ref="M291:S491" ca="1">CONTROL_CHART(INDEX(_xlfn.ANCHORARRAY(A292),,2),INDEX(_xlfn.ANCHORARRAY(A292),,1),_xlfn.VSTACK(A259:C260,{"output_mode","","zscore"},A262:C266),A269:C272)</f>
        <v>x</v>
      </c>
      <c r="N291" s="11" t="str">
        <f ca="1"/>
        <v>y</v>
      </c>
      <c r="O291" s="11" t="str">
        <f ca="1"/>
        <v>z</v>
      </c>
      <c r="P291" s="11" t="str">
        <f ca="1"/>
        <v>UCL</v>
      </c>
      <c r="Q291" s="11" t="str">
        <f ca="1"/>
        <v>UWL</v>
      </c>
      <c r="R291" s="11" t="str">
        <f ca="1"/>
        <v>LWL</v>
      </c>
      <c r="S291" s="11" t="str">
        <f ca="1"/>
        <v>LCL</v>
      </c>
    </row>
    <row r="292" spans="1:19">
      <c r="A292" s="13" cm="1">
        <f t="array" aca="1" ref="A292:B491" ca="1">_xlfn.LET(
    _xlpm.opt_raw, A277:C286,
    _xlpm.lbl, _xlfn.TAKE(_xlpm.opt_raw, , 1),
    _xlpm.val, _xlfn.TAKE(_xlpm.opt_raw, , -1),
    _xlpm.opt_corrected, _xlfn.HSTACK(_xlpm.lbl, _xlpm.val),
    WAVEFORM(200, _xlpm.opt_corrected)
)</f>
        <v>0</v>
      </c>
      <c r="B292" s="13">
        <f ca="1"/>
        <v>101.36505088738789</v>
      </c>
      <c r="D292" s="13">
        <f ca="1"/>
        <v>0</v>
      </c>
      <c r="E292" s="13">
        <f ca="1"/>
        <v>101.36505088738789</v>
      </c>
      <c r="F292" s="13">
        <f ca="1"/>
        <v>101.36505088738789</v>
      </c>
      <c r="G292" s="13" t="e">
        <f ca="1"/>
        <v>#N/A</v>
      </c>
      <c r="H292" s="13" t="e">
        <f ca="1"/>
        <v>#N/A</v>
      </c>
      <c r="I292" s="13" t="e">
        <f ca="1"/>
        <v>#N/A</v>
      </c>
      <c r="J292" s="13" t="e">
        <f ca="1"/>
        <v>#N/A</v>
      </c>
      <c r="M292" s="13">
        <f ca="1"/>
        <v>0</v>
      </c>
      <c r="N292" s="13">
        <f ca="1"/>
        <v>101.36505088738789</v>
      </c>
      <c r="O292" s="13" t="e">
        <f ca="1"/>
        <v>#N/A</v>
      </c>
      <c r="P292" s="13">
        <f ca="1"/>
        <v>3</v>
      </c>
      <c r="Q292" s="13">
        <f ca="1"/>
        <v>2</v>
      </c>
      <c r="R292" s="13">
        <f ca="1"/>
        <v>-2</v>
      </c>
      <c r="S292" s="13">
        <f ca="1"/>
        <v>-3</v>
      </c>
    </row>
    <row r="293" spans="1:19">
      <c r="A293" s="13">
        <f ca="1"/>
        <v>0.10050251256281408</v>
      </c>
      <c r="B293" s="13">
        <f ca="1"/>
        <v>99.904339289539735</v>
      </c>
      <c r="D293" s="13">
        <f ca="1"/>
        <v>0.10050251256281408</v>
      </c>
      <c r="E293" s="13">
        <f ca="1"/>
        <v>99.904339289539735</v>
      </c>
      <c r="F293" s="13">
        <f ca="1"/>
        <v>100.99987298792585</v>
      </c>
      <c r="G293" s="13">
        <f ca="1"/>
        <v>104.46425472829392</v>
      </c>
      <c r="H293" s="13">
        <f ca="1"/>
        <v>103.30946081483791</v>
      </c>
      <c r="I293" s="13">
        <f ca="1"/>
        <v>98.690285161013804</v>
      </c>
      <c r="J293" s="13">
        <f ca="1"/>
        <v>97.535491247557786</v>
      </c>
      <c r="M293" s="13">
        <f ca="1"/>
        <v>0.10050251256281408</v>
      </c>
      <c r="N293" s="13">
        <f ca="1"/>
        <v>99.904339289539735</v>
      </c>
      <c r="O293" s="13">
        <f ca="1"/>
        <v>-0.94868329805051377</v>
      </c>
      <c r="P293" s="13">
        <f ca="1"/>
        <v>3</v>
      </c>
      <c r="Q293" s="13">
        <f ca="1"/>
        <v>2</v>
      </c>
      <c r="R293" s="13">
        <f ca="1"/>
        <v>-2</v>
      </c>
      <c r="S293" s="13">
        <f ca="1"/>
        <v>-3</v>
      </c>
    </row>
    <row r="294" spans="1:19">
      <c r="A294" s="13">
        <f ca="1"/>
        <v>0.20100502512562815</v>
      </c>
      <c r="B294" s="13">
        <f ca="1"/>
        <v>98.921342814076439</v>
      </c>
      <c r="D294" s="13">
        <f ca="1"/>
        <v>0.20100502512562815</v>
      </c>
      <c r="E294" s="13">
        <f ca="1"/>
        <v>98.921342814076439</v>
      </c>
      <c r="F294" s="13">
        <f ca="1"/>
        <v>100.4802404444635</v>
      </c>
      <c r="G294" s="13">
        <f ca="1"/>
        <v>104.47413712186973</v>
      </c>
      <c r="H294" s="13">
        <f ca="1"/>
        <v>103.14283822940099</v>
      </c>
      <c r="I294" s="13">
        <f ca="1"/>
        <v>97.817642659526015</v>
      </c>
      <c r="J294" s="13">
        <f ca="1"/>
        <v>96.486343767057278</v>
      </c>
      <c r="M294" s="13">
        <f ca="1"/>
        <v>0.20100502512562815</v>
      </c>
      <c r="N294" s="13">
        <f ca="1"/>
        <v>98.921342814076439</v>
      </c>
      <c r="O294" s="13">
        <f ca="1"/>
        <v>-1.1709599093080201</v>
      </c>
      <c r="P294" s="13">
        <f ca="1"/>
        <v>3</v>
      </c>
      <c r="Q294" s="13">
        <f ca="1"/>
        <v>2</v>
      </c>
      <c r="R294" s="13">
        <f ca="1"/>
        <v>-2</v>
      </c>
      <c r="S294" s="13">
        <f ca="1"/>
        <v>-3</v>
      </c>
    </row>
    <row r="295" spans="1:19">
      <c r="A295" s="13">
        <f ca="1"/>
        <v>0.30150753768844224</v>
      </c>
      <c r="B295" s="13">
        <f ca="1"/>
        <v>99.3040832424916</v>
      </c>
      <c r="D295" s="13">
        <f ca="1"/>
        <v>0.30150753768844224</v>
      </c>
      <c r="E295" s="13">
        <f ca="1"/>
        <v>99.3040832424916</v>
      </c>
      <c r="F295" s="13">
        <f ca="1"/>
        <v>100.18620114397052</v>
      </c>
      <c r="G295" s="13">
        <f ca="1"/>
        <v>103.58346389919731</v>
      </c>
      <c r="H295" s="13">
        <f ca="1"/>
        <v>102.45104298078839</v>
      </c>
      <c r="I295" s="13">
        <f ca="1"/>
        <v>97.921359307152656</v>
      </c>
      <c r="J295" s="13">
        <f ca="1"/>
        <v>96.78893838874373</v>
      </c>
      <c r="M295" s="13">
        <f ca="1"/>
        <v>0.30150753768844224</v>
      </c>
      <c r="N295" s="13">
        <f ca="1"/>
        <v>99.3040832424916</v>
      </c>
      <c r="O295" s="13">
        <f ca="1"/>
        <v>-0.77896644890515532</v>
      </c>
      <c r="P295" s="13">
        <f ca="1"/>
        <v>3</v>
      </c>
      <c r="Q295" s="13">
        <f ca="1"/>
        <v>2</v>
      </c>
      <c r="R295" s="13">
        <f ca="1"/>
        <v>-2</v>
      </c>
      <c r="S295" s="13">
        <f ca="1"/>
        <v>-3</v>
      </c>
    </row>
    <row r="296" spans="1:19">
      <c r="A296" s="13">
        <f ca="1"/>
        <v>0.4020100502512563</v>
      </c>
      <c r="B296" s="13">
        <f ca="1"/>
        <v>101.23198542828969</v>
      </c>
      <c r="D296" s="13">
        <f ca="1"/>
        <v>0.4020100502512563</v>
      </c>
      <c r="E296" s="13">
        <f ca="1"/>
        <v>101.23198542828969</v>
      </c>
      <c r="F296" s="13">
        <f ca="1"/>
        <v>100.44764721505032</v>
      </c>
      <c r="G296" s="13">
        <f ca="1"/>
        <v>103.92989103362824</v>
      </c>
      <c r="H296" s="13">
        <f ca="1"/>
        <v>102.76914309410226</v>
      </c>
      <c r="I296" s="13">
        <f ca="1"/>
        <v>98.126151335998387</v>
      </c>
      <c r="J296" s="13">
        <f ca="1"/>
        <v>96.965403396472411</v>
      </c>
      <c r="M296" s="13">
        <f ca="1"/>
        <v>0.4020100502512563</v>
      </c>
      <c r="N296" s="13">
        <f ca="1"/>
        <v>101.23198542828969</v>
      </c>
      <c r="O296" s="13">
        <f ca="1"/>
        <v>0.67571794575803956</v>
      </c>
      <c r="P296" s="13">
        <f ca="1"/>
        <v>3</v>
      </c>
      <c r="Q296" s="13">
        <f ca="1"/>
        <v>2</v>
      </c>
      <c r="R296" s="13">
        <f ca="1"/>
        <v>-2</v>
      </c>
      <c r="S296" s="13">
        <f ca="1"/>
        <v>-3</v>
      </c>
    </row>
    <row r="297" spans="1:19">
      <c r="A297" s="13">
        <f ca="1"/>
        <v>0.50251256281407042</v>
      </c>
      <c r="B297" s="13">
        <f ca="1"/>
        <v>101.41128810759064</v>
      </c>
      <c r="D297" s="13">
        <f ca="1"/>
        <v>0.50251256281407042</v>
      </c>
      <c r="E297" s="13">
        <f ca="1"/>
        <v>101.41128810759064</v>
      </c>
      <c r="F297" s="13">
        <f ca="1"/>
        <v>100.6885574381854</v>
      </c>
      <c r="G297" s="13">
        <f ca="1"/>
        <v>104.22044086682573</v>
      </c>
      <c r="H297" s="13">
        <f ca="1"/>
        <v>103.04314639061228</v>
      </c>
      <c r="I297" s="13">
        <f ca="1"/>
        <v>98.333968485758518</v>
      </c>
      <c r="J297" s="13">
        <f ca="1"/>
        <v>97.156674009545071</v>
      </c>
      <c r="M297" s="13">
        <f ca="1"/>
        <v>0.50251256281407042</v>
      </c>
      <c r="N297" s="13">
        <f ca="1"/>
        <v>101.41128810759064</v>
      </c>
      <c r="O297" s="13">
        <f ca="1"/>
        <v>0.61389115808117245</v>
      </c>
      <c r="P297" s="13">
        <f ca="1"/>
        <v>3</v>
      </c>
      <c r="Q297" s="13">
        <f ca="1"/>
        <v>2</v>
      </c>
      <c r="R297" s="13">
        <f ca="1"/>
        <v>-2</v>
      </c>
      <c r="S297" s="13">
        <f ca="1"/>
        <v>-3</v>
      </c>
    </row>
    <row r="298" spans="1:19">
      <c r="A298" s="13">
        <f ca="1"/>
        <v>0.60301507537688448</v>
      </c>
      <c r="B298" s="13">
        <f ca="1"/>
        <v>99.981344446847828</v>
      </c>
      <c r="D298" s="13">
        <f ca="1"/>
        <v>0.60301507537688448</v>
      </c>
      <c r="E298" s="13">
        <f ca="1"/>
        <v>99.981344446847828</v>
      </c>
      <c r="F298" s="13">
        <f ca="1"/>
        <v>100.51175419035101</v>
      </c>
      <c r="G298" s="13">
        <f ca="1"/>
        <v>103.68054916147784</v>
      </c>
      <c r="H298" s="13">
        <f ca="1"/>
        <v>102.62428417110223</v>
      </c>
      <c r="I298" s="13">
        <f ca="1"/>
        <v>98.399224209599794</v>
      </c>
      <c r="J298" s="13">
        <f ca="1"/>
        <v>97.342959219224184</v>
      </c>
      <c r="M298" s="13">
        <f ca="1"/>
        <v>0.60301507537688448</v>
      </c>
      <c r="N298" s="13">
        <f ca="1"/>
        <v>99.981344446847828</v>
      </c>
      <c r="O298" s="13">
        <f ca="1"/>
        <v>-0.50215594413914111</v>
      </c>
      <c r="P298" s="13">
        <f ca="1"/>
        <v>3</v>
      </c>
      <c r="Q298" s="13">
        <f ca="1"/>
        <v>2</v>
      </c>
      <c r="R298" s="13">
        <f ca="1"/>
        <v>-2</v>
      </c>
      <c r="S298" s="13">
        <f ca="1"/>
        <v>-3</v>
      </c>
    </row>
    <row r="299" spans="1:19">
      <c r="A299" s="13">
        <f ca="1"/>
        <v>0.70351758793969854</v>
      </c>
      <c r="B299" s="13">
        <f ca="1"/>
        <v>100.08813348961792</v>
      </c>
      <c r="D299" s="13">
        <f ca="1"/>
        <v>0.70351758793969854</v>
      </c>
      <c r="E299" s="13">
        <f ca="1"/>
        <v>100.08813348961792</v>
      </c>
      <c r="F299" s="13">
        <f ca="1"/>
        <v>100.40584901516775</v>
      </c>
      <c r="G299" s="13">
        <f ca="1"/>
        <v>103.31541468099574</v>
      </c>
      <c r="H299" s="13">
        <f ca="1"/>
        <v>102.34555945905308</v>
      </c>
      <c r="I299" s="13">
        <f ca="1"/>
        <v>98.466138571282414</v>
      </c>
      <c r="J299" s="13">
        <f ca="1"/>
        <v>97.496283349339748</v>
      </c>
      <c r="M299" s="13">
        <f ca="1"/>
        <v>0.70351758793969854</v>
      </c>
      <c r="N299" s="13">
        <f ca="1"/>
        <v>100.08813348961792</v>
      </c>
      <c r="O299" s="13">
        <f ca="1"/>
        <v>-0.3275906737022361</v>
      </c>
      <c r="P299" s="13">
        <f ca="1"/>
        <v>3</v>
      </c>
      <c r="Q299" s="13">
        <f ca="1"/>
        <v>2</v>
      </c>
      <c r="R299" s="13">
        <f ca="1"/>
        <v>-2</v>
      </c>
      <c r="S299" s="13">
        <f ca="1"/>
        <v>-3</v>
      </c>
    </row>
    <row r="300" spans="1:19">
      <c r="A300" s="13">
        <f ca="1"/>
        <v>0.8040201005025126</v>
      </c>
      <c r="B300" s="13">
        <f ca="1"/>
        <v>100.29127220426915</v>
      </c>
      <c r="D300" s="13">
        <f ca="1"/>
        <v>0.8040201005025126</v>
      </c>
      <c r="E300" s="13">
        <f ca="1"/>
        <v>100.29127220426915</v>
      </c>
      <c r="F300" s="13">
        <f ca="1"/>
        <v>100.3772048124431</v>
      </c>
      <c r="G300" s="13">
        <f ca="1"/>
        <v>103.20176344077522</v>
      </c>
      <c r="H300" s="13">
        <f ca="1"/>
        <v>102.26024389799784</v>
      </c>
      <c r="I300" s="13">
        <f ca="1"/>
        <v>98.494165726888355</v>
      </c>
      <c r="J300" s="13">
        <f ca="1"/>
        <v>97.552646184110969</v>
      </c>
      <c r="M300" s="13">
        <f ca="1"/>
        <v>0.8040201005025126</v>
      </c>
      <c r="N300" s="13">
        <f ca="1"/>
        <v>100.29127220426915</v>
      </c>
      <c r="O300" s="13">
        <f ca="1"/>
        <v>-9.1270126927431514E-2</v>
      </c>
      <c r="P300" s="13">
        <f ca="1"/>
        <v>3</v>
      </c>
      <c r="Q300" s="13">
        <f ca="1"/>
        <v>2</v>
      </c>
      <c r="R300" s="13">
        <f ca="1"/>
        <v>-2</v>
      </c>
      <c r="S300" s="13">
        <f ca="1"/>
        <v>-3</v>
      </c>
    </row>
    <row r="301" spans="1:19">
      <c r="A301" s="13">
        <f ca="1"/>
        <v>0.90452261306532666</v>
      </c>
      <c r="B301" s="13">
        <f ca="1"/>
        <v>101.49109439955154</v>
      </c>
      <c r="D301" s="13">
        <f ca="1"/>
        <v>0.90452261306532666</v>
      </c>
      <c r="E301" s="13">
        <f ca="1"/>
        <v>101.49109439955154</v>
      </c>
      <c r="F301" s="13">
        <f ca="1"/>
        <v>100.65567720922022</v>
      </c>
      <c r="G301" s="13">
        <f ca="1"/>
        <v>103.20639142731785</v>
      </c>
      <c r="H301" s="13">
        <f ca="1"/>
        <v>102.35615335461864</v>
      </c>
      <c r="I301" s="13">
        <f ca="1"/>
        <v>98.955201063821789</v>
      </c>
      <c r="J301" s="13">
        <f ca="1"/>
        <v>98.104962991122576</v>
      </c>
      <c r="M301" s="13">
        <f ca="1"/>
        <v>0.90452261306532666</v>
      </c>
      <c r="N301" s="13">
        <f ca="1"/>
        <v>101.49109439955154</v>
      </c>
      <c r="O301" s="13">
        <f ca="1"/>
        <v>0.9825685500993443</v>
      </c>
      <c r="P301" s="13">
        <f ca="1"/>
        <v>3</v>
      </c>
      <c r="Q301" s="13">
        <f ca="1"/>
        <v>2</v>
      </c>
      <c r="R301" s="13">
        <f ca="1"/>
        <v>-2</v>
      </c>
      <c r="S301" s="13">
        <f ca="1"/>
        <v>-3</v>
      </c>
    </row>
    <row r="302" spans="1:19">
      <c r="A302" s="13">
        <f ca="1"/>
        <v>1.0050251256281408</v>
      </c>
      <c r="B302" s="13">
        <f ca="1"/>
        <v>101.8478912571297</v>
      </c>
      <c r="D302" s="13">
        <f ca="1"/>
        <v>1.0050251256281408</v>
      </c>
      <c r="E302" s="13">
        <f ca="1"/>
        <v>101.8478912571297</v>
      </c>
      <c r="F302" s="13">
        <f ca="1"/>
        <v>100.95373072119759</v>
      </c>
      <c r="G302" s="13">
        <f ca="1"/>
        <v>103.24786851714865</v>
      </c>
      <c r="H302" s="13">
        <f ca="1"/>
        <v>102.4831559184983</v>
      </c>
      <c r="I302" s="13">
        <f ca="1"/>
        <v>99.424305523896876</v>
      </c>
      <c r="J302" s="13">
        <f ca="1"/>
        <v>98.659592925246528</v>
      </c>
      <c r="M302" s="13">
        <f ca="1"/>
        <v>1.0050251256281408</v>
      </c>
      <c r="N302" s="13">
        <f ca="1"/>
        <v>101.8478912571297</v>
      </c>
      <c r="O302" s="13">
        <f ca="1"/>
        <v>1.1692765850990612</v>
      </c>
      <c r="P302" s="13">
        <f ca="1"/>
        <v>3</v>
      </c>
      <c r="Q302" s="13">
        <f ca="1"/>
        <v>2</v>
      </c>
      <c r="R302" s="13">
        <f ca="1"/>
        <v>-2</v>
      </c>
      <c r="S302" s="13">
        <f ca="1"/>
        <v>-3</v>
      </c>
    </row>
    <row r="303" spans="1:19">
      <c r="A303" s="13">
        <f ca="1"/>
        <v>1.1055276381909549</v>
      </c>
      <c r="B303" s="13">
        <f ca="1"/>
        <v>102.61225205837468</v>
      </c>
      <c r="D303" s="13">
        <f ca="1"/>
        <v>1.1055276381909549</v>
      </c>
      <c r="E303" s="13">
        <f ca="1"/>
        <v>102.61225205837468</v>
      </c>
      <c r="F303" s="13">
        <f ca="1"/>
        <v>101.36836105549186</v>
      </c>
      <c r="G303" s="13">
        <f ca="1"/>
        <v>104.49494985162123</v>
      </c>
      <c r="H303" s="13">
        <f ca="1"/>
        <v>103.45275358624477</v>
      </c>
      <c r="I303" s="13">
        <f ca="1"/>
        <v>99.283968524738953</v>
      </c>
      <c r="J303" s="13">
        <f ca="1"/>
        <v>98.241772259362492</v>
      </c>
      <c r="M303" s="13">
        <f ca="1"/>
        <v>1.1055276381909549</v>
      </c>
      <c r="N303" s="13">
        <f ca="1"/>
        <v>102.61225205837468</v>
      </c>
      <c r="O303" s="13">
        <f ca="1"/>
        <v>1.1935285552318766</v>
      </c>
      <c r="P303" s="13">
        <f ca="1"/>
        <v>3</v>
      </c>
      <c r="Q303" s="13">
        <f ca="1"/>
        <v>2</v>
      </c>
      <c r="R303" s="13">
        <f ca="1"/>
        <v>-2</v>
      </c>
      <c r="S303" s="13">
        <f ca="1"/>
        <v>-3</v>
      </c>
    </row>
    <row r="304" spans="1:19">
      <c r="A304" s="13">
        <f ca="1"/>
        <v>1.206030150753769</v>
      </c>
      <c r="B304" s="13">
        <f ca="1"/>
        <v>102.91544894662319</v>
      </c>
      <c r="D304" s="13">
        <f ca="1"/>
        <v>1.206030150753769</v>
      </c>
      <c r="E304" s="13">
        <f ca="1"/>
        <v>102.91544894662319</v>
      </c>
      <c r="F304" s="13">
        <f ca="1"/>
        <v>101.7551330282747</v>
      </c>
      <c r="G304" s="13">
        <f ca="1"/>
        <v>105.67190627691022</v>
      </c>
      <c r="H304" s="13">
        <f ca="1"/>
        <v>104.36631519403171</v>
      </c>
      <c r="I304" s="13">
        <f ca="1"/>
        <v>99.143950862517684</v>
      </c>
      <c r="J304" s="13">
        <f ca="1"/>
        <v>97.838359779639177</v>
      </c>
      <c r="M304" s="13">
        <f ca="1"/>
        <v>1.206030150753769</v>
      </c>
      <c r="N304" s="13">
        <f ca="1"/>
        <v>102.91544894662319</v>
      </c>
      <c r="O304" s="13">
        <f ca="1"/>
        <v>0.88872843386022271</v>
      </c>
      <c r="P304" s="13">
        <f ca="1"/>
        <v>3</v>
      </c>
      <c r="Q304" s="13">
        <f ca="1"/>
        <v>2</v>
      </c>
      <c r="R304" s="13">
        <f ca="1"/>
        <v>-2</v>
      </c>
      <c r="S304" s="13">
        <f ca="1"/>
        <v>-3</v>
      </c>
    </row>
    <row r="305" spans="1:19">
      <c r="A305" s="13">
        <f ca="1"/>
        <v>1.306532663316583</v>
      </c>
      <c r="B305" s="13">
        <f ca="1"/>
        <v>101.19292801440309</v>
      </c>
      <c r="D305" s="13">
        <f ca="1"/>
        <v>1.306532663316583</v>
      </c>
      <c r="E305" s="13">
        <f ca="1"/>
        <v>101.19292801440309</v>
      </c>
      <c r="F305" s="13">
        <f ca="1"/>
        <v>101.61458177480679</v>
      </c>
      <c r="G305" s="13">
        <f ca="1"/>
        <v>104.85871532330053</v>
      </c>
      <c r="H305" s="13">
        <f ca="1"/>
        <v>103.77733747380262</v>
      </c>
      <c r="I305" s="13">
        <f ca="1"/>
        <v>99.45182607581097</v>
      </c>
      <c r="J305" s="13">
        <f ca="1"/>
        <v>98.370448226313059</v>
      </c>
      <c r="M305" s="13">
        <f ca="1"/>
        <v>1.306532663316583</v>
      </c>
      <c r="N305" s="13">
        <f ca="1"/>
        <v>101.19292801440309</v>
      </c>
      <c r="O305" s="13">
        <f ca="1"/>
        <v>-0.38992269038937227</v>
      </c>
      <c r="P305" s="13">
        <f ca="1"/>
        <v>3</v>
      </c>
      <c r="Q305" s="13">
        <f ca="1"/>
        <v>2</v>
      </c>
      <c r="R305" s="13">
        <f ca="1"/>
        <v>-2</v>
      </c>
      <c r="S305" s="13">
        <f ca="1"/>
        <v>-3</v>
      </c>
    </row>
    <row r="306" spans="1:19">
      <c r="A306" s="13">
        <f ca="1"/>
        <v>1.4070351758793971</v>
      </c>
      <c r="B306" s="13">
        <f ca="1"/>
        <v>101.18877151398694</v>
      </c>
      <c r="D306" s="13">
        <f ca="1"/>
        <v>1.4070351758793971</v>
      </c>
      <c r="E306" s="13">
        <f ca="1"/>
        <v>101.18877151398694</v>
      </c>
      <c r="F306" s="13">
        <f ca="1"/>
        <v>101.50812920960183</v>
      </c>
      <c r="G306" s="13">
        <f ca="1"/>
        <v>104.24604264241421</v>
      </c>
      <c r="H306" s="13">
        <f ca="1"/>
        <v>103.33340483147676</v>
      </c>
      <c r="I306" s="13">
        <f ca="1"/>
        <v>99.68285358772691</v>
      </c>
      <c r="J306" s="13">
        <f ca="1"/>
        <v>98.770215776789456</v>
      </c>
      <c r="M306" s="13">
        <f ca="1"/>
        <v>1.4070351758793971</v>
      </c>
      <c r="N306" s="13">
        <f ca="1"/>
        <v>101.18877151398694</v>
      </c>
      <c r="O306" s="13">
        <f ca="1"/>
        <v>-0.34992818814602283</v>
      </c>
      <c r="P306" s="13">
        <f ca="1"/>
        <v>3</v>
      </c>
      <c r="Q306" s="13">
        <f ca="1"/>
        <v>2</v>
      </c>
      <c r="R306" s="13">
        <f ca="1"/>
        <v>-2</v>
      </c>
      <c r="S306" s="13">
        <f ca="1"/>
        <v>-3</v>
      </c>
    </row>
    <row r="307" spans="1:19">
      <c r="A307" s="13">
        <f ca="1"/>
        <v>1.5075376884422111</v>
      </c>
      <c r="B307" s="13">
        <f ca="1"/>
        <v>102.51172520860352</v>
      </c>
      <c r="D307" s="13">
        <f ca="1"/>
        <v>1.5075376884422111</v>
      </c>
      <c r="E307" s="13">
        <f ca="1"/>
        <v>102.51172520860352</v>
      </c>
      <c r="F307" s="13">
        <f ca="1"/>
        <v>101.75902820935225</v>
      </c>
      <c r="G307" s="13">
        <f ca="1"/>
        <v>104.00308700799295</v>
      </c>
      <c r="H307" s="13">
        <f ca="1"/>
        <v>103.25506740844605</v>
      </c>
      <c r="I307" s="13">
        <f ca="1"/>
        <v>100.26298901025845</v>
      </c>
      <c r="J307" s="13">
        <f ca="1"/>
        <v>99.514969410711558</v>
      </c>
      <c r="M307" s="13">
        <f ca="1"/>
        <v>1.5075376884422111</v>
      </c>
      <c r="N307" s="13">
        <f ca="1"/>
        <v>102.51172520860352</v>
      </c>
      <c r="O307" s="13">
        <f ca="1"/>
        <v>1.006253044314886</v>
      </c>
      <c r="P307" s="13">
        <f ca="1"/>
        <v>3</v>
      </c>
      <c r="Q307" s="13">
        <f ca="1"/>
        <v>2</v>
      </c>
      <c r="R307" s="13">
        <f ca="1"/>
        <v>-2</v>
      </c>
      <c r="S307" s="13">
        <f ca="1"/>
        <v>-3</v>
      </c>
    </row>
    <row r="308" spans="1:19">
      <c r="A308" s="13">
        <f ca="1"/>
        <v>1.6080402010050252</v>
      </c>
      <c r="B308" s="13">
        <f ca="1"/>
        <v>101.46170120121275</v>
      </c>
      <c r="D308" s="13">
        <f ca="1"/>
        <v>1.6080402010050252</v>
      </c>
      <c r="E308" s="13">
        <f ca="1"/>
        <v>101.46170120121275</v>
      </c>
      <c r="F308" s="13">
        <f ca="1"/>
        <v>101.68469645731737</v>
      </c>
      <c r="G308" s="13">
        <f ca="1"/>
        <v>104.01597019164173</v>
      </c>
      <c r="H308" s="13">
        <f ca="1"/>
        <v>103.23887894686695</v>
      </c>
      <c r="I308" s="13">
        <f ca="1"/>
        <v>100.1305139677678</v>
      </c>
      <c r="J308" s="13">
        <f ca="1"/>
        <v>99.353422722993017</v>
      </c>
      <c r="M308" s="13">
        <f ca="1"/>
        <v>1.6080402010050252</v>
      </c>
      <c r="N308" s="13">
        <f ca="1"/>
        <v>101.46170120121275</v>
      </c>
      <c r="O308" s="13">
        <f ca="1"/>
        <v>-0.28696148310003489</v>
      </c>
      <c r="P308" s="13">
        <f ca="1"/>
        <v>3</v>
      </c>
      <c r="Q308" s="13">
        <f ca="1"/>
        <v>2</v>
      </c>
      <c r="R308" s="13">
        <f ca="1"/>
        <v>-2</v>
      </c>
      <c r="S308" s="13">
        <f ca="1"/>
        <v>-3</v>
      </c>
    </row>
    <row r="309" spans="1:19">
      <c r="A309" s="13">
        <f ca="1"/>
        <v>1.7085427135678393</v>
      </c>
      <c r="B309" s="13">
        <f ca="1"/>
        <v>100.98617324159139</v>
      </c>
      <c r="D309" s="13">
        <f ca="1"/>
        <v>1.7085427135678393</v>
      </c>
      <c r="E309" s="13">
        <f ca="1"/>
        <v>100.98617324159139</v>
      </c>
      <c r="F309" s="13">
        <f ca="1"/>
        <v>101.51006565338588</v>
      </c>
      <c r="G309" s="13">
        <f ca="1"/>
        <v>104.15785176321037</v>
      </c>
      <c r="H309" s="13">
        <f ca="1"/>
        <v>103.27525639326888</v>
      </c>
      <c r="I309" s="13">
        <f ca="1"/>
        <v>99.744874913502883</v>
      </c>
      <c r="J309" s="13">
        <f ca="1"/>
        <v>98.862279543561385</v>
      </c>
      <c r="M309" s="13">
        <f ca="1"/>
        <v>1.7085427135678393</v>
      </c>
      <c r="N309" s="13">
        <f ca="1"/>
        <v>100.98617324159139</v>
      </c>
      <c r="O309" s="13">
        <f ca="1"/>
        <v>-0.59358164526652524</v>
      </c>
      <c r="P309" s="13">
        <f ca="1"/>
        <v>3</v>
      </c>
      <c r="Q309" s="13">
        <f ca="1"/>
        <v>2</v>
      </c>
      <c r="R309" s="13">
        <f ca="1"/>
        <v>-2</v>
      </c>
      <c r="S309" s="13">
        <f ca="1"/>
        <v>-3</v>
      </c>
    </row>
    <row r="310" spans="1:19">
      <c r="A310" s="13">
        <f ca="1"/>
        <v>1.8090452261306533</v>
      </c>
      <c r="B310" s="13">
        <f ca="1"/>
        <v>102.38436059145359</v>
      </c>
      <c r="D310" s="13">
        <f ca="1"/>
        <v>1.8090452261306533</v>
      </c>
      <c r="E310" s="13">
        <f ca="1"/>
        <v>102.38436059145359</v>
      </c>
      <c r="F310" s="13">
        <f ca="1"/>
        <v>101.7286393879028</v>
      </c>
      <c r="G310" s="13">
        <f ca="1"/>
        <v>104.06936574919131</v>
      </c>
      <c r="H310" s="13">
        <f ca="1"/>
        <v>103.28912362876181</v>
      </c>
      <c r="I310" s="13">
        <f ca="1"/>
        <v>100.16815514704379</v>
      </c>
      <c r="J310" s="13">
        <f ca="1"/>
        <v>99.387913026614299</v>
      </c>
      <c r="M310" s="13">
        <f ca="1"/>
        <v>1.8090452261306533</v>
      </c>
      <c r="N310" s="13">
        <f ca="1"/>
        <v>102.38436059145359</v>
      </c>
      <c r="O310" s="13">
        <f ca="1"/>
        <v>0.84040733816039792</v>
      </c>
      <c r="P310" s="13">
        <f ca="1"/>
        <v>3</v>
      </c>
      <c r="Q310" s="13">
        <f ca="1"/>
        <v>2</v>
      </c>
      <c r="R310" s="13">
        <f ca="1"/>
        <v>-2</v>
      </c>
      <c r="S310" s="13">
        <f ca="1"/>
        <v>-3</v>
      </c>
    </row>
    <row r="311" spans="1:19">
      <c r="A311" s="13">
        <f ca="1"/>
        <v>1.9095477386934674</v>
      </c>
      <c r="B311" s="13">
        <f ca="1"/>
        <v>100.56342821290229</v>
      </c>
      <c r="D311" s="13">
        <f ca="1"/>
        <v>1.9095477386934674</v>
      </c>
      <c r="E311" s="13">
        <f ca="1"/>
        <v>100.56342821290229</v>
      </c>
      <c r="F311" s="13">
        <f ca="1"/>
        <v>101.43733659415267</v>
      </c>
      <c r="G311" s="13">
        <f ca="1"/>
        <v>103.60777780373988</v>
      </c>
      <c r="H311" s="13">
        <f ca="1"/>
        <v>102.88429740054414</v>
      </c>
      <c r="I311" s="13">
        <f ca="1"/>
        <v>99.990375787761195</v>
      </c>
      <c r="J311" s="13">
        <f ca="1"/>
        <v>99.266895384565458</v>
      </c>
      <c r="M311" s="13">
        <f ca="1"/>
        <v>1.9095477386934674</v>
      </c>
      <c r="N311" s="13">
        <f ca="1"/>
        <v>100.56342821290229</v>
      </c>
      <c r="O311" s="13">
        <f ca="1"/>
        <v>-1.2079226712847628</v>
      </c>
      <c r="P311" s="13">
        <f ca="1"/>
        <v>3</v>
      </c>
      <c r="Q311" s="13">
        <f ca="1"/>
        <v>2</v>
      </c>
      <c r="R311" s="13">
        <f ca="1"/>
        <v>-2</v>
      </c>
      <c r="S311" s="13">
        <f ca="1"/>
        <v>-3</v>
      </c>
    </row>
    <row r="312" spans="1:19">
      <c r="A312" s="13">
        <f ca="1"/>
        <v>2.0100502512562817</v>
      </c>
      <c r="B312" s="13">
        <f ca="1"/>
        <v>102.10112252349826</v>
      </c>
      <c r="D312" s="13">
        <f ca="1"/>
        <v>2.0100502512562817</v>
      </c>
      <c r="E312" s="13">
        <f ca="1"/>
        <v>102.10112252349826</v>
      </c>
      <c r="F312" s="13">
        <f ca="1"/>
        <v>101.60328307648906</v>
      </c>
      <c r="G312" s="13">
        <f ca="1"/>
        <v>103.84064131399467</v>
      </c>
      <c r="H312" s="13">
        <f ca="1"/>
        <v>103.09485523482613</v>
      </c>
      <c r="I312" s="13">
        <f ca="1"/>
        <v>100.111710918152</v>
      </c>
      <c r="J312" s="13">
        <f ca="1"/>
        <v>99.36592483898346</v>
      </c>
      <c r="M312" s="13">
        <f ca="1"/>
        <v>2.0100502512562817</v>
      </c>
      <c r="N312" s="13">
        <f ca="1"/>
        <v>102.10112252349826</v>
      </c>
      <c r="O312" s="13">
        <f ca="1"/>
        <v>0.66753652409848196</v>
      </c>
      <c r="P312" s="13">
        <f ca="1"/>
        <v>3</v>
      </c>
      <c r="Q312" s="13">
        <f ca="1"/>
        <v>2</v>
      </c>
      <c r="R312" s="13">
        <f ca="1"/>
        <v>-2</v>
      </c>
      <c r="S312" s="13">
        <f ca="1"/>
        <v>-3</v>
      </c>
    </row>
    <row r="313" spans="1:19">
      <c r="A313" s="13">
        <f ca="1"/>
        <v>2.1105527638190957</v>
      </c>
      <c r="B313" s="13">
        <f ca="1"/>
        <v>103.26776841798022</v>
      </c>
      <c r="D313" s="13">
        <f ca="1"/>
        <v>2.1105527638190957</v>
      </c>
      <c r="E313" s="13">
        <f ca="1"/>
        <v>103.26776841798022</v>
      </c>
      <c r="F313" s="13">
        <f ca="1"/>
        <v>102.01940441186186</v>
      </c>
      <c r="G313" s="13">
        <f ca="1"/>
        <v>104.87574723156804</v>
      </c>
      <c r="H313" s="13">
        <f ca="1"/>
        <v>103.92363295833265</v>
      </c>
      <c r="I313" s="13">
        <f ca="1"/>
        <v>100.11517586539107</v>
      </c>
      <c r="J313" s="13">
        <f ca="1"/>
        <v>99.163061592155671</v>
      </c>
      <c r="M313" s="13">
        <f ca="1"/>
        <v>2.1105527638190957</v>
      </c>
      <c r="N313" s="13">
        <f ca="1"/>
        <v>103.26776841798022</v>
      </c>
      <c r="O313" s="13">
        <f ca="1"/>
        <v>1.3111493454207743</v>
      </c>
      <c r="P313" s="13">
        <f ca="1"/>
        <v>3</v>
      </c>
      <c r="Q313" s="13">
        <f ca="1"/>
        <v>2</v>
      </c>
      <c r="R313" s="13">
        <f ca="1"/>
        <v>-2</v>
      </c>
      <c r="S313" s="13">
        <f ca="1"/>
        <v>-3</v>
      </c>
    </row>
    <row r="314" spans="1:19">
      <c r="A314" s="13">
        <f ca="1"/>
        <v>2.2110552763819098</v>
      </c>
      <c r="B314" s="13">
        <f ca="1"/>
        <v>102.10439124871772</v>
      </c>
      <c r="D314" s="13">
        <f ca="1"/>
        <v>2.2110552763819098</v>
      </c>
      <c r="E314" s="13">
        <f ca="1"/>
        <v>102.10439124871772</v>
      </c>
      <c r="F314" s="13">
        <f ca="1"/>
        <v>102.04065112107583</v>
      </c>
      <c r="G314" s="13">
        <f ca="1"/>
        <v>104.8498236282128</v>
      </c>
      <c r="H314" s="13">
        <f ca="1"/>
        <v>103.91343279250047</v>
      </c>
      <c r="I314" s="13">
        <f ca="1"/>
        <v>100.16786944965118</v>
      </c>
      <c r="J314" s="13">
        <f ca="1"/>
        <v>99.231478613938847</v>
      </c>
      <c r="M314" s="13">
        <f ca="1"/>
        <v>2.2110552763819098</v>
      </c>
      <c r="N314" s="13">
        <f ca="1"/>
        <v>102.10439124871772</v>
      </c>
      <c r="O314" s="13">
        <f ca="1"/>
        <v>6.8070003689650244E-2</v>
      </c>
      <c r="P314" s="13">
        <f ca="1"/>
        <v>3</v>
      </c>
      <c r="Q314" s="13">
        <f ca="1"/>
        <v>2</v>
      </c>
      <c r="R314" s="13">
        <f ca="1"/>
        <v>-2</v>
      </c>
      <c r="S314" s="13">
        <f ca="1"/>
        <v>-3</v>
      </c>
    </row>
    <row r="315" spans="1:19">
      <c r="A315" s="13">
        <f ca="1"/>
        <v>2.3115577889447239</v>
      </c>
      <c r="B315" s="13">
        <f ca="1"/>
        <v>102.93906186649721</v>
      </c>
      <c r="D315" s="13">
        <f ca="1"/>
        <v>2.3115577889447239</v>
      </c>
      <c r="E315" s="13">
        <f ca="1"/>
        <v>102.93906186649721</v>
      </c>
      <c r="F315" s="13">
        <f ca="1"/>
        <v>102.26525380743118</v>
      </c>
      <c r="G315" s="13">
        <f ca="1"/>
        <v>105.27979669817533</v>
      </c>
      <c r="H315" s="13">
        <f ca="1"/>
        <v>104.27494906792728</v>
      </c>
      <c r="I315" s="13">
        <f ca="1"/>
        <v>100.25555854693508</v>
      </c>
      <c r="J315" s="13">
        <f ca="1"/>
        <v>99.250710916687026</v>
      </c>
      <c r="M315" s="13">
        <f ca="1"/>
        <v>2.3115577889447239</v>
      </c>
      <c r="N315" s="13">
        <f ca="1"/>
        <v>102.93906186649721</v>
      </c>
      <c r="O315" s="13">
        <f ca="1"/>
        <v>0.67055744451494725</v>
      </c>
      <c r="P315" s="13">
        <f ca="1"/>
        <v>3</v>
      </c>
      <c r="Q315" s="13">
        <f ca="1"/>
        <v>2</v>
      </c>
      <c r="R315" s="13">
        <f ca="1"/>
        <v>-2</v>
      </c>
      <c r="S315" s="13">
        <f ca="1"/>
        <v>-3</v>
      </c>
    </row>
    <row r="316" spans="1:19">
      <c r="A316" s="13">
        <f ca="1"/>
        <v>2.4120603015075379</v>
      </c>
      <c r="B316" s="13">
        <f ca="1"/>
        <v>101.83302318850863</v>
      </c>
      <c r="D316" s="13">
        <f ca="1"/>
        <v>2.4120603015075379</v>
      </c>
      <c r="E316" s="13">
        <f ca="1"/>
        <v>101.83302318850863</v>
      </c>
      <c r="F316" s="13">
        <f ca="1"/>
        <v>102.15719615270055</v>
      </c>
      <c r="G316" s="13">
        <f ca="1"/>
        <v>104.76892127208184</v>
      </c>
      <c r="H316" s="13">
        <f ca="1"/>
        <v>103.89834623228808</v>
      </c>
      <c r="I316" s="13">
        <f ca="1"/>
        <v>100.41604607311302</v>
      </c>
      <c r="J316" s="13">
        <f ca="1"/>
        <v>99.545471033319259</v>
      </c>
      <c r="M316" s="13">
        <f ca="1"/>
        <v>2.4120603015075379</v>
      </c>
      <c r="N316" s="13">
        <f ca="1"/>
        <v>101.83302318850863</v>
      </c>
      <c r="O316" s="13">
        <f ca="1"/>
        <v>-0.37236648120386318</v>
      </c>
      <c r="P316" s="13">
        <f ca="1"/>
        <v>3</v>
      </c>
      <c r="Q316" s="13">
        <f ca="1"/>
        <v>2</v>
      </c>
      <c r="R316" s="13">
        <f ca="1"/>
        <v>-2</v>
      </c>
      <c r="S316" s="13">
        <f ca="1"/>
        <v>-3</v>
      </c>
    </row>
    <row r="317" spans="1:19">
      <c r="A317" s="13">
        <f ca="1"/>
        <v>2.512562814070352</v>
      </c>
      <c r="B317" s="13">
        <f ca="1"/>
        <v>103.78623961981395</v>
      </c>
      <c r="D317" s="13">
        <f ca="1"/>
        <v>2.512562814070352</v>
      </c>
      <c r="E317" s="13">
        <f ca="1"/>
        <v>103.78623961981395</v>
      </c>
      <c r="F317" s="13">
        <f ca="1"/>
        <v>102.56445701947891</v>
      </c>
      <c r="G317" s="13">
        <f ca="1"/>
        <v>105.82632294397257</v>
      </c>
      <c r="H317" s="13">
        <f ca="1"/>
        <v>104.73903430247469</v>
      </c>
      <c r="I317" s="13">
        <f ca="1"/>
        <v>100.38987973648312</v>
      </c>
      <c r="J317" s="13">
        <f ca="1"/>
        <v>99.302591094985246</v>
      </c>
      <c r="M317" s="13">
        <f ca="1"/>
        <v>2.512562814070352</v>
      </c>
      <c r="N317" s="13">
        <f ca="1"/>
        <v>103.78623961981395</v>
      </c>
      <c r="O317" s="13">
        <f ca="1"/>
        <v>1.1236966465977918</v>
      </c>
      <c r="P317" s="13">
        <f ca="1"/>
        <v>3</v>
      </c>
      <c r="Q317" s="13">
        <f ca="1"/>
        <v>2</v>
      </c>
      <c r="R317" s="13">
        <f ca="1"/>
        <v>-2</v>
      </c>
      <c r="S317" s="13">
        <f ca="1"/>
        <v>-3</v>
      </c>
    </row>
    <row r="318" spans="1:19">
      <c r="A318" s="13">
        <f ca="1"/>
        <v>2.613065326633166</v>
      </c>
      <c r="B318" s="13">
        <f ca="1"/>
        <v>101.02018921887273</v>
      </c>
      <c r="D318" s="13">
        <f ca="1"/>
        <v>2.613065326633166</v>
      </c>
      <c r="E318" s="13">
        <f ca="1"/>
        <v>101.02018921887273</v>
      </c>
      <c r="F318" s="13">
        <f ca="1"/>
        <v>102.17839006932735</v>
      </c>
      <c r="G318" s="13">
        <f ca="1"/>
        <v>105.13373282558429</v>
      </c>
      <c r="H318" s="13">
        <f ca="1"/>
        <v>104.14861857349864</v>
      </c>
      <c r="I318" s="13">
        <f ca="1"/>
        <v>100.20816156515606</v>
      </c>
      <c r="J318" s="13">
        <f ca="1"/>
        <v>99.22304731307041</v>
      </c>
      <c r="M318" s="13">
        <f ca="1"/>
        <v>2.613065326633166</v>
      </c>
      <c r="N318" s="13">
        <f ca="1"/>
        <v>101.02018921887273</v>
      </c>
      <c r="O318" s="13">
        <f ca="1"/>
        <v>-1.1757020548657373</v>
      </c>
      <c r="P318" s="13">
        <f ca="1"/>
        <v>3</v>
      </c>
      <c r="Q318" s="13">
        <f ca="1"/>
        <v>2</v>
      </c>
      <c r="R318" s="13">
        <f ca="1"/>
        <v>-2</v>
      </c>
      <c r="S318" s="13">
        <f ca="1"/>
        <v>-3</v>
      </c>
    </row>
    <row r="319" spans="1:19">
      <c r="A319" s="13">
        <f ca="1"/>
        <v>2.7135678391959801</v>
      </c>
      <c r="B319" s="13">
        <f ca="1"/>
        <v>101.34902127533248</v>
      </c>
      <c r="D319" s="13">
        <f ca="1"/>
        <v>2.7135678391959801</v>
      </c>
      <c r="E319" s="13">
        <f ca="1"/>
        <v>101.34902127533248</v>
      </c>
      <c r="F319" s="13">
        <f ca="1"/>
        <v>101.97104787082863</v>
      </c>
      <c r="G319" s="13">
        <f ca="1"/>
        <v>105.2668035253774</v>
      </c>
      <c r="H319" s="13">
        <f ca="1"/>
        <v>104.16821830719448</v>
      </c>
      <c r="I319" s="13">
        <f ca="1"/>
        <v>99.773877434462776</v>
      </c>
      <c r="J319" s="13">
        <f ca="1"/>
        <v>98.675292216279857</v>
      </c>
      <c r="M319" s="13">
        <f ca="1"/>
        <v>2.7135678391959801</v>
      </c>
      <c r="N319" s="13">
        <f ca="1"/>
        <v>101.34902127533248</v>
      </c>
      <c r="O319" s="13">
        <f ca="1"/>
        <v>-0.56620695891484263</v>
      </c>
      <c r="P319" s="13">
        <f ca="1"/>
        <v>3</v>
      </c>
      <c r="Q319" s="13">
        <f ca="1"/>
        <v>2</v>
      </c>
      <c r="R319" s="13">
        <f ca="1"/>
        <v>-2</v>
      </c>
      <c r="S319" s="13">
        <f ca="1"/>
        <v>-3</v>
      </c>
    </row>
    <row r="320" spans="1:19">
      <c r="A320" s="13">
        <f ca="1"/>
        <v>2.8140703517587942</v>
      </c>
      <c r="B320" s="13">
        <f ca="1"/>
        <v>102.76527936826061</v>
      </c>
      <c r="D320" s="13">
        <f ca="1"/>
        <v>2.8140703517587942</v>
      </c>
      <c r="E320" s="13">
        <f ca="1"/>
        <v>102.76527936826061</v>
      </c>
      <c r="F320" s="13">
        <f ca="1"/>
        <v>102.16960574518663</v>
      </c>
      <c r="G320" s="13">
        <f ca="1"/>
        <v>105.08656979456568</v>
      </c>
      <c r="H320" s="13">
        <f ca="1"/>
        <v>104.11424844477267</v>
      </c>
      <c r="I320" s="13">
        <f ca="1"/>
        <v>100.22496304560059</v>
      </c>
      <c r="J320" s="13">
        <f ca="1"/>
        <v>99.252641695807583</v>
      </c>
      <c r="M320" s="13">
        <f ca="1"/>
        <v>2.8140703517587942</v>
      </c>
      <c r="N320" s="13">
        <f ca="1"/>
        <v>102.76527936826061</v>
      </c>
      <c r="O320" s="13">
        <f ca="1"/>
        <v>0.61263040578177352</v>
      </c>
      <c r="P320" s="13">
        <f ca="1"/>
        <v>3</v>
      </c>
      <c r="Q320" s="13">
        <f ca="1"/>
        <v>2</v>
      </c>
      <c r="R320" s="13">
        <f ca="1"/>
        <v>-2</v>
      </c>
      <c r="S320" s="13">
        <f ca="1"/>
        <v>-3</v>
      </c>
    </row>
    <row r="321" spans="1:19">
      <c r="A321" s="13">
        <f ca="1"/>
        <v>2.9145728643216082</v>
      </c>
      <c r="B321" s="13">
        <f ca="1"/>
        <v>99.271883910919072</v>
      </c>
      <c r="D321" s="13">
        <f ca="1"/>
        <v>2.9145728643216082</v>
      </c>
      <c r="E321" s="13">
        <f ca="1"/>
        <v>99.271883910919072</v>
      </c>
      <c r="F321" s="13">
        <f ca="1"/>
        <v>101.44517528661974</v>
      </c>
      <c r="G321" s="13">
        <f ca="1"/>
        <v>106.11182841210761</v>
      </c>
      <c r="H321" s="13">
        <f ca="1"/>
        <v>104.55627737027832</v>
      </c>
      <c r="I321" s="13">
        <f ca="1"/>
        <v>98.334073202961164</v>
      </c>
      <c r="J321" s="13">
        <f ca="1"/>
        <v>96.778522161131875</v>
      </c>
      <c r="M321" s="13">
        <f ca="1"/>
        <v>2.9145728643216082</v>
      </c>
      <c r="N321" s="13">
        <f ca="1"/>
        <v>99.271883910919072</v>
      </c>
      <c r="O321" s="13">
        <f ca="1"/>
        <v>-1.3971199383756205</v>
      </c>
      <c r="P321" s="13">
        <f ca="1"/>
        <v>3</v>
      </c>
      <c r="Q321" s="13">
        <f ca="1"/>
        <v>2</v>
      </c>
      <c r="R321" s="13">
        <f ca="1"/>
        <v>-2</v>
      </c>
      <c r="S321" s="13">
        <f ca="1"/>
        <v>-3</v>
      </c>
    </row>
    <row r="322" spans="1:19">
      <c r="A322" s="13">
        <f ca="1"/>
        <v>3.0150753768844223</v>
      </c>
      <c r="B322" s="13">
        <f ca="1"/>
        <v>102.21334949251076</v>
      </c>
      <c r="D322" s="13">
        <f ca="1"/>
        <v>3.0150753768844223</v>
      </c>
      <c r="E322" s="13">
        <f ca="1"/>
        <v>102.21334949251076</v>
      </c>
      <c r="F322" s="13">
        <f ca="1"/>
        <v>101.63721883809249</v>
      </c>
      <c r="G322" s="13">
        <f ca="1"/>
        <v>105.93599822155903</v>
      </c>
      <c r="H322" s="13">
        <f ca="1"/>
        <v>104.50307176040351</v>
      </c>
      <c r="I322" s="13">
        <f ca="1"/>
        <v>98.771365915781473</v>
      </c>
      <c r="J322" s="13">
        <f ca="1"/>
        <v>97.338439454625956</v>
      </c>
      <c r="M322" s="13">
        <f ca="1"/>
        <v>3.0150753768844223</v>
      </c>
      <c r="N322" s="13">
        <f ca="1"/>
        <v>102.21334949251076</v>
      </c>
      <c r="O322" s="13">
        <f ca="1"/>
        <v>0.40206575147874096</v>
      </c>
      <c r="P322" s="13">
        <f ca="1"/>
        <v>3</v>
      </c>
      <c r="Q322" s="13">
        <f ca="1"/>
        <v>2</v>
      </c>
      <c r="R322" s="13">
        <f ca="1"/>
        <v>-2</v>
      </c>
      <c r="S322" s="13">
        <f ca="1"/>
        <v>-3</v>
      </c>
    </row>
    <row r="323" spans="1:19">
      <c r="A323" s="13">
        <f ca="1"/>
        <v>3.1155778894472363</v>
      </c>
      <c r="B323" s="13">
        <f ca="1"/>
        <v>100.63463002749609</v>
      </c>
      <c r="D323" s="13">
        <f ca="1"/>
        <v>3.1155778894472363</v>
      </c>
      <c r="E323" s="13">
        <f ca="1"/>
        <v>100.63463002749609</v>
      </c>
      <c r="F323" s="13">
        <f ca="1"/>
        <v>101.38657163544339</v>
      </c>
      <c r="G323" s="13">
        <f ca="1"/>
        <v>105.88919912360174</v>
      </c>
      <c r="H323" s="13">
        <f ca="1"/>
        <v>104.38832329421562</v>
      </c>
      <c r="I323" s="13">
        <f ca="1"/>
        <v>98.384819976671153</v>
      </c>
      <c r="J323" s="13">
        <f ca="1"/>
        <v>96.883944147285035</v>
      </c>
      <c r="M323" s="13">
        <f ca="1"/>
        <v>3.1155778894472363</v>
      </c>
      <c r="N323" s="13">
        <f ca="1"/>
        <v>100.63463002749609</v>
      </c>
      <c r="O323" s="13">
        <f ca="1"/>
        <v>-0.50100187718717371</v>
      </c>
      <c r="P323" s="13">
        <f ca="1"/>
        <v>3</v>
      </c>
      <c r="Q323" s="13">
        <f ca="1"/>
        <v>2</v>
      </c>
      <c r="R323" s="13">
        <f ca="1"/>
        <v>-2</v>
      </c>
      <c r="S323" s="13">
        <f ca="1"/>
        <v>-3</v>
      </c>
    </row>
    <row r="324" spans="1:19">
      <c r="A324" s="13">
        <f ca="1"/>
        <v>3.2160804020100504</v>
      </c>
      <c r="B324" s="13">
        <f ca="1"/>
        <v>102.95348352059906</v>
      </c>
      <c r="D324" s="13">
        <f ca="1"/>
        <v>3.2160804020100504</v>
      </c>
      <c r="E324" s="13">
        <f ca="1"/>
        <v>102.95348352059906</v>
      </c>
      <c r="F324" s="13">
        <f ca="1"/>
        <v>101.7782996067323</v>
      </c>
      <c r="G324" s="13">
        <f ca="1"/>
        <v>105.82061930157451</v>
      </c>
      <c r="H324" s="13">
        <f ca="1"/>
        <v>104.47317940329377</v>
      </c>
      <c r="I324" s="13">
        <f ca="1"/>
        <v>99.083419810170838</v>
      </c>
      <c r="J324" s="13">
        <f ca="1"/>
        <v>97.735979911890098</v>
      </c>
      <c r="M324" s="13">
        <f ca="1"/>
        <v>3.2160804020100504</v>
      </c>
      <c r="N324" s="13">
        <f ca="1"/>
        <v>102.95348352059906</v>
      </c>
      <c r="O324" s="13">
        <f ca="1"/>
        <v>0.87216054338767546</v>
      </c>
      <c r="P324" s="13">
        <f ca="1"/>
        <v>3</v>
      </c>
      <c r="Q324" s="13">
        <f ca="1"/>
        <v>2</v>
      </c>
      <c r="R324" s="13">
        <f ca="1"/>
        <v>-2</v>
      </c>
      <c r="S324" s="13">
        <f ca="1"/>
        <v>-3</v>
      </c>
    </row>
    <row r="325" spans="1:19">
      <c r="A325" s="13">
        <f ca="1"/>
        <v>3.3165829145728645</v>
      </c>
      <c r="B325" s="13">
        <f ca="1"/>
        <v>100.73290576304878</v>
      </c>
      <c r="D325" s="13">
        <f ca="1"/>
        <v>3.3165829145728645</v>
      </c>
      <c r="E325" s="13">
        <f ca="1"/>
        <v>100.73290576304878</v>
      </c>
      <c r="F325" s="13">
        <f ca="1"/>
        <v>101.51695114581143</v>
      </c>
      <c r="G325" s="13">
        <f ca="1"/>
        <v>105.49853330383065</v>
      </c>
      <c r="H325" s="13">
        <f ca="1"/>
        <v>104.17133925115758</v>
      </c>
      <c r="I325" s="13">
        <f ca="1"/>
        <v>98.86256304046529</v>
      </c>
      <c r="J325" s="13">
        <f ca="1"/>
        <v>97.535368987792211</v>
      </c>
      <c r="M325" s="13">
        <f ca="1"/>
        <v>3.3165829145728645</v>
      </c>
      <c r="N325" s="13">
        <f ca="1"/>
        <v>100.73290576304878</v>
      </c>
      <c r="O325" s="13">
        <f ca="1"/>
        <v>-0.59075414117741665</v>
      </c>
      <c r="P325" s="13">
        <f ca="1"/>
        <v>3</v>
      </c>
      <c r="Q325" s="13">
        <f ca="1"/>
        <v>2</v>
      </c>
      <c r="R325" s="13">
        <f ca="1"/>
        <v>-2</v>
      </c>
      <c r="S325" s="13">
        <f ca="1"/>
        <v>-3</v>
      </c>
    </row>
    <row r="326" spans="1:19">
      <c r="A326" s="13">
        <f ca="1"/>
        <v>3.4170854271356785</v>
      </c>
      <c r="B326" s="13">
        <f ca="1"/>
        <v>101.96249027617345</v>
      </c>
      <c r="D326" s="13">
        <f ca="1"/>
        <v>3.4170854271356785</v>
      </c>
      <c r="E326" s="13">
        <f ca="1"/>
        <v>101.96249027617345</v>
      </c>
      <c r="F326" s="13">
        <f ca="1"/>
        <v>101.62833592840194</v>
      </c>
      <c r="G326" s="13">
        <f ca="1"/>
        <v>105.66157331927444</v>
      </c>
      <c r="H326" s="13">
        <f ca="1"/>
        <v>104.31716085565027</v>
      </c>
      <c r="I326" s="13">
        <f ca="1"/>
        <v>98.939511001153605</v>
      </c>
      <c r="J326" s="13">
        <f ca="1"/>
        <v>97.595098537529438</v>
      </c>
      <c r="M326" s="13">
        <f ca="1"/>
        <v>3.4170854271356785</v>
      </c>
      <c r="N326" s="13">
        <f ca="1"/>
        <v>101.96249027617345</v>
      </c>
      <c r="O326" s="13">
        <f ca="1"/>
        <v>0.24855046855987065</v>
      </c>
      <c r="P326" s="13">
        <f ca="1"/>
        <v>3</v>
      </c>
      <c r="Q326" s="13">
        <f ca="1"/>
        <v>2</v>
      </c>
      <c r="R326" s="13">
        <f ca="1"/>
        <v>-2</v>
      </c>
      <c r="S326" s="13">
        <f ca="1"/>
        <v>-3</v>
      </c>
    </row>
    <row r="327" spans="1:19">
      <c r="A327" s="13">
        <f ca="1"/>
        <v>3.5175879396984926</v>
      </c>
      <c r="B327" s="13">
        <f ca="1"/>
        <v>101.12643502969293</v>
      </c>
      <c r="D327" s="13">
        <f ca="1"/>
        <v>3.5175879396984926</v>
      </c>
      <c r="E327" s="13">
        <f ca="1"/>
        <v>101.12643502969293</v>
      </c>
      <c r="F327" s="13">
        <f ca="1"/>
        <v>101.50286070372468</v>
      </c>
      <c r="G327" s="13">
        <f ca="1"/>
        <v>105.23501204221964</v>
      </c>
      <c r="H327" s="13">
        <f ca="1"/>
        <v>103.99096159605465</v>
      </c>
      <c r="I327" s="13">
        <f ca="1"/>
        <v>99.014759811394711</v>
      </c>
      <c r="J327" s="13">
        <f ca="1"/>
        <v>97.77070936522972</v>
      </c>
      <c r="M327" s="13">
        <f ca="1"/>
        <v>3.5175879396984926</v>
      </c>
      <c r="N327" s="13">
        <f ca="1"/>
        <v>101.12643502969293</v>
      </c>
      <c r="O327" s="13">
        <f ca="1"/>
        <v>-0.30258071543011189</v>
      </c>
      <c r="P327" s="13">
        <f ca="1"/>
        <v>3</v>
      </c>
      <c r="Q327" s="13">
        <f ca="1"/>
        <v>2</v>
      </c>
      <c r="R327" s="13">
        <f ca="1"/>
        <v>-2</v>
      </c>
      <c r="S327" s="13">
        <f ca="1"/>
        <v>-3</v>
      </c>
    </row>
    <row r="328" spans="1:19">
      <c r="A328" s="13">
        <f ca="1"/>
        <v>3.6180904522613067</v>
      </c>
      <c r="B328" s="13">
        <f ca="1"/>
        <v>102.25478513243162</v>
      </c>
      <c r="D328" s="13">
        <f ca="1"/>
        <v>3.6180904522613067</v>
      </c>
      <c r="E328" s="13">
        <f ca="1"/>
        <v>102.25478513243162</v>
      </c>
      <c r="F328" s="13">
        <f ca="1"/>
        <v>101.69084181090142</v>
      </c>
      <c r="G328" s="13">
        <f ca="1"/>
        <v>104.32073243814604</v>
      </c>
      <c r="H328" s="13">
        <f ca="1"/>
        <v>103.4441022290645</v>
      </c>
      <c r="I328" s="13">
        <f ca="1"/>
        <v>99.937581392738338</v>
      </c>
      <c r="J328" s="13">
        <f ca="1"/>
        <v>99.060951183656798</v>
      </c>
      <c r="M328" s="13">
        <f ca="1"/>
        <v>3.6180904522613067</v>
      </c>
      <c r="N328" s="13">
        <f ca="1"/>
        <v>102.25478513243162</v>
      </c>
      <c r="O328" s="13">
        <f ca="1"/>
        <v>0.64330810835398422</v>
      </c>
      <c r="P328" s="13">
        <f ca="1"/>
        <v>3</v>
      </c>
      <c r="Q328" s="13">
        <f ca="1"/>
        <v>2</v>
      </c>
      <c r="R328" s="13">
        <f ca="1"/>
        <v>-2</v>
      </c>
      <c r="S328" s="13">
        <f ca="1"/>
        <v>-3</v>
      </c>
    </row>
    <row r="329" spans="1:19">
      <c r="A329" s="13">
        <f ca="1"/>
        <v>3.7185929648241207</v>
      </c>
      <c r="B329" s="13">
        <f ca="1"/>
        <v>98.649691520435155</v>
      </c>
      <c r="D329" s="13">
        <f ca="1"/>
        <v>3.7185929648241207</v>
      </c>
      <c r="E329" s="13">
        <f ca="1"/>
        <v>98.649691520435155</v>
      </c>
      <c r="F329" s="13">
        <f ca="1"/>
        <v>100.93055423828486</v>
      </c>
      <c r="G329" s="13">
        <f ca="1"/>
        <v>105.22206837824123</v>
      </c>
      <c r="H329" s="13">
        <f ca="1"/>
        <v>103.79156366492245</v>
      </c>
      <c r="I329" s="13">
        <f ca="1"/>
        <v>98.069544811647262</v>
      </c>
      <c r="J329" s="13">
        <f ca="1"/>
        <v>96.639040098328479</v>
      </c>
      <c r="M329" s="13">
        <f ca="1"/>
        <v>3.7185929648241207</v>
      </c>
      <c r="N329" s="13">
        <f ca="1"/>
        <v>98.649691520435155</v>
      </c>
      <c r="O329" s="13">
        <f ca="1"/>
        <v>-1.5944461396132426</v>
      </c>
      <c r="P329" s="13">
        <f ca="1"/>
        <v>3</v>
      </c>
      <c r="Q329" s="13">
        <f ca="1"/>
        <v>2</v>
      </c>
      <c r="R329" s="13">
        <f ca="1"/>
        <v>-2</v>
      </c>
      <c r="S329" s="13">
        <f ca="1"/>
        <v>-3</v>
      </c>
    </row>
    <row r="330" spans="1:19">
      <c r="A330" s="13">
        <f ca="1"/>
        <v>3.8190954773869348</v>
      </c>
      <c r="B330" s="13">
        <f ca="1"/>
        <v>102.55003970203212</v>
      </c>
      <c r="D330" s="13">
        <f ca="1"/>
        <v>3.8190954773869348</v>
      </c>
      <c r="E330" s="13">
        <f ca="1"/>
        <v>102.55003970203212</v>
      </c>
      <c r="F330" s="13">
        <f ca="1"/>
        <v>101.33542560422167</v>
      </c>
      <c r="G330" s="13">
        <f ca="1"/>
        <v>105.74309601958849</v>
      </c>
      <c r="H330" s="13">
        <f ca="1"/>
        <v>104.27387254779956</v>
      </c>
      <c r="I330" s="13">
        <f ca="1"/>
        <v>98.396978660643782</v>
      </c>
      <c r="J330" s="13">
        <f ca="1"/>
        <v>96.927755188854846</v>
      </c>
      <c r="M330" s="13">
        <f ca="1"/>
        <v>3.8190954773869348</v>
      </c>
      <c r="N330" s="13">
        <f ca="1"/>
        <v>102.55003970203212</v>
      </c>
      <c r="O330" s="13">
        <f ca="1"/>
        <v>0.82670480095960219</v>
      </c>
      <c r="P330" s="13">
        <f ca="1"/>
        <v>3</v>
      </c>
      <c r="Q330" s="13">
        <f ca="1"/>
        <v>2</v>
      </c>
      <c r="R330" s="13">
        <f ca="1"/>
        <v>-2</v>
      </c>
      <c r="S330" s="13">
        <f ca="1"/>
        <v>-3</v>
      </c>
    </row>
    <row r="331" spans="1:19">
      <c r="A331" s="13">
        <f ca="1"/>
        <v>3.9195979899497488</v>
      </c>
      <c r="B331" s="13">
        <f ca="1"/>
        <v>99.994153468834028</v>
      </c>
      <c r="D331" s="13">
        <f ca="1"/>
        <v>3.9195979899497488</v>
      </c>
      <c r="E331" s="13">
        <f ca="1"/>
        <v>99.994153468834028</v>
      </c>
      <c r="F331" s="13">
        <f ca="1"/>
        <v>101.00010757037477</v>
      </c>
      <c r="G331" s="13">
        <f ca="1"/>
        <v>105.1581913655134</v>
      </c>
      <c r="H331" s="13">
        <f ca="1"/>
        <v>103.77216343380053</v>
      </c>
      <c r="I331" s="13">
        <f ca="1"/>
        <v>98.228051706949003</v>
      </c>
      <c r="J331" s="13">
        <f ca="1"/>
        <v>96.842023775236129</v>
      </c>
      <c r="M331" s="13">
        <f ca="1"/>
        <v>3.9195979899497488</v>
      </c>
      <c r="N331" s="13">
        <f ca="1"/>
        <v>99.994153468834028</v>
      </c>
      <c r="O331" s="13">
        <f ca="1"/>
        <v>-0.7257819835546615</v>
      </c>
      <c r="P331" s="13">
        <f ca="1"/>
        <v>3</v>
      </c>
      <c r="Q331" s="13">
        <f ca="1"/>
        <v>2</v>
      </c>
      <c r="R331" s="13">
        <f ca="1"/>
        <v>-2</v>
      </c>
      <c r="S331" s="13">
        <f ca="1"/>
        <v>-3</v>
      </c>
    </row>
    <row r="332" spans="1:19">
      <c r="A332" s="13">
        <f ca="1"/>
        <v>4.0201005025125633</v>
      </c>
      <c r="B332" s="13">
        <f ca="1"/>
        <v>101.25931766751697</v>
      </c>
      <c r="D332" s="13">
        <f ca="1"/>
        <v>4.0201005025125633</v>
      </c>
      <c r="E332" s="13">
        <f ca="1"/>
        <v>101.25931766751697</v>
      </c>
      <c r="F332" s="13">
        <f ca="1"/>
        <v>101.06491009466032</v>
      </c>
      <c r="G332" s="13">
        <f ca="1"/>
        <v>105.20890144482564</v>
      </c>
      <c r="H332" s="13">
        <f ca="1"/>
        <v>103.82757099477053</v>
      </c>
      <c r="I332" s="13">
        <f ca="1"/>
        <v>98.302249194550114</v>
      </c>
      <c r="J332" s="13">
        <f ca="1"/>
        <v>96.920918744494998</v>
      </c>
      <c r="M332" s="13">
        <f ca="1"/>
        <v>4.0201005025125633</v>
      </c>
      <c r="N332" s="13">
        <f ca="1"/>
        <v>101.25931766751697</v>
      </c>
      <c r="O332" s="13">
        <f ca="1"/>
        <v>0.14073936678141846</v>
      </c>
      <c r="P332" s="13">
        <f ca="1"/>
        <v>3</v>
      </c>
      <c r="Q332" s="13">
        <f ca="1"/>
        <v>2</v>
      </c>
      <c r="R332" s="13">
        <f ca="1"/>
        <v>-2</v>
      </c>
      <c r="S332" s="13">
        <f ca="1"/>
        <v>-3</v>
      </c>
    </row>
    <row r="333" spans="1:19">
      <c r="A333" s="13">
        <f ca="1"/>
        <v>4.1206030150753774</v>
      </c>
      <c r="B333" s="13">
        <f ca="1"/>
        <v>102.55263696766552</v>
      </c>
      <c r="D333" s="13">
        <f ca="1"/>
        <v>4.1206030150753774</v>
      </c>
      <c r="E333" s="13">
        <f ca="1"/>
        <v>102.55263696766552</v>
      </c>
      <c r="F333" s="13">
        <f ca="1"/>
        <v>101.43684181291162</v>
      </c>
      <c r="G333" s="13">
        <f ca="1"/>
        <v>105.87485881027384</v>
      </c>
      <c r="H333" s="13">
        <f ca="1"/>
        <v>104.39551981115311</v>
      </c>
      <c r="I333" s="13">
        <f ca="1"/>
        <v>98.47816381467014</v>
      </c>
      <c r="J333" s="13">
        <f ca="1"/>
        <v>96.998824815549412</v>
      </c>
      <c r="M333" s="13">
        <f ca="1"/>
        <v>4.1206030150753774</v>
      </c>
      <c r="N333" s="13">
        <f ca="1"/>
        <v>102.55263696766552</v>
      </c>
      <c r="O333" s="13">
        <f ca="1"/>
        <v>0.75425251103167146</v>
      </c>
      <c r="P333" s="13">
        <f ca="1"/>
        <v>3</v>
      </c>
      <c r="Q333" s="13">
        <f ca="1"/>
        <v>2</v>
      </c>
      <c r="R333" s="13">
        <f ca="1"/>
        <v>-2</v>
      </c>
      <c r="S333" s="13">
        <f ca="1"/>
        <v>-3</v>
      </c>
    </row>
    <row r="334" spans="1:19">
      <c r="A334" s="13">
        <f ca="1"/>
        <v>4.2211055276381915</v>
      </c>
      <c r="B334" s="13">
        <f ca="1"/>
        <v>100.95205299062445</v>
      </c>
      <c r="D334" s="13">
        <f ca="1"/>
        <v>4.2211055276381915</v>
      </c>
      <c r="E334" s="13">
        <f ca="1"/>
        <v>100.95205299062445</v>
      </c>
      <c r="F334" s="13">
        <f ca="1"/>
        <v>101.31564460733983</v>
      </c>
      <c r="G334" s="13">
        <f ca="1"/>
        <v>105.71874849331545</v>
      </c>
      <c r="H334" s="13">
        <f ca="1"/>
        <v>104.25104719799023</v>
      </c>
      <c r="I334" s="13">
        <f ca="1"/>
        <v>98.380242016689436</v>
      </c>
      <c r="J334" s="13">
        <f ca="1"/>
        <v>96.912540721364223</v>
      </c>
      <c r="M334" s="13">
        <f ca="1"/>
        <v>4.2211055276381915</v>
      </c>
      <c r="N334" s="13">
        <f ca="1"/>
        <v>100.95205299062445</v>
      </c>
      <c r="O334" s="13">
        <f ca="1"/>
        <v>-0.24772862017187264</v>
      </c>
      <c r="P334" s="13">
        <f ca="1"/>
        <v>3</v>
      </c>
      <c r="Q334" s="13">
        <f ca="1"/>
        <v>2</v>
      </c>
      <c r="R334" s="13">
        <f ca="1"/>
        <v>-2</v>
      </c>
      <c r="S334" s="13">
        <f ca="1"/>
        <v>-3</v>
      </c>
    </row>
    <row r="335" spans="1:19">
      <c r="A335" s="13">
        <f ca="1"/>
        <v>4.3216080402010055</v>
      </c>
      <c r="B335" s="13">
        <f ca="1"/>
        <v>101.99657614491721</v>
      </c>
      <c r="D335" s="13">
        <f ca="1"/>
        <v>4.3216080402010055</v>
      </c>
      <c r="E335" s="13">
        <f ca="1"/>
        <v>101.99657614491721</v>
      </c>
      <c r="F335" s="13">
        <f ca="1"/>
        <v>101.48587749173419</v>
      </c>
      <c r="G335" s="13">
        <f ca="1"/>
        <v>105.92491784071228</v>
      </c>
      <c r="H335" s="13">
        <f ca="1"/>
        <v>104.44523772438625</v>
      </c>
      <c r="I335" s="13">
        <f ca="1"/>
        <v>98.526517259082127</v>
      </c>
      <c r="J335" s="13">
        <f ca="1"/>
        <v>97.04683714275609</v>
      </c>
      <c r="M335" s="13">
        <f ca="1"/>
        <v>4.3216080402010055</v>
      </c>
      <c r="N335" s="13">
        <f ca="1"/>
        <v>101.99657614491721</v>
      </c>
      <c r="O335" s="13">
        <f ca="1"/>
        <v>0.34514125556479441</v>
      </c>
      <c r="P335" s="13">
        <f ca="1"/>
        <v>3</v>
      </c>
      <c r="Q335" s="13">
        <f ca="1"/>
        <v>2</v>
      </c>
      <c r="R335" s="13">
        <f ca="1"/>
        <v>-2</v>
      </c>
      <c r="S335" s="13">
        <f ca="1"/>
        <v>-3</v>
      </c>
    </row>
    <row r="336" spans="1:19">
      <c r="A336" s="13">
        <f ca="1"/>
        <v>4.4221105527638196</v>
      </c>
      <c r="B336" s="13">
        <f ca="1"/>
        <v>100.67276264591368</v>
      </c>
      <c r="D336" s="13">
        <f ca="1"/>
        <v>4.4221105527638196</v>
      </c>
      <c r="E336" s="13">
        <f ca="1"/>
        <v>100.67276264591368</v>
      </c>
      <c r="F336" s="13">
        <f ca="1"/>
        <v>101.28259878027906</v>
      </c>
      <c r="G336" s="13">
        <f ca="1"/>
        <v>104.25016372280399</v>
      </c>
      <c r="H336" s="13">
        <f ca="1"/>
        <v>103.26097540862902</v>
      </c>
      <c r="I336" s="13">
        <f ca="1"/>
        <v>99.304222151929096</v>
      </c>
      <c r="J336" s="13">
        <f ca="1"/>
        <v>98.315033837754129</v>
      </c>
      <c r="M336" s="13">
        <f ca="1"/>
        <v>4.4221105527638196</v>
      </c>
      <c r="N336" s="13">
        <f ca="1"/>
        <v>100.67276264591368</v>
      </c>
      <c r="O336" s="13">
        <f ca="1"/>
        <v>-0.6165015554940193</v>
      </c>
      <c r="P336" s="13">
        <f ca="1"/>
        <v>3</v>
      </c>
      <c r="Q336" s="13">
        <f ca="1"/>
        <v>2</v>
      </c>
      <c r="R336" s="13">
        <f ca="1"/>
        <v>-2</v>
      </c>
      <c r="S336" s="13">
        <f ca="1"/>
        <v>-3</v>
      </c>
    </row>
    <row r="337" spans="1:19">
      <c r="A337" s="13">
        <f ca="1"/>
        <v>4.5226130653266337</v>
      </c>
      <c r="B337" s="13">
        <f ca="1"/>
        <v>99.674159673546797</v>
      </c>
      <c r="D337" s="13">
        <f ca="1"/>
        <v>4.5226130653266337</v>
      </c>
      <c r="E337" s="13">
        <f ca="1"/>
        <v>99.674159673546797</v>
      </c>
      <c r="F337" s="13">
        <f ca="1"/>
        <v>100.880489003596</v>
      </c>
      <c r="G337" s="13">
        <f ca="1"/>
        <v>103.99681695184053</v>
      </c>
      <c r="H337" s="13">
        <f ca="1"/>
        <v>102.95804096909235</v>
      </c>
      <c r="I337" s="13">
        <f ca="1"/>
        <v>98.802937038099643</v>
      </c>
      <c r="J337" s="13">
        <f ca="1"/>
        <v>97.764161055351465</v>
      </c>
      <c r="M337" s="13">
        <f ca="1"/>
        <v>4.5226130653266337</v>
      </c>
      <c r="N337" s="13">
        <f ca="1"/>
        <v>99.674159673546797</v>
      </c>
      <c r="O337" s="13">
        <f ca="1"/>
        <v>-1.1612988267766289</v>
      </c>
      <c r="P337" s="13">
        <f ca="1"/>
        <v>3</v>
      </c>
      <c r="Q337" s="13">
        <f ca="1"/>
        <v>2</v>
      </c>
      <c r="R337" s="13">
        <f ca="1"/>
        <v>-2</v>
      </c>
      <c r="S337" s="13">
        <f ca="1"/>
        <v>-3</v>
      </c>
    </row>
    <row r="338" spans="1:19">
      <c r="A338" s="13">
        <f ca="1"/>
        <v>4.6231155778894477</v>
      </c>
      <c r="B338" s="13">
        <f ca="1"/>
        <v>99.588688617455375</v>
      </c>
      <c r="D338" s="13">
        <f ca="1"/>
        <v>4.6231155778894477</v>
      </c>
      <c r="E338" s="13">
        <f ca="1"/>
        <v>99.588688617455375</v>
      </c>
      <c r="F338" s="13">
        <f ca="1"/>
        <v>100.55753890706085</v>
      </c>
      <c r="G338" s="13">
        <f ca="1"/>
        <v>104.11387525884007</v>
      </c>
      <c r="H338" s="13">
        <f ca="1"/>
        <v>102.92842980824699</v>
      </c>
      <c r="I338" s="13">
        <f ca="1"/>
        <v>98.186648005874702</v>
      </c>
      <c r="J338" s="13">
        <f ca="1"/>
        <v>97.001202555281623</v>
      </c>
      <c r="M338" s="13">
        <f ca="1"/>
        <v>4.6231155778894477</v>
      </c>
      <c r="N338" s="13">
        <f ca="1"/>
        <v>99.588688617455375</v>
      </c>
      <c r="O338" s="13">
        <f ca="1"/>
        <v>-0.81728795628745166</v>
      </c>
      <c r="P338" s="13">
        <f ca="1"/>
        <v>3</v>
      </c>
      <c r="Q338" s="13">
        <f ca="1"/>
        <v>2</v>
      </c>
      <c r="R338" s="13">
        <f ca="1"/>
        <v>-2</v>
      </c>
      <c r="S338" s="13">
        <f ca="1"/>
        <v>-3</v>
      </c>
    </row>
    <row r="339" spans="1:19">
      <c r="A339" s="13">
        <f ca="1"/>
        <v>4.7236180904522618</v>
      </c>
      <c r="B339" s="13">
        <f ca="1"/>
        <v>101.69895025315316</v>
      </c>
      <c r="D339" s="13">
        <f ca="1"/>
        <v>4.7236180904522618</v>
      </c>
      <c r="E339" s="13">
        <f ca="1"/>
        <v>101.69895025315316</v>
      </c>
      <c r="F339" s="13">
        <f ca="1"/>
        <v>100.84289174358392</v>
      </c>
      <c r="G339" s="13">
        <f ca="1"/>
        <v>104.29981367395975</v>
      </c>
      <c r="H339" s="13">
        <f ca="1"/>
        <v>103.14750636383448</v>
      </c>
      <c r="I339" s="13">
        <f ca="1"/>
        <v>98.538277123333359</v>
      </c>
      <c r="J339" s="13">
        <f ca="1"/>
        <v>97.385969813208092</v>
      </c>
      <c r="M339" s="13">
        <f ca="1"/>
        <v>4.7236180904522618</v>
      </c>
      <c r="N339" s="13">
        <f ca="1"/>
        <v>101.69895025315316</v>
      </c>
      <c r="O339" s="13">
        <f ca="1"/>
        <v>0.74290816524991732</v>
      </c>
      <c r="P339" s="13">
        <f ca="1"/>
        <v>3</v>
      </c>
      <c r="Q339" s="13">
        <f ca="1"/>
        <v>2</v>
      </c>
      <c r="R339" s="13">
        <f ca="1"/>
        <v>-2</v>
      </c>
      <c r="S339" s="13">
        <f ca="1"/>
        <v>-3</v>
      </c>
    </row>
    <row r="340" spans="1:19">
      <c r="A340" s="13">
        <f ca="1"/>
        <v>4.8241206030150758</v>
      </c>
      <c r="B340" s="13">
        <f ca="1"/>
        <v>101.79774591222657</v>
      </c>
      <c r="D340" s="13">
        <f ca="1"/>
        <v>4.8241206030150758</v>
      </c>
      <c r="E340" s="13">
        <f ca="1"/>
        <v>101.79774591222657</v>
      </c>
      <c r="F340" s="13">
        <f ca="1"/>
        <v>101.08160528574459</v>
      </c>
      <c r="G340" s="13">
        <f ca="1"/>
        <v>104.11264058161706</v>
      </c>
      <c r="H340" s="13">
        <f ca="1"/>
        <v>103.1022954829929</v>
      </c>
      <c r="I340" s="13">
        <f ca="1"/>
        <v>99.060915088496273</v>
      </c>
      <c r="J340" s="13">
        <f ca="1"/>
        <v>98.050569989872116</v>
      </c>
      <c r="M340" s="13">
        <f ca="1"/>
        <v>4.8241206030150758</v>
      </c>
      <c r="N340" s="13">
        <f ca="1"/>
        <v>101.79774591222657</v>
      </c>
      <c r="O340" s="13">
        <f ca="1"/>
        <v>0.70880793845310319</v>
      </c>
      <c r="P340" s="13">
        <f ca="1"/>
        <v>3</v>
      </c>
      <c r="Q340" s="13">
        <f ca="1"/>
        <v>2</v>
      </c>
      <c r="R340" s="13">
        <f ca="1"/>
        <v>-2</v>
      </c>
      <c r="S340" s="13">
        <f ca="1"/>
        <v>-3</v>
      </c>
    </row>
    <row r="341" spans="1:19">
      <c r="A341" s="13">
        <f ca="1"/>
        <v>4.9246231155778899</v>
      </c>
      <c r="B341" s="13">
        <f ca="1"/>
        <v>99.300719968609044</v>
      </c>
      <c r="D341" s="13">
        <f ca="1"/>
        <v>4.9246231155778899</v>
      </c>
      <c r="E341" s="13">
        <f ca="1"/>
        <v>99.300719968609044</v>
      </c>
      <c r="F341" s="13">
        <f ca="1"/>
        <v>100.6363839564607</v>
      </c>
      <c r="G341" s="13">
        <f ca="1"/>
        <v>104.12997687239938</v>
      </c>
      <c r="H341" s="13">
        <f ca="1"/>
        <v>102.96544590041982</v>
      </c>
      <c r="I341" s="13">
        <f ca="1"/>
        <v>98.307322012501587</v>
      </c>
      <c r="J341" s="13">
        <f ca="1"/>
        <v>97.142791040522027</v>
      </c>
      <c r="M341" s="13">
        <f ca="1"/>
        <v>4.9246231155778899</v>
      </c>
      <c r="N341" s="13">
        <f ca="1"/>
        <v>99.300719968609044</v>
      </c>
      <c r="O341" s="13">
        <f ca="1"/>
        <v>-1.1469544563346359</v>
      </c>
      <c r="P341" s="13">
        <f ca="1"/>
        <v>3</v>
      </c>
      <c r="Q341" s="13">
        <f ca="1"/>
        <v>2</v>
      </c>
      <c r="R341" s="13">
        <f ca="1"/>
        <v>-2</v>
      </c>
      <c r="S341" s="13">
        <f ca="1"/>
        <v>-3</v>
      </c>
    </row>
    <row r="342" spans="1:19">
      <c r="A342" s="13">
        <f ca="1"/>
        <v>5.025125628140704</v>
      </c>
      <c r="B342" s="13">
        <f ca="1"/>
        <v>101.07387028771382</v>
      </c>
      <c r="D342" s="13">
        <f ca="1"/>
        <v>5.025125628140704</v>
      </c>
      <c r="E342" s="13">
        <f ca="1"/>
        <v>101.07387028771382</v>
      </c>
      <c r="F342" s="13">
        <f ca="1"/>
        <v>100.74575553927399</v>
      </c>
      <c r="G342" s="13">
        <f ca="1"/>
        <v>103.91675708124956</v>
      </c>
      <c r="H342" s="13">
        <f ca="1"/>
        <v>102.8597565672577</v>
      </c>
      <c r="I342" s="13">
        <f ca="1"/>
        <v>98.631754511290268</v>
      </c>
      <c r="J342" s="13">
        <f ca="1"/>
        <v>97.574753997298416</v>
      </c>
      <c r="M342" s="13">
        <f ca="1"/>
        <v>5.025125628140704</v>
      </c>
      <c r="N342" s="13">
        <f ca="1"/>
        <v>101.07387028771382</v>
      </c>
      <c r="O342" s="13">
        <f ca="1"/>
        <v>0.31042061389419312</v>
      </c>
      <c r="P342" s="13">
        <f ca="1"/>
        <v>3</v>
      </c>
      <c r="Q342" s="13">
        <f ca="1"/>
        <v>2</v>
      </c>
      <c r="R342" s="13">
        <f ca="1"/>
        <v>-2</v>
      </c>
      <c r="S342" s="13">
        <f ca="1"/>
        <v>-3</v>
      </c>
    </row>
    <row r="343" spans="1:19">
      <c r="A343" s="13">
        <f ca="1"/>
        <v>5.125628140703518</v>
      </c>
      <c r="B343" s="13">
        <f ca="1"/>
        <v>99.478251576557668</v>
      </c>
      <c r="D343" s="13">
        <f ca="1"/>
        <v>5.125628140703518</v>
      </c>
      <c r="E343" s="13">
        <f ca="1"/>
        <v>99.478251576557668</v>
      </c>
      <c r="F343" s="13">
        <f ca="1"/>
        <v>100.42887954859491</v>
      </c>
      <c r="G343" s="13">
        <f ca="1"/>
        <v>103.75036601687316</v>
      </c>
      <c r="H343" s="13">
        <f ca="1"/>
        <v>102.6432038607804</v>
      </c>
      <c r="I343" s="13">
        <f ca="1"/>
        <v>98.21455523640941</v>
      </c>
      <c r="J343" s="13">
        <f ca="1"/>
        <v>97.107393080316655</v>
      </c>
      <c r="M343" s="13">
        <f ca="1"/>
        <v>5.125628140703518</v>
      </c>
      <c r="N343" s="13">
        <f ca="1"/>
        <v>99.478251576557668</v>
      </c>
      <c r="O343" s="13">
        <f ca="1"/>
        <v>-0.85861674986441794</v>
      </c>
      <c r="P343" s="13">
        <f ca="1"/>
        <v>3</v>
      </c>
      <c r="Q343" s="13">
        <f ca="1"/>
        <v>2</v>
      </c>
      <c r="R343" s="13">
        <f ca="1"/>
        <v>-2</v>
      </c>
      <c r="S343" s="13">
        <f ca="1"/>
        <v>-3</v>
      </c>
    </row>
    <row r="344" spans="1:19">
      <c r="A344" s="13">
        <f ca="1"/>
        <v>5.2261306532663321</v>
      </c>
      <c r="B344" s="13">
        <f ca="1"/>
        <v>98.577452337866148</v>
      </c>
      <c r="D344" s="13">
        <f ca="1"/>
        <v>5.2261306532663321</v>
      </c>
      <c r="E344" s="13">
        <f ca="1"/>
        <v>98.577452337866148</v>
      </c>
      <c r="F344" s="13">
        <f ca="1"/>
        <v>99.96602274591271</v>
      </c>
      <c r="G344" s="13">
        <f ca="1"/>
        <v>103.90365483912167</v>
      </c>
      <c r="H344" s="13">
        <f ca="1"/>
        <v>102.59111080805201</v>
      </c>
      <c r="I344" s="13">
        <f ca="1"/>
        <v>97.340934683773412</v>
      </c>
      <c r="J344" s="13">
        <f ca="1"/>
        <v>96.028390652703749</v>
      </c>
      <c r="M344" s="13">
        <f ca="1"/>
        <v>5.2261306532663321</v>
      </c>
      <c r="N344" s="13">
        <f ca="1"/>
        <v>98.577452337866148</v>
      </c>
      <c r="O344" s="13">
        <f ca="1"/>
        <v>-1.0579229154811298</v>
      </c>
      <c r="P344" s="13">
        <f ca="1"/>
        <v>3</v>
      </c>
      <c r="Q344" s="13">
        <f ca="1"/>
        <v>2</v>
      </c>
      <c r="R344" s="13">
        <f ca="1"/>
        <v>-2</v>
      </c>
      <c r="S344" s="13">
        <f ca="1"/>
        <v>-3</v>
      </c>
    </row>
    <row r="345" spans="1:19">
      <c r="A345" s="13">
        <f ca="1"/>
        <v>5.3266331658291461</v>
      </c>
      <c r="B345" s="13">
        <f ca="1"/>
        <v>98.658084258350584</v>
      </c>
      <c r="D345" s="13">
        <f ca="1"/>
        <v>5.3266331658291461</v>
      </c>
      <c r="E345" s="13">
        <f ca="1"/>
        <v>98.658084258350584</v>
      </c>
      <c r="F345" s="13">
        <f ca="1"/>
        <v>99.639038124022179</v>
      </c>
      <c r="G345" s="13">
        <f ca="1"/>
        <v>104.08733223333502</v>
      </c>
      <c r="H345" s="13">
        <f ca="1"/>
        <v>102.60456753023074</v>
      </c>
      <c r="I345" s="13">
        <f ca="1"/>
        <v>96.673508717813618</v>
      </c>
      <c r="J345" s="13">
        <f ca="1"/>
        <v>95.190744014709338</v>
      </c>
      <c r="M345" s="13">
        <f ca="1"/>
        <v>5.3266331658291461</v>
      </c>
      <c r="N345" s="13">
        <f ca="1"/>
        <v>98.658084258350584</v>
      </c>
      <c r="O345" s="13">
        <f ca="1"/>
        <v>-0.66157082348797069</v>
      </c>
      <c r="P345" s="13">
        <f ca="1"/>
        <v>3</v>
      </c>
      <c r="Q345" s="13">
        <f ca="1"/>
        <v>2</v>
      </c>
      <c r="R345" s="13">
        <f ca="1"/>
        <v>-2</v>
      </c>
      <c r="S345" s="13">
        <f ca="1"/>
        <v>-3</v>
      </c>
    </row>
    <row r="346" spans="1:19">
      <c r="A346" s="13">
        <f ca="1"/>
        <v>5.4271356783919602</v>
      </c>
      <c r="B346" s="13">
        <f ca="1"/>
        <v>100.48815142817944</v>
      </c>
      <c r="D346" s="13">
        <f ca="1"/>
        <v>5.4271356783919602</v>
      </c>
      <c r="E346" s="13">
        <f ca="1"/>
        <v>100.48815142817944</v>
      </c>
      <c r="F346" s="13">
        <f ca="1"/>
        <v>99.851316450061489</v>
      </c>
      <c r="G346" s="13">
        <f ca="1"/>
        <v>103.56163672964691</v>
      </c>
      <c r="H346" s="13">
        <f ca="1"/>
        <v>102.32486330311843</v>
      </c>
      <c r="I346" s="13">
        <f ca="1"/>
        <v>97.377769597004544</v>
      </c>
      <c r="J346" s="13">
        <f ca="1"/>
        <v>96.140996170476072</v>
      </c>
      <c r="M346" s="13">
        <f ca="1"/>
        <v>5.4271356783919602</v>
      </c>
      <c r="N346" s="13">
        <f ca="1"/>
        <v>100.48815142817944</v>
      </c>
      <c r="O346" s="13">
        <f ca="1"/>
        <v>0.51491644666516934</v>
      </c>
      <c r="P346" s="13">
        <f ca="1"/>
        <v>3</v>
      </c>
      <c r="Q346" s="13">
        <f ca="1"/>
        <v>2</v>
      </c>
      <c r="R346" s="13">
        <f ca="1"/>
        <v>-2</v>
      </c>
      <c r="S346" s="13">
        <f ca="1"/>
        <v>-3</v>
      </c>
    </row>
    <row r="347" spans="1:19">
      <c r="A347" s="13">
        <f ca="1"/>
        <v>5.5276381909547743</v>
      </c>
      <c r="B347" s="13">
        <f ca="1"/>
        <v>98.781585539632601</v>
      </c>
      <c r="D347" s="13">
        <f ca="1"/>
        <v>5.5276381909547743</v>
      </c>
      <c r="E347" s="13">
        <f ca="1"/>
        <v>98.781585539632601</v>
      </c>
      <c r="F347" s="13">
        <f ca="1"/>
        <v>99.58388372245426</v>
      </c>
      <c r="G347" s="13">
        <f ca="1"/>
        <v>102.49321123851036</v>
      </c>
      <c r="H347" s="13">
        <f ca="1"/>
        <v>101.52343539982499</v>
      </c>
      <c r="I347" s="13">
        <f ca="1"/>
        <v>97.64433204508353</v>
      </c>
      <c r="J347" s="13">
        <f ca="1"/>
        <v>96.674556206398165</v>
      </c>
      <c r="M347" s="13">
        <f ca="1"/>
        <v>5.5276381909547743</v>
      </c>
      <c r="N347" s="13">
        <f ca="1"/>
        <v>98.781585539632601</v>
      </c>
      <c r="O347" s="13">
        <f ca="1"/>
        <v>-0.82730271349022311</v>
      </c>
      <c r="P347" s="13">
        <f ca="1"/>
        <v>3</v>
      </c>
      <c r="Q347" s="13">
        <f ca="1"/>
        <v>2</v>
      </c>
      <c r="R347" s="13">
        <f ca="1"/>
        <v>-2</v>
      </c>
      <c r="S347" s="13">
        <f ca="1"/>
        <v>-3</v>
      </c>
    </row>
    <row r="348" spans="1:19">
      <c r="A348" s="13">
        <f ca="1"/>
        <v>5.6281407035175883</v>
      </c>
      <c r="B348" s="13">
        <f ca="1"/>
        <v>99.529680255436773</v>
      </c>
      <c r="D348" s="13">
        <f ca="1"/>
        <v>5.6281407035175883</v>
      </c>
      <c r="E348" s="13">
        <f ca="1"/>
        <v>99.529680255436773</v>
      </c>
      <c r="F348" s="13">
        <f ca="1"/>
        <v>99.570332855699888</v>
      </c>
      <c r="G348" s="13">
        <f ca="1"/>
        <v>102.45649264649326</v>
      </c>
      <c r="H348" s="13">
        <f ca="1"/>
        <v>101.49443938289546</v>
      </c>
      <c r="I348" s="13">
        <f ca="1"/>
        <v>97.646226328504312</v>
      </c>
      <c r="J348" s="13">
        <f ca="1"/>
        <v>96.684173064906517</v>
      </c>
      <c r="M348" s="13">
        <f ca="1"/>
        <v>5.6281407035175883</v>
      </c>
      <c r="N348" s="13">
        <f ca="1"/>
        <v>99.529680255436773</v>
      </c>
      <c r="O348" s="13">
        <f ca="1"/>
        <v>-4.2256080615627023E-2</v>
      </c>
      <c r="P348" s="13">
        <f ca="1"/>
        <v>3</v>
      </c>
      <c r="Q348" s="13">
        <f ca="1"/>
        <v>2</v>
      </c>
      <c r="R348" s="13">
        <f ca="1"/>
        <v>-2</v>
      </c>
      <c r="S348" s="13">
        <f ca="1"/>
        <v>-3</v>
      </c>
    </row>
    <row r="349" spans="1:19">
      <c r="A349" s="13">
        <f ca="1"/>
        <v>5.7286432160804024</v>
      </c>
      <c r="B349" s="13">
        <f ca="1"/>
        <v>97.621462806028376</v>
      </c>
      <c r="D349" s="13">
        <f ca="1"/>
        <v>5.7286432160804024</v>
      </c>
      <c r="E349" s="13">
        <f ca="1"/>
        <v>97.621462806028376</v>
      </c>
      <c r="F349" s="13">
        <f ca="1"/>
        <v>99.083115343282003</v>
      </c>
      <c r="G349" s="13">
        <f ca="1"/>
        <v>101.81991295833284</v>
      </c>
      <c r="H349" s="13">
        <f ca="1"/>
        <v>100.90764708664923</v>
      </c>
      <c r="I349" s="13">
        <f ca="1"/>
        <v>97.258583599914772</v>
      </c>
      <c r="J349" s="13">
        <f ca="1"/>
        <v>96.34631772823117</v>
      </c>
      <c r="M349" s="13">
        <f ca="1"/>
        <v>5.7286432160804024</v>
      </c>
      <c r="N349" s="13">
        <f ca="1"/>
        <v>97.621462806028376</v>
      </c>
      <c r="O349" s="13">
        <f ca="1"/>
        <v>-1.6022220962361622</v>
      </c>
      <c r="P349" s="13">
        <f ca="1"/>
        <v>3</v>
      </c>
      <c r="Q349" s="13">
        <f ca="1"/>
        <v>2</v>
      </c>
      <c r="R349" s="13">
        <f ca="1"/>
        <v>-2</v>
      </c>
      <c r="S349" s="13">
        <f ca="1"/>
        <v>-3</v>
      </c>
    </row>
    <row r="350" spans="1:19">
      <c r="A350" s="13">
        <f ca="1"/>
        <v>5.8291457286432165</v>
      </c>
      <c r="B350" s="13">
        <f ca="1"/>
        <v>98.931703392174114</v>
      </c>
      <c r="D350" s="13">
        <f ca="1"/>
        <v>5.8291457286432165</v>
      </c>
      <c r="E350" s="13">
        <f ca="1"/>
        <v>98.931703392174114</v>
      </c>
      <c r="F350" s="13">
        <f ca="1"/>
        <v>99.045262355505031</v>
      </c>
      <c r="G350" s="13">
        <f ca="1"/>
        <v>101.72713733240317</v>
      </c>
      <c r="H350" s="13">
        <f ca="1"/>
        <v>100.83317900677045</v>
      </c>
      <c r="I350" s="13">
        <f ca="1"/>
        <v>97.257345704239611</v>
      </c>
      <c r="J350" s="13">
        <f ca="1"/>
        <v>96.363387378606888</v>
      </c>
      <c r="M350" s="13">
        <f ca="1"/>
        <v>5.8291457286432165</v>
      </c>
      <c r="N350" s="13">
        <f ca="1"/>
        <v>98.931703392174114</v>
      </c>
      <c r="O350" s="13">
        <f ca="1"/>
        <v>-0.12702937046930415</v>
      </c>
      <c r="P350" s="13">
        <f ca="1"/>
        <v>3</v>
      </c>
      <c r="Q350" s="13">
        <f ca="1"/>
        <v>2</v>
      </c>
      <c r="R350" s="13">
        <f ca="1"/>
        <v>-2</v>
      </c>
      <c r="S350" s="13">
        <f ca="1"/>
        <v>-3</v>
      </c>
    </row>
    <row r="351" spans="1:19">
      <c r="A351" s="13">
        <f ca="1"/>
        <v>5.9296482412060305</v>
      </c>
      <c r="B351" s="13">
        <f ca="1"/>
        <v>101.34288192928447</v>
      </c>
      <c r="D351" s="13">
        <f ca="1"/>
        <v>5.9296482412060305</v>
      </c>
      <c r="E351" s="13">
        <f ca="1"/>
        <v>101.34288192928447</v>
      </c>
      <c r="F351" s="13">
        <f ca="1"/>
        <v>99.619667248949895</v>
      </c>
      <c r="G351" s="13">
        <f ca="1"/>
        <v>103.45860642397027</v>
      </c>
      <c r="H351" s="13">
        <f ca="1"/>
        <v>102.1789600322968</v>
      </c>
      <c r="I351" s="13">
        <f ca="1"/>
        <v>97.06037446560299</v>
      </c>
      <c r="J351" s="13">
        <f ca="1"/>
        <v>95.780728073929524</v>
      </c>
      <c r="M351" s="13">
        <f ca="1"/>
        <v>5.9296482412060305</v>
      </c>
      <c r="N351" s="13">
        <f ca="1"/>
        <v>101.34288192928447</v>
      </c>
      <c r="O351" s="13">
        <f ca="1"/>
        <v>1.346633485271699</v>
      </c>
      <c r="P351" s="13">
        <f ca="1"/>
        <v>3</v>
      </c>
      <c r="Q351" s="13">
        <f ca="1"/>
        <v>2</v>
      </c>
      <c r="R351" s="13">
        <f ca="1"/>
        <v>-2</v>
      </c>
      <c r="S351" s="13">
        <f ca="1"/>
        <v>-3</v>
      </c>
    </row>
    <row r="352" spans="1:19">
      <c r="A352" s="13">
        <f ca="1"/>
        <v>6.0301507537688446</v>
      </c>
      <c r="B352" s="13">
        <f ca="1"/>
        <v>98.122446799254973</v>
      </c>
      <c r="D352" s="13">
        <f ca="1"/>
        <v>6.0301507537688446</v>
      </c>
      <c r="E352" s="13">
        <f ca="1"/>
        <v>98.122446799254973</v>
      </c>
      <c r="F352" s="13">
        <f ca="1"/>
        <v>99.245362136526168</v>
      </c>
      <c r="G352" s="13">
        <f ca="1"/>
        <v>103.16385860721613</v>
      </c>
      <c r="H352" s="13">
        <f ca="1"/>
        <v>101.85769311698614</v>
      </c>
      <c r="I352" s="13">
        <f ca="1"/>
        <v>96.633031156066195</v>
      </c>
      <c r="J352" s="13">
        <f ca="1"/>
        <v>95.326865665836209</v>
      </c>
      <c r="M352" s="13">
        <f ca="1"/>
        <v>6.0301507537688446</v>
      </c>
      <c r="N352" s="13">
        <f ca="1"/>
        <v>98.122446799254973</v>
      </c>
      <c r="O352" s="13">
        <f ca="1"/>
        <v>-0.85970372488823954</v>
      </c>
      <c r="P352" s="13">
        <f ca="1"/>
        <v>3</v>
      </c>
      <c r="Q352" s="13">
        <f ca="1"/>
        <v>2</v>
      </c>
      <c r="R352" s="13">
        <f ca="1"/>
        <v>-2</v>
      </c>
      <c r="S352" s="13">
        <f ca="1"/>
        <v>-3</v>
      </c>
    </row>
    <row r="353" spans="1:19">
      <c r="A353" s="13">
        <f ca="1"/>
        <v>6.1306532663316586</v>
      </c>
      <c r="B353" s="13">
        <f ca="1"/>
        <v>97.902334681056871</v>
      </c>
      <c r="D353" s="13">
        <f ca="1"/>
        <v>6.1306532663316586</v>
      </c>
      <c r="E353" s="13">
        <f ca="1"/>
        <v>97.902334681056871</v>
      </c>
      <c r="F353" s="13">
        <f ca="1"/>
        <v>98.909605272658837</v>
      </c>
      <c r="G353" s="13">
        <f ca="1"/>
        <v>102.70744594312626</v>
      </c>
      <c r="H353" s="13">
        <f ca="1"/>
        <v>101.44149905297046</v>
      </c>
      <c r="I353" s="13">
        <f ca="1"/>
        <v>96.377711492347217</v>
      </c>
      <c r="J353" s="13">
        <f ca="1"/>
        <v>95.111764602191414</v>
      </c>
      <c r="M353" s="13">
        <f ca="1"/>
        <v>6.1306532663316586</v>
      </c>
      <c r="N353" s="13">
        <f ca="1"/>
        <v>97.902334681056871</v>
      </c>
      <c r="O353" s="13">
        <f ca="1"/>
        <v>-0.79566575773016279</v>
      </c>
      <c r="P353" s="13">
        <f ca="1"/>
        <v>3</v>
      </c>
      <c r="Q353" s="13">
        <f ca="1"/>
        <v>2</v>
      </c>
      <c r="R353" s="13">
        <f ca="1"/>
        <v>-2</v>
      </c>
      <c r="S353" s="13">
        <f ca="1"/>
        <v>-3</v>
      </c>
    </row>
    <row r="354" spans="1:19">
      <c r="A354" s="13">
        <f ca="1"/>
        <v>6.2311557788944727</v>
      </c>
      <c r="B354" s="13">
        <f ca="1"/>
        <v>99.857560601416424</v>
      </c>
      <c r="D354" s="13">
        <f ca="1"/>
        <v>6.2311557788944727</v>
      </c>
      <c r="E354" s="13">
        <f ca="1"/>
        <v>99.857560601416424</v>
      </c>
      <c r="F354" s="13">
        <f ca="1"/>
        <v>99.146594104848234</v>
      </c>
      <c r="G354" s="13">
        <f ca="1"/>
        <v>103.10484585531772</v>
      </c>
      <c r="H354" s="13">
        <f ca="1"/>
        <v>101.78542860516123</v>
      </c>
      <c r="I354" s="13">
        <f ca="1"/>
        <v>96.507759604535238</v>
      </c>
      <c r="J354" s="13">
        <f ca="1"/>
        <v>95.188342354378747</v>
      </c>
      <c r="M354" s="13">
        <f ca="1"/>
        <v>6.2311557788944727</v>
      </c>
      <c r="N354" s="13">
        <f ca="1"/>
        <v>99.857560601416424</v>
      </c>
      <c r="O354" s="13">
        <f ca="1"/>
        <v>0.53884887171504192</v>
      </c>
      <c r="P354" s="13">
        <f ca="1"/>
        <v>3</v>
      </c>
      <c r="Q354" s="13">
        <f ca="1"/>
        <v>2</v>
      </c>
      <c r="R354" s="13">
        <f ca="1"/>
        <v>-2</v>
      </c>
      <c r="S354" s="13">
        <f ca="1"/>
        <v>-3</v>
      </c>
    </row>
    <row r="355" spans="1:19">
      <c r="A355" s="13">
        <f ca="1"/>
        <v>6.3316582914572868</v>
      </c>
      <c r="B355" s="13">
        <f ca="1"/>
        <v>100.0932841705654</v>
      </c>
      <c r="D355" s="13">
        <f ca="1"/>
        <v>6.3316582914572868</v>
      </c>
      <c r="E355" s="13">
        <f ca="1"/>
        <v>100.0932841705654</v>
      </c>
      <c r="F355" s="13">
        <f ca="1"/>
        <v>99.383266621277528</v>
      </c>
      <c r="G355" s="13">
        <f ca="1"/>
        <v>103.56534623381661</v>
      </c>
      <c r="H355" s="13">
        <f ca="1"/>
        <v>102.17131969630358</v>
      </c>
      <c r="I355" s="13">
        <f ca="1"/>
        <v>96.595213546251472</v>
      </c>
      <c r="J355" s="13">
        <f ca="1"/>
        <v>95.201187008738444</v>
      </c>
      <c r="M355" s="13">
        <f ca="1"/>
        <v>6.3316582914572868</v>
      </c>
      <c r="N355" s="13">
        <f ca="1"/>
        <v>100.0932841705654</v>
      </c>
      <c r="O355" s="13">
        <f ca="1"/>
        <v>0.50932857458693337</v>
      </c>
      <c r="P355" s="13">
        <f ca="1"/>
        <v>3</v>
      </c>
      <c r="Q355" s="13">
        <f ca="1"/>
        <v>2</v>
      </c>
      <c r="R355" s="13">
        <f ca="1"/>
        <v>-2</v>
      </c>
      <c r="S355" s="13">
        <f ca="1"/>
        <v>-3</v>
      </c>
    </row>
    <row r="356" spans="1:19">
      <c r="A356" s="13">
        <f ca="1"/>
        <v>6.4321608040201008</v>
      </c>
      <c r="B356" s="13">
        <f ca="1"/>
        <v>99.271056144860182</v>
      </c>
      <c r="D356" s="13">
        <f ca="1"/>
        <v>6.4321608040201008</v>
      </c>
      <c r="E356" s="13">
        <f ca="1"/>
        <v>99.271056144860182</v>
      </c>
      <c r="F356" s="13">
        <f ca="1"/>
        <v>99.355214002173199</v>
      </c>
      <c r="G356" s="13">
        <f ca="1"/>
        <v>102.93954250576131</v>
      </c>
      <c r="H356" s="13">
        <f ca="1"/>
        <v>101.74476633789861</v>
      </c>
      <c r="I356" s="13">
        <f ca="1"/>
        <v>96.965661666447787</v>
      </c>
      <c r="J356" s="13">
        <f ca="1"/>
        <v>95.770885498585088</v>
      </c>
      <c r="M356" s="13">
        <f ca="1"/>
        <v>6.4321608040201008</v>
      </c>
      <c r="N356" s="13">
        <f ca="1"/>
        <v>99.271056144860182</v>
      </c>
      <c r="O356" s="13">
        <f ca="1"/>
        <v>-7.0438178779179697E-2</v>
      </c>
      <c r="P356" s="13">
        <f ca="1"/>
        <v>3</v>
      </c>
      <c r="Q356" s="13">
        <f ca="1"/>
        <v>2</v>
      </c>
      <c r="R356" s="13">
        <f ca="1"/>
        <v>-2</v>
      </c>
      <c r="S356" s="13">
        <f ca="1"/>
        <v>-3</v>
      </c>
    </row>
    <row r="357" spans="1:19">
      <c r="A357" s="13">
        <f ca="1"/>
        <v>6.5326633165829149</v>
      </c>
      <c r="B357" s="13">
        <f ca="1"/>
        <v>98.879784311481487</v>
      </c>
      <c r="D357" s="13">
        <f ca="1"/>
        <v>6.5326633165829149</v>
      </c>
      <c r="E357" s="13">
        <f ca="1"/>
        <v>98.879784311481487</v>
      </c>
      <c r="F357" s="13">
        <f ca="1"/>
        <v>99.236356579500281</v>
      </c>
      <c r="G357" s="13">
        <f ca="1"/>
        <v>102.85016875959469</v>
      </c>
      <c r="H357" s="13">
        <f ca="1"/>
        <v>101.64556469956322</v>
      </c>
      <c r="I357" s="13">
        <f ca="1"/>
        <v>96.827148459437339</v>
      </c>
      <c r="J357" s="13">
        <f ca="1"/>
        <v>95.622544399405868</v>
      </c>
      <c r="M357" s="13">
        <f ca="1"/>
        <v>6.5326633165829149</v>
      </c>
      <c r="N357" s="13">
        <f ca="1"/>
        <v>98.879784311481487</v>
      </c>
      <c r="O357" s="13">
        <f ca="1"/>
        <v>-0.29600785839081362</v>
      </c>
      <c r="P357" s="13">
        <f ca="1"/>
        <v>3</v>
      </c>
      <c r="Q357" s="13">
        <f ca="1"/>
        <v>2</v>
      </c>
      <c r="R357" s="13">
        <f ca="1"/>
        <v>-2</v>
      </c>
      <c r="S357" s="13">
        <f ca="1"/>
        <v>-3</v>
      </c>
    </row>
    <row r="358" spans="1:19">
      <c r="A358" s="13">
        <f ca="1"/>
        <v>6.6331658291457289</v>
      </c>
      <c r="B358" s="13">
        <f ca="1"/>
        <v>98.356338532218913</v>
      </c>
      <c r="D358" s="13">
        <f ca="1"/>
        <v>6.6331658291457289</v>
      </c>
      <c r="E358" s="13">
        <f ca="1"/>
        <v>98.356338532218913</v>
      </c>
      <c r="F358" s="13">
        <f ca="1"/>
        <v>99.016352067679932</v>
      </c>
      <c r="G358" s="13">
        <f ca="1"/>
        <v>101.59316949544713</v>
      </c>
      <c r="H358" s="13">
        <f ca="1"/>
        <v>100.73423035285806</v>
      </c>
      <c r="I358" s="13">
        <f ca="1"/>
        <v>97.298473782501802</v>
      </c>
      <c r="J358" s="13">
        <f ca="1"/>
        <v>96.439534639912736</v>
      </c>
      <c r="M358" s="13">
        <f ca="1"/>
        <v>6.6331658291457289</v>
      </c>
      <c r="N358" s="13">
        <f ca="1"/>
        <v>98.356338532218913</v>
      </c>
      <c r="O358" s="13">
        <f ca="1"/>
        <v>-0.76840546988179537</v>
      </c>
      <c r="P358" s="13">
        <f ca="1"/>
        <v>3</v>
      </c>
      <c r="Q358" s="13">
        <f ca="1"/>
        <v>2</v>
      </c>
      <c r="R358" s="13">
        <f ca="1"/>
        <v>-2</v>
      </c>
      <c r="S358" s="13">
        <f ca="1"/>
        <v>-3</v>
      </c>
    </row>
    <row r="359" spans="1:19">
      <c r="A359" s="13">
        <f ca="1"/>
        <v>6.733668341708543</v>
      </c>
      <c r="B359" s="13">
        <f ca="1"/>
        <v>98.438875424783674</v>
      </c>
      <c r="D359" s="13">
        <f ca="1"/>
        <v>6.733668341708543</v>
      </c>
      <c r="E359" s="13">
        <f ca="1"/>
        <v>98.438875424783674</v>
      </c>
      <c r="F359" s="13">
        <f ca="1"/>
        <v>98.871982906955878</v>
      </c>
      <c r="G359" s="13">
        <f ca="1"/>
        <v>101.32635126981532</v>
      </c>
      <c r="H359" s="13">
        <f ca="1"/>
        <v>100.50822848219551</v>
      </c>
      <c r="I359" s="13">
        <f ca="1"/>
        <v>97.235737331716251</v>
      </c>
      <c r="J359" s="13">
        <f ca="1"/>
        <v>96.417614544096438</v>
      </c>
      <c r="M359" s="13">
        <f ca="1"/>
        <v>6.733668341708543</v>
      </c>
      <c r="N359" s="13">
        <f ca="1"/>
        <v>98.438875424783674</v>
      </c>
      <c r="O359" s="13">
        <f ca="1"/>
        <v>-0.52939178412601795</v>
      </c>
      <c r="P359" s="13">
        <f ca="1"/>
        <v>3</v>
      </c>
      <c r="Q359" s="13">
        <f ca="1"/>
        <v>2</v>
      </c>
      <c r="R359" s="13">
        <f ca="1"/>
        <v>-2</v>
      </c>
      <c r="S359" s="13">
        <f ca="1"/>
        <v>-3</v>
      </c>
    </row>
    <row r="360" spans="1:19">
      <c r="A360" s="13">
        <f ca="1"/>
        <v>6.8341708542713571</v>
      </c>
      <c r="B360" s="13">
        <f ca="1"/>
        <v>98.223020894549734</v>
      </c>
      <c r="D360" s="13">
        <f ca="1"/>
        <v>6.8341708542713571</v>
      </c>
      <c r="E360" s="13">
        <f ca="1"/>
        <v>98.223020894549734</v>
      </c>
      <c r="F360" s="13">
        <f ca="1"/>
        <v>98.709742403854349</v>
      </c>
      <c r="G360" s="13">
        <f ca="1"/>
        <v>101.16254371425565</v>
      </c>
      <c r="H360" s="13">
        <f ca="1"/>
        <v>100.34494327745522</v>
      </c>
      <c r="I360" s="13">
        <f ca="1"/>
        <v>97.074541530253484</v>
      </c>
      <c r="J360" s="13">
        <f ca="1"/>
        <v>96.256941093453051</v>
      </c>
      <c r="M360" s="13">
        <f ca="1"/>
        <v>6.8341708542713571</v>
      </c>
      <c r="N360" s="13">
        <f ca="1"/>
        <v>98.223020894549734</v>
      </c>
      <c r="O360" s="13">
        <f ca="1"/>
        <v>-0.59530485478864525</v>
      </c>
      <c r="P360" s="13">
        <f ca="1"/>
        <v>3</v>
      </c>
      <c r="Q360" s="13">
        <f ca="1"/>
        <v>2</v>
      </c>
      <c r="R360" s="13">
        <f ca="1"/>
        <v>-2</v>
      </c>
      <c r="S360" s="13">
        <f ca="1"/>
        <v>-3</v>
      </c>
    </row>
    <row r="361" spans="1:19">
      <c r="A361" s="13">
        <f ca="1"/>
        <v>6.9346733668341711</v>
      </c>
      <c r="B361" s="13">
        <f ca="1"/>
        <v>96.243644354390284</v>
      </c>
      <c r="D361" s="13">
        <f ca="1"/>
        <v>6.9346733668341711</v>
      </c>
      <c r="E361" s="13">
        <f ca="1"/>
        <v>96.243644354390284</v>
      </c>
      <c r="F361" s="13">
        <f ca="1"/>
        <v>98.093217891488337</v>
      </c>
      <c r="G361" s="13">
        <f ca="1"/>
        <v>101.89441589254817</v>
      </c>
      <c r="H361" s="13">
        <f ca="1"/>
        <v>100.62734989219489</v>
      </c>
      <c r="I361" s="13">
        <f ca="1"/>
        <v>95.559085890781787</v>
      </c>
      <c r="J361" s="13">
        <f ca="1"/>
        <v>94.292019890428506</v>
      </c>
      <c r="M361" s="13">
        <f ca="1"/>
        <v>6.9346733668341711</v>
      </c>
      <c r="N361" s="13">
        <f ca="1"/>
        <v>96.243644354390284</v>
      </c>
      <c r="O361" s="13">
        <f ca="1"/>
        <v>-1.4597294352325496</v>
      </c>
      <c r="P361" s="13">
        <f ca="1"/>
        <v>3</v>
      </c>
      <c r="Q361" s="13">
        <f ca="1"/>
        <v>2</v>
      </c>
      <c r="R361" s="13">
        <f ca="1"/>
        <v>-2</v>
      </c>
      <c r="S361" s="13">
        <f ca="1"/>
        <v>-3</v>
      </c>
    </row>
    <row r="362" spans="1:19">
      <c r="A362" s="13">
        <f ca="1"/>
        <v>7.0351758793969852</v>
      </c>
      <c r="B362" s="13">
        <f ca="1"/>
        <v>97.983173718045165</v>
      </c>
      <c r="D362" s="13">
        <f ca="1"/>
        <v>7.0351758793969852</v>
      </c>
      <c r="E362" s="13">
        <f ca="1"/>
        <v>97.983173718045165</v>
      </c>
      <c r="F362" s="13">
        <f ca="1"/>
        <v>98.065706848127547</v>
      </c>
      <c r="G362" s="13">
        <f ca="1"/>
        <v>100.98737976712181</v>
      </c>
      <c r="H362" s="13">
        <f ca="1"/>
        <v>100.01348879412372</v>
      </c>
      <c r="I362" s="13">
        <f ca="1"/>
        <v>96.117924902131378</v>
      </c>
      <c r="J362" s="13">
        <f ca="1"/>
        <v>95.144033929133286</v>
      </c>
      <c r="M362" s="13">
        <f ca="1"/>
        <v>7.0351758793969852</v>
      </c>
      <c r="N362" s="13">
        <f ca="1"/>
        <v>97.983173718045165</v>
      </c>
      <c r="O362" s="13">
        <f ca="1"/>
        <v>-8.474575940293072E-2</v>
      </c>
      <c r="P362" s="13">
        <f ca="1"/>
        <v>3</v>
      </c>
      <c r="Q362" s="13">
        <f ca="1"/>
        <v>2</v>
      </c>
      <c r="R362" s="13">
        <f ca="1"/>
        <v>-2</v>
      </c>
      <c r="S362" s="13">
        <f ca="1"/>
        <v>-3</v>
      </c>
    </row>
    <row r="363" spans="1:19">
      <c r="A363" s="13">
        <f ca="1"/>
        <v>7.1356783919597992</v>
      </c>
      <c r="B363" s="13">
        <f ca="1"/>
        <v>97.930892879987496</v>
      </c>
      <c r="D363" s="13">
        <f ca="1"/>
        <v>7.1356783919597992</v>
      </c>
      <c r="E363" s="13">
        <f ca="1"/>
        <v>97.930892879987496</v>
      </c>
      <c r="F363" s="13">
        <f ca="1"/>
        <v>98.032003356092531</v>
      </c>
      <c r="G363" s="13">
        <f ca="1"/>
        <v>100.55295377685805</v>
      </c>
      <c r="H363" s="13">
        <f ca="1"/>
        <v>99.712636969936213</v>
      </c>
      <c r="I363" s="13">
        <f ca="1"/>
        <v>96.351369742248849</v>
      </c>
      <c r="J363" s="13">
        <f ca="1"/>
        <v>95.511052935327015</v>
      </c>
      <c r="M363" s="13">
        <f ca="1"/>
        <v>7.1356783919597992</v>
      </c>
      <c r="N363" s="13">
        <f ca="1"/>
        <v>97.930892879987496</v>
      </c>
      <c r="O363" s="13">
        <f ca="1"/>
        <v>-0.12032423399385792</v>
      </c>
      <c r="P363" s="13">
        <f ca="1"/>
        <v>3</v>
      </c>
      <c r="Q363" s="13">
        <f ca="1"/>
        <v>2</v>
      </c>
      <c r="R363" s="13">
        <f ca="1"/>
        <v>-2</v>
      </c>
      <c r="S363" s="13">
        <f ca="1"/>
        <v>-3</v>
      </c>
    </row>
    <row r="364" spans="1:19">
      <c r="A364" s="13">
        <f ca="1"/>
        <v>7.2361809045226133</v>
      </c>
      <c r="B364" s="13">
        <f ca="1"/>
        <v>98.250199902076886</v>
      </c>
      <c r="D364" s="13">
        <f ca="1"/>
        <v>7.2361809045226133</v>
      </c>
      <c r="E364" s="13">
        <f ca="1"/>
        <v>98.250199902076886</v>
      </c>
      <c r="F364" s="13">
        <f ca="1"/>
        <v>98.086552492588609</v>
      </c>
      <c r="G364" s="13">
        <f ca="1"/>
        <v>100.43395985400508</v>
      </c>
      <c r="H364" s="13">
        <f ca="1"/>
        <v>99.651490733532924</v>
      </c>
      <c r="I364" s="13">
        <f ca="1"/>
        <v>96.521614251644294</v>
      </c>
      <c r="J364" s="13">
        <f ca="1"/>
        <v>95.739145131172137</v>
      </c>
      <c r="M364" s="13">
        <f ca="1"/>
        <v>7.2361809045226133</v>
      </c>
      <c r="N364" s="13">
        <f ca="1"/>
        <v>98.250199902076886</v>
      </c>
      <c r="O364" s="13">
        <f ca="1"/>
        <v>0.20914232294499885</v>
      </c>
      <c r="P364" s="13">
        <f ca="1"/>
        <v>3</v>
      </c>
      <c r="Q364" s="13">
        <f ca="1"/>
        <v>2</v>
      </c>
      <c r="R364" s="13">
        <f ca="1"/>
        <v>-2</v>
      </c>
      <c r="S364" s="13">
        <f ca="1"/>
        <v>-3</v>
      </c>
    </row>
    <row r="365" spans="1:19">
      <c r="A365" s="13">
        <f ca="1"/>
        <v>7.3366834170854274</v>
      </c>
      <c r="B365" s="13">
        <f ca="1"/>
        <v>99.801095636987498</v>
      </c>
      <c r="D365" s="13">
        <f ca="1"/>
        <v>7.3366834170854274</v>
      </c>
      <c r="E365" s="13">
        <f ca="1"/>
        <v>99.801095636987498</v>
      </c>
      <c r="F365" s="13">
        <f ca="1"/>
        <v>98.515188278688328</v>
      </c>
      <c r="G365" s="13">
        <f ca="1"/>
        <v>101.89142458815792</v>
      </c>
      <c r="H365" s="13">
        <f ca="1"/>
        <v>100.76601248500138</v>
      </c>
      <c r="I365" s="13">
        <f ca="1"/>
        <v>96.264364072375272</v>
      </c>
      <c r="J365" s="13">
        <f ca="1"/>
        <v>95.138951969218738</v>
      </c>
      <c r="M365" s="13">
        <f ca="1"/>
        <v>7.3366834170854274</v>
      </c>
      <c r="N365" s="13">
        <f ca="1"/>
        <v>99.801095636987498</v>
      </c>
      <c r="O365" s="13">
        <f ca="1"/>
        <v>1.1426102089114605</v>
      </c>
      <c r="P365" s="13">
        <f ca="1"/>
        <v>3</v>
      </c>
      <c r="Q365" s="13">
        <f ca="1"/>
        <v>2</v>
      </c>
      <c r="R365" s="13">
        <f ca="1"/>
        <v>-2</v>
      </c>
      <c r="S365" s="13">
        <f ca="1"/>
        <v>-3</v>
      </c>
    </row>
    <row r="366" spans="1:19">
      <c r="A366" s="13">
        <f ca="1"/>
        <v>7.4371859296482414</v>
      </c>
      <c r="B366" s="13">
        <f ca="1"/>
        <v>98.15051225113298</v>
      </c>
      <c r="D366" s="13">
        <f ca="1"/>
        <v>7.4371859296482414</v>
      </c>
      <c r="E366" s="13">
        <f ca="1"/>
        <v>98.15051225113298</v>
      </c>
      <c r="F366" s="13">
        <f ca="1"/>
        <v>98.42401927179948</v>
      </c>
      <c r="G366" s="13">
        <f ca="1"/>
        <v>101.71794826645647</v>
      </c>
      <c r="H366" s="13">
        <f ca="1"/>
        <v>100.61997193490414</v>
      </c>
      <c r="I366" s="13">
        <f ca="1"/>
        <v>96.228066608694817</v>
      </c>
      <c r="J366" s="13">
        <f ca="1"/>
        <v>95.130090277142486</v>
      </c>
      <c r="M366" s="13">
        <f ca="1"/>
        <v>7.4371859296482414</v>
      </c>
      <c r="N366" s="13">
        <f ca="1"/>
        <v>98.15051225113298</v>
      </c>
      <c r="O366" s="13">
        <f ca="1"/>
        <v>-0.2491010168496185</v>
      </c>
      <c r="P366" s="13">
        <f ca="1"/>
        <v>3</v>
      </c>
      <c r="Q366" s="13">
        <f ca="1"/>
        <v>2</v>
      </c>
      <c r="R366" s="13">
        <f ca="1"/>
        <v>-2</v>
      </c>
      <c r="S366" s="13">
        <f ca="1"/>
        <v>-3</v>
      </c>
    </row>
    <row r="367" spans="1:19">
      <c r="A367" s="13">
        <f ca="1"/>
        <v>7.5376884422110555</v>
      </c>
      <c r="B367" s="13">
        <f ca="1"/>
        <v>98.148040951591355</v>
      </c>
      <c r="D367" s="13">
        <f ca="1"/>
        <v>7.5376884422110555</v>
      </c>
      <c r="E367" s="13">
        <f ca="1"/>
        <v>98.148040951591355</v>
      </c>
      <c r="F367" s="13">
        <f ca="1"/>
        <v>98.355024691747445</v>
      </c>
      <c r="G367" s="13">
        <f ca="1"/>
        <v>101.5867885038833</v>
      </c>
      <c r="H367" s="13">
        <f ca="1"/>
        <v>100.50953389983802</v>
      </c>
      <c r="I367" s="13">
        <f ca="1"/>
        <v>96.200515483656872</v>
      </c>
      <c r="J367" s="13">
        <f ca="1"/>
        <v>95.123260879611593</v>
      </c>
      <c r="M367" s="13">
        <f ca="1"/>
        <v>7.5376884422110555</v>
      </c>
      <c r="N367" s="13">
        <f ca="1"/>
        <v>98.148040951591355</v>
      </c>
      <c r="O367" s="13">
        <f ca="1"/>
        <v>-0.1921400376279008</v>
      </c>
      <c r="P367" s="13">
        <f ca="1"/>
        <v>3</v>
      </c>
      <c r="Q367" s="13">
        <f ca="1"/>
        <v>2</v>
      </c>
      <c r="R367" s="13">
        <f ca="1"/>
        <v>-2</v>
      </c>
      <c r="S367" s="13">
        <f ca="1"/>
        <v>-3</v>
      </c>
    </row>
    <row r="368" spans="1:19">
      <c r="A368" s="13">
        <f ca="1"/>
        <v>7.6381909547738696</v>
      </c>
      <c r="B368" s="13">
        <f ca="1"/>
        <v>98.374115587441722</v>
      </c>
      <c r="D368" s="13">
        <f ca="1"/>
        <v>7.6381909547738696</v>
      </c>
      <c r="E368" s="13">
        <f ca="1"/>
        <v>98.374115587441722</v>
      </c>
      <c r="F368" s="13">
        <f ca="1"/>
        <v>98.359797415671025</v>
      </c>
      <c r="G368" s="13">
        <f ca="1"/>
        <v>100.29783873810874</v>
      </c>
      <c r="H368" s="13">
        <f ca="1"/>
        <v>99.651824963962838</v>
      </c>
      <c r="I368" s="13">
        <f ca="1"/>
        <v>97.067769867379212</v>
      </c>
      <c r="J368" s="13">
        <f ca="1"/>
        <v>96.421756093233313</v>
      </c>
      <c r="M368" s="13">
        <f ca="1"/>
        <v>7.6381909547738696</v>
      </c>
      <c r="N368" s="13">
        <f ca="1"/>
        <v>98.374115587441722</v>
      </c>
      <c r="O368" s="13">
        <f ca="1"/>
        <v>2.2163880003374024E-2</v>
      </c>
      <c r="P368" s="13">
        <f ca="1"/>
        <v>3</v>
      </c>
      <c r="Q368" s="13">
        <f ca="1"/>
        <v>2</v>
      </c>
      <c r="R368" s="13">
        <f ca="1"/>
        <v>-2</v>
      </c>
      <c r="S368" s="13">
        <f ca="1"/>
        <v>-3</v>
      </c>
    </row>
    <row r="369" spans="1:19">
      <c r="A369" s="13">
        <f ca="1"/>
        <v>7.7386934673366836</v>
      </c>
      <c r="B369" s="13">
        <f ca="1"/>
        <v>96.438507698359103</v>
      </c>
      <c r="D369" s="13">
        <f ca="1"/>
        <v>7.7386934673366836</v>
      </c>
      <c r="E369" s="13">
        <f ca="1"/>
        <v>96.438507698359103</v>
      </c>
      <c r="F369" s="13">
        <f ca="1"/>
        <v>97.879474986343041</v>
      </c>
      <c r="G369" s="13">
        <f ca="1"/>
        <v>100.95340202202692</v>
      </c>
      <c r="H369" s="13">
        <f ca="1"/>
        <v>99.928759676798961</v>
      </c>
      <c r="I369" s="13">
        <f ca="1"/>
        <v>95.830190295887121</v>
      </c>
      <c r="J369" s="13">
        <f ca="1"/>
        <v>94.805547950659161</v>
      </c>
      <c r="M369" s="13">
        <f ca="1"/>
        <v>7.7386934673366836</v>
      </c>
      <c r="N369" s="13">
        <f ca="1"/>
        <v>96.438507698359103</v>
      </c>
      <c r="O369" s="13">
        <f ca="1"/>
        <v>-1.4063124510663794</v>
      </c>
      <c r="P369" s="13">
        <f ca="1"/>
        <v>3</v>
      </c>
      <c r="Q369" s="13">
        <f ca="1"/>
        <v>2</v>
      </c>
      <c r="R369" s="13">
        <f ca="1"/>
        <v>-2</v>
      </c>
      <c r="S369" s="13">
        <f ca="1"/>
        <v>-3</v>
      </c>
    </row>
    <row r="370" spans="1:19">
      <c r="A370" s="13">
        <f ca="1"/>
        <v>7.8391959798994977</v>
      </c>
      <c r="B370" s="13">
        <f ca="1"/>
        <v>97.672405439164933</v>
      </c>
      <c r="D370" s="13">
        <f ca="1"/>
        <v>7.8391959798994977</v>
      </c>
      <c r="E370" s="13">
        <f ca="1"/>
        <v>97.672405439164933</v>
      </c>
      <c r="F370" s="13">
        <f ca="1"/>
        <v>97.827707599548518</v>
      </c>
      <c r="G370" s="13">
        <f ca="1"/>
        <v>100.9579152301786</v>
      </c>
      <c r="H370" s="13">
        <f ca="1"/>
        <v>99.914512686635248</v>
      </c>
      <c r="I370" s="13">
        <f ca="1"/>
        <v>95.740902512461787</v>
      </c>
      <c r="J370" s="13">
        <f ca="1"/>
        <v>94.697499968918436</v>
      </c>
      <c r="M370" s="13">
        <f ca="1"/>
        <v>7.8391959798994977</v>
      </c>
      <c r="N370" s="13">
        <f ca="1"/>
        <v>97.672405439164933</v>
      </c>
      <c r="O370" s="13">
        <f ca="1"/>
        <v>-0.14884203737531945</v>
      </c>
      <c r="P370" s="13">
        <f ca="1"/>
        <v>3</v>
      </c>
      <c r="Q370" s="13">
        <f ca="1"/>
        <v>2</v>
      </c>
      <c r="R370" s="13">
        <f ca="1"/>
        <v>-2</v>
      </c>
      <c r="S370" s="13">
        <f ca="1"/>
        <v>-3</v>
      </c>
    </row>
    <row r="371" spans="1:19">
      <c r="A371" s="13">
        <f ca="1"/>
        <v>7.9396984924623117</v>
      </c>
      <c r="B371" s="13">
        <f ca="1"/>
        <v>97.238870644448809</v>
      </c>
      <c r="D371" s="13">
        <f ca="1"/>
        <v>7.9396984924623117</v>
      </c>
      <c r="E371" s="13">
        <f ca="1"/>
        <v>97.238870644448809</v>
      </c>
      <c r="F371" s="13">
        <f ca="1"/>
        <v>97.680498360773598</v>
      </c>
      <c r="G371" s="13">
        <f ca="1"/>
        <v>100.9565908816986</v>
      </c>
      <c r="H371" s="13">
        <f ca="1"/>
        <v>99.864560041390263</v>
      </c>
      <c r="I371" s="13">
        <f ca="1"/>
        <v>95.496436680156933</v>
      </c>
      <c r="J371" s="13">
        <f ca="1"/>
        <v>94.404405839848593</v>
      </c>
      <c r="M371" s="13">
        <f ca="1"/>
        <v>7.9396984924623117</v>
      </c>
      <c r="N371" s="13">
        <f ca="1"/>
        <v>97.238870644448809</v>
      </c>
      <c r="O371" s="13">
        <f ca="1"/>
        <v>-0.40440956429407765</v>
      </c>
      <c r="P371" s="13">
        <f ca="1"/>
        <v>3</v>
      </c>
      <c r="Q371" s="13">
        <f ca="1"/>
        <v>2</v>
      </c>
      <c r="R371" s="13">
        <f ca="1"/>
        <v>-2</v>
      </c>
      <c r="S371" s="13">
        <f ca="1"/>
        <v>-3</v>
      </c>
    </row>
    <row r="372" spans="1:19">
      <c r="A372" s="13">
        <f ca="1"/>
        <v>8.0402010050251267</v>
      </c>
      <c r="B372" s="13">
        <f ca="1"/>
        <v>99.116103354731734</v>
      </c>
      <c r="D372" s="13">
        <f ca="1"/>
        <v>8.0402010050251267</v>
      </c>
      <c r="E372" s="13">
        <f ca="1"/>
        <v>99.116103354731734</v>
      </c>
      <c r="F372" s="13">
        <f ca="1"/>
        <v>98.039399609263143</v>
      </c>
      <c r="G372" s="13">
        <f ca="1"/>
        <v>100.67583497452181</v>
      </c>
      <c r="H372" s="13">
        <f ca="1"/>
        <v>99.797023186102251</v>
      </c>
      <c r="I372" s="13">
        <f ca="1"/>
        <v>96.281776032424034</v>
      </c>
      <c r="J372" s="13">
        <f ca="1"/>
        <v>95.40296424400448</v>
      </c>
      <c r="M372" s="13">
        <f ca="1"/>
        <v>8.0402010050251267</v>
      </c>
      <c r="N372" s="13">
        <f ca="1"/>
        <v>99.116103354731734</v>
      </c>
      <c r="O372" s="13">
        <f ca="1"/>
        <v>1.2251812727784659</v>
      </c>
      <c r="P372" s="13">
        <f ca="1"/>
        <v>3</v>
      </c>
      <c r="Q372" s="13">
        <f ca="1"/>
        <v>2</v>
      </c>
      <c r="R372" s="13">
        <f ca="1"/>
        <v>-2</v>
      </c>
      <c r="S372" s="13">
        <f ca="1"/>
        <v>-3</v>
      </c>
    </row>
    <row r="373" spans="1:19">
      <c r="A373" s="13">
        <f ca="1"/>
        <v>8.1407035175879408</v>
      </c>
      <c r="B373" s="13">
        <f ca="1"/>
        <v>97.818005556523957</v>
      </c>
      <c r="D373" s="13">
        <f ca="1"/>
        <v>8.1407035175879408</v>
      </c>
      <c r="E373" s="13">
        <f ca="1"/>
        <v>97.818005556523957</v>
      </c>
      <c r="F373" s="13">
        <f ca="1"/>
        <v>97.98405109607836</v>
      </c>
      <c r="G373" s="13">
        <f ca="1"/>
        <v>100.5905653583238</v>
      </c>
      <c r="H373" s="13">
        <f ca="1"/>
        <v>99.721727270908659</v>
      </c>
      <c r="I373" s="13">
        <f ca="1"/>
        <v>96.246374921248062</v>
      </c>
      <c r="J373" s="13">
        <f ca="1"/>
        <v>95.37753683383292</v>
      </c>
      <c r="M373" s="13">
        <f ca="1"/>
        <v>8.1407035175879408</v>
      </c>
      <c r="N373" s="13">
        <f ca="1"/>
        <v>97.818005556523957</v>
      </c>
      <c r="O373" s="13">
        <f ca="1"/>
        <v>-0.19111217839033781</v>
      </c>
      <c r="P373" s="13">
        <f ca="1"/>
        <v>3</v>
      </c>
      <c r="Q373" s="13">
        <f ca="1"/>
        <v>2</v>
      </c>
      <c r="R373" s="13">
        <f ca="1"/>
        <v>-2</v>
      </c>
      <c r="S373" s="13">
        <f ca="1"/>
        <v>-3</v>
      </c>
    </row>
    <row r="374" spans="1:19">
      <c r="A374" s="13">
        <f ca="1"/>
        <v>8.2412060301507548</v>
      </c>
      <c r="B374" s="13">
        <f ca="1"/>
        <v>96.951347223192485</v>
      </c>
      <c r="D374" s="13">
        <f ca="1"/>
        <v>8.2412060301507548</v>
      </c>
      <c r="E374" s="13">
        <f ca="1"/>
        <v>96.951347223192485</v>
      </c>
      <c r="F374" s="13">
        <f ca="1"/>
        <v>97.725875127856895</v>
      </c>
      <c r="G374" s="13">
        <f ca="1"/>
        <v>100.42550815298253</v>
      </c>
      <c r="H374" s="13">
        <f ca="1"/>
        <v>99.525630477940652</v>
      </c>
      <c r="I374" s="13">
        <f ca="1"/>
        <v>95.926119777773138</v>
      </c>
      <c r="J374" s="13">
        <f ca="1"/>
        <v>95.02624210273126</v>
      </c>
      <c r="M374" s="13">
        <f ca="1"/>
        <v>8.2412060301507548</v>
      </c>
      <c r="N374" s="13">
        <f ca="1"/>
        <v>96.951347223192485</v>
      </c>
      <c r="O374" s="13">
        <f ca="1"/>
        <v>-0.86070354465496035</v>
      </c>
      <c r="P374" s="13">
        <f ca="1"/>
        <v>3</v>
      </c>
      <c r="Q374" s="13">
        <f ca="1"/>
        <v>2</v>
      </c>
      <c r="R374" s="13">
        <f ca="1"/>
        <v>-2</v>
      </c>
      <c r="S374" s="13">
        <f ca="1"/>
        <v>-3</v>
      </c>
    </row>
    <row r="375" spans="1:19">
      <c r="A375" s="13">
        <f ca="1"/>
        <v>8.3417085427135689</v>
      </c>
      <c r="B375" s="13">
        <f ca="1"/>
        <v>99.141677344243661</v>
      </c>
      <c r="D375" s="13">
        <f ca="1"/>
        <v>8.3417085427135689</v>
      </c>
      <c r="E375" s="13">
        <f ca="1"/>
        <v>99.141677344243661</v>
      </c>
      <c r="F375" s="13">
        <f ca="1"/>
        <v>98.079825681953579</v>
      </c>
      <c r="G375" s="13">
        <f ca="1"/>
        <v>101.34567973496569</v>
      </c>
      <c r="H375" s="13">
        <f ca="1"/>
        <v>100.25706171729499</v>
      </c>
      <c r="I375" s="13">
        <f ca="1"/>
        <v>95.902589646612171</v>
      </c>
      <c r="J375" s="13">
        <f ca="1"/>
        <v>94.813971628941474</v>
      </c>
      <c r="M375" s="13">
        <f ca="1"/>
        <v>8.3417085427135689</v>
      </c>
      <c r="N375" s="13">
        <f ca="1"/>
        <v>99.141677344243661</v>
      </c>
      <c r="O375" s="13">
        <f ca="1"/>
        <v>0.97541253686220053</v>
      </c>
      <c r="P375" s="13">
        <f ca="1"/>
        <v>3</v>
      </c>
      <c r="Q375" s="13">
        <f ca="1"/>
        <v>2</v>
      </c>
      <c r="R375" s="13">
        <f ca="1"/>
        <v>-2</v>
      </c>
      <c r="S375" s="13">
        <f ca="1"/>
        <v>-3</v>
      </c>
    </row>
    <row r="376" spans="1:19">
      <c r="A376" s="13">
        <f ca="1"/>
        <v>8.4422110552763829</v>
      </c>
      <c r="B376" s="13">
        <f ca="1"/>
        <v>97.663924774051367</v>
      </c>
      <c r="D376" s="13">
        <f ca="1"/>
        <v>8.4422110552763829</v>
      </c>
      <c r="E376" s="13">
        <f ca="1"/>
        <v>97.663924774051367</v>
      </c>
      <c r="F376" s="13">
        <f ca="1"/>
        <v>97.97585045497803</v>
      </c>
      <c r="G376" s="13">
        <f ca="1"/>
        <v>100.56419934303666</v>
      </c>
      <c r="H376" s="13">
        <f ca="1"/>
        <v>99.701416380350452</v>
      </c>
      <c r="I376" s="13">
        <f ca="1"/>
        <v>96.250284529605608</v>
      </c>
      <c r="J376" s="13">
        <f ca="1"/>
        <v>95.387501566919397</v>
      </c>
      <c r="M376" s="13">
        <f ca="1"/>
        <v>8.4422110552763829</v>
      </c>
      <c r="N376" s="13">
        <f ca="1"/>
        <v>97.663924774051367</v>
      </c>
      <c r="O376" s="13">
        <f ca="1"/>
        <v>-0.36153435384897453</v>
      </c>
      <c r="P376" s="13">
        <f ca="1"/>
        <v>3</v>
      </c>
      <c r="Q376" s="13">
        <f ca="1"/>
        <v>2</v>
      </c>
      <c r="R376" s="13">
        <f ca="1"/>
        <v>-2</v>
      </c>
      <c r="S376" s="13">
        <f ca="1"/>
        <v>-3</v>
      </c>
    </row>
    <row r="377" spans="1:19">
      <c r="A377" s="13">
        <f ca="1"/>
        <v>8.542713567839197</v>
      </c>
      <c r="B377" s="13">
        <f ca="1"/>
        <v>99.444053647343011</v>
      </c>
      <c r="D377" s="13">
        <f ca="1"/>
        <v>8.542713567839197</v>
      </c>
      <c r="E377" s="13">
        <f ca="1"/>
        <v>99.444053647343011</v>
      </c>
      <c r="F377" s="13">
        <f ca="1"/>
        <v>98.342901253069272</v>
      </c>
      <c r="G377" s="13">
        <f ca="1"/>
        <v>101.4267913492166</v>
      </c>
      <c r="H377" s="13">
        <f ca="1"/>
        <v>100.39882798383417</v>
      </c>
      <c r="I377" s="13">
        <f ca="1"/>
        <v>96.286974522304376</v>
      </c>
      <c r="J377" s="13">
        <f ca="1"/>
        <v>95.259011156921943</v>
      </c>
      <c r="M377" s="13">
        <f ca="1"/>
        <v>8.542713567839197</v>
      </c>
      <c r="N377" s="13">
        <f ca="1"/>
        <v>99.444053647343011</v>
      </c>
      <c r="O377" s="13">
        <f ca="1"/>
        <v>1.071198090667429</v>
      </c>
      <c r="P377" s="13">
        <f ca="1"/>
        <v>3</v>
      </c>
      <c r="Q377" s="13">
        <f ca="1"/>
        <v>2</v>
      </c>
      <c r="R377" s="13">
        <f ca="1"/>
        <v>-2</v>
      </c>
      <c r="S377" s="13">
        <f ca="1"/>
        <v>-3</v>
      </c>
    </row>
    <row r="378" spans="1:19">
      <c r="A378" s="13">
        <f ca="1"/>
        <v>8.6432160804020111</v>
      </c>
      <c r="B378" s="13">
        <f ca="1"/>
        <v>98.667373047356094</v>
      </c>
      <c r="D378" s="13">
        <f ca="1"/>
        <v>8.6432160804020111</v>
      </c>
      <c r="E378" s="13">
        <f ca="1"/>
        <v>98.667373047356094</v>
      </c>
      <c r="F378" s="13">
        <f ca="1"/>
        <v>98.424019201640974</v>
      </c>
      <c r="G378" s="13">
        <f ca="1"/>
        <v>101.21887086557803</v>
      </c>
      <c r="H378" s="13">
        <f ca="1"/>
        <v>100.28725364426568</v>
      </c>
      <c r="I378" s="13">
        <f ca="1"/>
        <v>96.560784759016272</v>
      </c>
      <c r="J378" s="13">
        <f ca="1"/>
        <v>95.629167537703921</v>
      </c>
      <c r="M378" s="13">
        <f ca="1"/>
        <v>8.6432160804020111</v>
      </c>
      <c r="N378" s="13">
        <f ca="1"/>
        <v>98.667373047356094</v>
      </c>
      <c r="O378" s="13">
        <f ca="1"/>
        <v>0.26121655992180187</v>
      </c>
      <c r="P378" s="13">
        <f ca="1"/>
        <v>3</v>
      </c>
      <c r="Q378" s="13">
        <f ca="1"/>
        <v>2</v>
      </c>
      <c r="R378" s="13">
        <f ca="1"/>
        <v>-2</v>
      </c>
      <c r="S378" s="13">
        <f ca="1"/>
        <v>-3</v>
      </c>
    </row>
    <row r="379" spans="1:19">
      <c r="A379" s="13">
        <f ca="1"/>
        <v>8.7437185929648251</v>
      </c>
      <c r="B379" s="13">
        <f ca="1"/>
        <v>101.29287043110877</v>
      </c>
      <c r="D379" s="13">
        <f ca="1"/>
        <v>8.7437185929648251</v>
      </c>
      <c r="E379" s="13">
        <f ca="1"/>
        <v>101.29287043110877</v>
      </c>
      <c r="F379" s="13">
        <f ca="1"/>
        <v>99.141232009007922</v>
      </c>
      <c r="G379" s="13">
        <f ca="1"/>
        <v>103.67026363466258</v>
      </c>
      <c r="H379" s="13">
        <f ca="1"/>
        <v>102.16058642611102</v>
      </c>
      <c r="I379" s="13">
        <f ca="1"/>
        <v>96.12187759190482</v>
      </c>
      <c r="J379" s="13">
        <f ca="1"/>
        <v>94.612200383353269</v>
      </c>
      <c r="M379" s="13">
        <f ca="1"/>
        <v>8.7437185929648251</v>
      </c>
      <c r="N379" s="13">
        <f ca="1"/>
        <v>101.29287043110877</v>
      </c>
      <c r="O379" s="13">
        <f ca="1"/>
        <v>1.4252307777536244</v>
      </c>
      <c r="P379" s="13">
        <f ca="1"/>
        <v>3</v>
      </c>
      <c r="Q379" s="13">
        <f ca="1"/>
        <v>2</v>
      </c>
      <c r="R379" s="13">
        <f ca="1"/>
        <v>-2</v>
      </c>
      <c r="S379" s="13">
        <f ca="1"/>
        <v>-3</v>
      </c>
    </row>
    <row r="380" spans="1:19">
      <c r="A380" s="13">
        <f ca="1"/>
        <v>8.8442211055276392</v>
      </c>
      <c r="B380" s="13">
        <f ca="1"/>
        <v>98.398843939077267</v>
      </c>
      <c r="D380" s="13">
        <f ca="1"/>
        <v>8.8442211055276392</v>
      </c>
      <c r="E380" s="13">
        <f ca="1"/>
        <v>98.398843939077267</v>
      </c>
      <c r="F380" s="13">
        <f ca="1"/>
        <v>98.955634991525258</v>
      </c>
      <c r="G380" s="13">
        <f ca="1"/>
        <v>103.16537904713448</v>
      </c>
      <c r="H380" s="13">
        <f ca="1"/>
        <v>101.76213102859806</v>
      </c>
      <c r="I380" s="13">
        <f ca="1"/>
        <v>96.149138954452454</v>
      </c>
      <c r="J380" s="13">
        <f ca="1"/>
        <v>94.745890935916037</v>
      </c>
      <c r="M380" s="13">
        <f ca="1"/>
        <v>8.8442211055276392</v>
      </c>
      <c r="N380" s="13">
        <f ca="1"/>
        <v>98.398843939077267</v>
      </c>
      <c r="O380" s="13">
        <f ca="1"/>
        <v>-0.39678734271702537</v>
      </c>
      <c r="P380" s="13">
        <f ca="1"/>
        <v>3</v>
      </c>
      <c r="Q380" s="13">
        <f ca="1"/>
        <v>2</v>
      </c>
      <c r="R380" s="13">
        <f ca="1"/>
        <v>-2</v>
      </c>
      <c r="S380" s="13">
        <f ca="1"/>
        <v>-3</v>
      </c>
    </row>
    <row r="381" spans="1:19">
      <c r="A381" s="13">
        <f ca="1"/>
        <v>8.9447236180904532</v>
      </c>
      <c r="B381" s="13">
        <f ca="1"/>
        <v>97.408908878553802</v>
      </c>
      <c r="D381" s="13">
        <f ca="1"/>
        <v>8.9447236180904532</v>
      </c>
      <c r="E381" s="13">
        <f ca="1"/>
        <v>97.408908878553802</v>
      </c>
      <c r="F381" s="13">
        <f ca="1"/>
        <v>98.568953463282398</v>
      </c>
      <c r="G381" s="13">
        <f ca="1"/>
        <v>102.57836875517145</v>
      </c>
      <c r="H381" s="13">
        <f ca="1"/>
        <v>101.24189699120843</v>
      </c>
      <c r="I381" s="13">
        <f ca="1"/>
        <v>95.896009935356361</v>
      </c>
      <c r="J381" s="13">
        <f ca="1"/>
        <v>94.559538171393342</v>
      </c>
      <c r="M381" s="13">
        <f ca="1"/>
        <v>8.9447236180904532</v>
      </c>
      <c r="N381" s="13">
        <f ca="1"/>
        <v>97.408908878553802</v>
      </c>
      <c r="O381" s="13">
        <f ca="1"/>
        <v>-0.86799034293753563</v>
      </c>
      <c r="P381" s="13">
        <f ca="1"/>
        <v>3</v>
      </c>
      <c r="Q381" s="13">
        <f ca="1"/>
        <v>2</v>
      </c>
      <c r="R381" s="13">
        <f ca="1"/>
        <v>-2</v>
      </c>
      <c r="S381" s="13">
        <f ca="1"/>
        <v>-3</v>
      </c>
    </row>
    <row r="382" spans="1:19">
      <c r="A382" s="13">
        <f ca="1"/>
        <v>9.0452261306532673</v>
      </c>
      <c r="B382" s="13">
        <f ca="1"/>
        <v>99.615865978367822</v>
      </c>
      <c r="D382" s="13">
        <f ca="1"/>
        <v>9.0452261306532673</v>
      </c>
      <c r="E382" s="13">
        <f ca="1"/>
        <v>99.615865978367822</v>
      </c>
      <c r="F382" s="13">
        <f ca="1"/>
        <v>98.83068159205375</v>
      </c>
      <c r="G382" s="13">
        <f ca="1"/>
        <v>102.8277479359607</v>
      </c>
      <c r="H382" s="13">
        <f ca="1"/>
        <v>101.49539248799172</v>
      </c>
      <c r="I382" s="13">
        <f ca="1"/>
        <v>96.165970696115778</v>
      </c>
      <c r="J382" s="13">
        <f ca="1"/>
        <v>94.833615248146799</v>
      </c>
      <c r="M382" s="13">
        <f ca="1"/>
        <v>9.0452261306532673</v>
      </c>
      <c r="N382" s="13">
        <f ca="1"/>
        <v>99.615865978367822</v>
      </c>
      <c r="O382" s="13">
        <f ca="1"/>
        <v>0.58932050565859861</v>
      </c>
      <c r="P382" s="13">
        <f ca="1"/>
        <v>3</v>
      </c>
      <c r="Q382" s="13">
        <f ca="1"/>
        <v>2</v>
      </c>
      <c r="R382" s="13">
        <f ca="1"/>
        <v>-2</v>
      </c>
      <c r="S382" s="13">
        <f ca="1"/>
        <v>-3</v>
      </c>
    </row>
    <row r="383" spans="1:19">
      <c r="A383" s="13">
        <f ca="1"/>
        <v>9.1457286432160814</v>
      </c>
      <c r="B383" s="13">
        <f ca="1"/>
        <v>99.799821165165881</v>
      </c>
      <c r="D383" s="13">
        <f ca="1"/>
        <v>9.1457286432160814</v>
      </c>
      <c r="E383" s="13">
        <f ca="1"/>
        <v>99.799821165165881</v>
      </c>
      <c r="F383" s="13">
        <f ca="1"/>
        <v>99.07296648533179</v>
      </c>
      <c r="G383" s="13">
        <f ca="1"/>
        <v>102.80326910544076</v>
      </c>
      <c r="H383" s="13">
        <f ca="1"/>
        <v>101.55983489873776</v>
      </c>
      <c r="I383" s="13">
        <f ca="1"/>
        <v>96.586098071925818</v>
      </c>
      <c r="J383" s="13">
        <f ca="1"/>
        <v>95.342663865222818</v>
      </c>
      <c r="M383" s="13">
        <f ca="1"/>
        <v>9.1457286432160814</v>
      </c>
      <c r="N383" s="13">
        <f ca="1"/>
        <v>99.799821165165881</v>
      </c>
      <c r="O383" s="13">
        <f ca="1"/>
        <v>0.58455419347146054</v>
      </c>
      <c r="P383" s="13">
        <f ca="1"/>
        <v>3</v>
      </c>
      <c r="Q383" s="13">
        <f ca="1"/>
        <v>2</v>
      </c>
      <c r="R383" s="13">
        <f ca="1"/>
        <v>-2</v>
      </c>
      <c r="S383" s="13">
        <f ca="1"/>
        <v>-3</v>
      </c>
    </row>
    <row r="384" spans="1:19">
      <c r="A384" s="13">
        <f ca="1"/>
        <v>9.2462311557788954</v>
      </c>
      <c r="B384" s="13">
        <f ca="1"/>
        <v>98.401183439923187</v>
      </c>
      <c r="D384" s="13">
        <f ca="1"/>
        <v>9.2462311557788954</v>
      </c>
      <c r="E384" s="13">
        <f ca="1"/>
        <v>98.401183439923187</v>
      </c>
      <c r="F384" s="13">
        <f ca="1"/>
        <v>98.905020723979646</v>
      </c>
      <c r="G384" s="13">
        <f ca="1"/>
        <v>102.7415599941444</v>
      </c>
      <c r="H384" s="13">
        <f ca="1"/>
        <v>101.46271357075614</v>
      </c>
      <c r="I384" s="13">
        <f ca="1"/>
        <v>96.347327877203156</v>
      </c>
      <c r="J384" s="13">
        <f ca="1"/>
        <v>95.068481453814897</v>
      </c>
      <c r="M384" s="13">
        <f ca="1"/>
        <v>9.2462311557788954</v>
      </c>
      <c r="N384" s="13">
        <f ca="1"/>
        <v>98.401183439923187</v>
      </c>
      <c r="O384" s="13">
        <f ca="1"/>
        <v>-0.39397794359197874</v>
      </c>
      <c r="P384" s="13">
        <f ca="1"/>
        <v>3</v>
      </c>
      <c r="Q384" s="13">
        <f ca="1"/>
        <v>2</v>
      </c>
      <c r="R384" s="13">
        <f ca="1"/>
        <v>-2</v>
      </c>
      <c r="S384" s="13">
        <f ca="1"/>
        <v>-3</v>
      </c>
    </row>
    <row r="385" spans="1:19">
      <c r="A385" s="13">
        <f ca="1"/>
        <v>9.3467336683417095</v>
      </c>
      <c r="B385" s="13">
        <f ca="1"/>
        <v>99.572296276966924</v>
      </c>
      <c r="D385" s="13">
        <f ca="1"/>
        <v>9.3467336683417095</v>
      </c>
      <c r="E385" s="13">
        <f ca="1"/>
        <v>99.572296276966924</v>
      </c>
      <c r="F385" s="13">
        <f ca="1"/>
        <v>99.071839612226469</v>
      </c>
      <c r="G385" s="13">
        <f ca="1"/>
        <v>102.88183923874304</v>
      </c>
      <c r="H385" s="13">
        <f ca="1"/>
        <v>101.61183936323752</v>
      </c>
      <c r="I385" s="13">
        <f ca="1"/>
        <v>96.531839861215417</v>
      </c>
      <c r="J385" s="13">
        <f ca="1"/>
        <v>95.261839985709898</v>
      </c>
      <c r="M385" s="13">
        <f ca="1"/>
        <v>9.3467336683417095</v>
      </c>
      <c r="N385" s="13">
        <f ca="1"/>
        <v>99.572296276966924</v>
      </c>
      <c r="O385" s="13">
        <f ca="1"/>
        <v>0.39406040456598218</v>
      </c>
      <c r="P385" s="13">
        <f ca="1"/>
        <v>3</v>
      </c>
      <c r="Q385" s="13">
        <f ca="1"/>
        <v>2</v>
      </c>
      <c r="R385" s="13">
        <f ca="1"/>
        <v>-2</v>
      </c>
      <c r="S385" s="13">
        <f ca="1"/>
        <v>-3</v>
      </c>
    </row>
    <row r="386" spans="1:19">
      <c r="A386" s="13">
        <f ca="1"/>
        <v>9.4472361809045236</v>
      </c>
      <c r="B386" s="13">
        <f ca="1"/>
        <v>98.167193850513726</v>
      </c>
      <c r="D386" s="13">
        <f ca="1"/>
        <v>9.4472361809045236</v>
      </c>
      <c r="E386" s="13">
        <f ca="1"/>
        <v>98.167193850513726</v>
      </c>
      <c r="F386" s="13">
        <f ca="1"/>
        <v>98.845678171798284</v>
      </c>
      <c r="G386" s="13">
        <f ca="1"/>
        <v>101.57150887665919</v>
      </c>
      <c r="H386" s="13">
        <f ca="1"/>
        <v>100.66289864170557</v>
      </c>
      <c r="I386" s="13">
        <f ca="1"/>
        <v>97.028457701891</v>
      </c>
      <c r="J386" s="13">
        <f ca="1"/>
        <v>96.119847466937372</v>
      </c>
      <c r="M386" s="13">
        <f ca="1"/>
        <v>9.4472361809045236</v>
      </c>
      <c r="N386" s="13">
        <f ca="1"/>
        <v>98.167193850513726</v>
      </c>
      <c r="O386" s="13">
        <f ca="1"/>
        <v>-0.74672757931147027</v>
      </c>
      <c r="P386" s="13">
        <f ca="1"/>
        <v>3</v>
      </c>
      <c r="Q386" s="13">
        <f ca="1"/>
        <v>2</v>
      </c>
      <c r="R386" s="13">
        <f ca="1"/>
        <v>-2</v>
      </c>
      <c r="S386" s="13">
        <f ca="1"/>
        <v>-3</v>
      </c>
    </row>
    <row r="387" spans="1:19">
      <c r="A387" s="13">
        <f ca="1"/>
        <v>9.5477386934673376</v>
      </c>
      <c r="B387" s="13">
        <f ca="1"/>
        <v>100.33456272639829</v>
      </c>
      <c r="D387" s="13">
        <f ca="1"/>
        <v>9.5477386934673376</v>
      </c>
      <c r="E387" s="13">
        <f ca="1"/>
        <v>100.33456272639829</v>
      </c>
      <c r="F387" s="13">
        <f ca="1"/>
        <v>99.217899310448288</v>
      </c>
      <c r="G387" s="13">
        <f ca="1"/>
        <v>102.43806966329331</v>
      </c>
      <c r="H387" s="13">
        <f ca="1"/>
        <v>101.3646795456783</v>
      </c>
      <c r="I387" s="13">
        <f ca="1"/>
        <v>97.071119075218277</v>
      </c>
      <c r="J387" s="13">
        <f ca="1"/>
        <v>95.997728957603272</v>
      </c>
      <c r="M387" s="13">
        <f ca="1"/>
        <v>9.5477386934673376</v>
      </c>
      <c r="N387" s="13">
        <f ca="1"/>
        <v>100.33456272639829</v>
      </c>
      <c r="O387" s="13">
        <f ca="1"/>
        <v>1.0403146047507352</v>
      </c>
      <c r="P387" s="13">
        <f ca="1"/>
        <v>3</v>
      </c>
      <c r="Q387" s="13">
        <f ca="1"/>
        <v>2</v>
      </c>
      <c r="R387" s="13">
        <f ca="1"/>
        <v>-2</v>
      </c>
      <c r="S387" s="13">
        <f ca="1"/>
        <v>-3</v>
      </c>
    </row>
    <row r="388" spans="1:19">
      <c r="A388" s="13">
        <f ca="1"/>
        <v>9.6482412060301517</v>
      </c>
      <c r="B388" s="13">
        <f ca="1"/>
        <v>98.644005462496935</v>
      </c>
      <c r="D388" s="13">
        <f ca="1"/>
        <v>9.6482412060301517</v>
      </c>
      <c r="E388" s="13">
        <f ca="1"/>
        <v>98.644005462496935</v>
      </c>
      <c r="F388" s="13">
        <f ca="1"/>
        <v>99.07442584846045</v>
      </c>
      <c r="G388" s="13">
        <f ca="1"/>
        <v>101.55940954314444</v>
      </c>
      <c r="H388" s="13">
        <f ca="1"/>
        <v>100.73108164491644</v>
      </c>
      <c r="I388" s="13">
        <f ca="1"/>
        <v>97.417770052004457</v>
      </c>
      <c r="J388" s="13">
        <f ca="1"/>
        <v>96.58944215377646</v>
      </c>
      <c r="M388" s="13">
        <f ca="1"/>
        <v>9.6482412060301517</v>
      </c>
      <c r="N388" s="13">
        <f ca="1"/>
        <v>98.644005462496935</v>
      </c>
      <c r="O388" s="13">
        <f ca="1"/>
        <v>-0.51962560585523343</v>
      </c>
      <c r="P388" s="13">
        <f ca="1"/>
        <v>3</v>
      </c>
      <c r="Q388" s="13">
        <f ca="1"/>
        <v>2</v>
      </c>
      <c r="R388" s="13">
        <f ca="1"/>
        <v>-2</v>
      </c>
      <c r="S388" s="13">
        <f ca="1"/>
        <v>-3</v>
      </c>
    </row>
    <row r="389" spans="1:19">
      <c r="A389" s="13">
        <f ca="1"/>
        <v>9.7487437185929657</v>
      </c>
      <c r="B389" s="13">
        <f ca="1"/>
        <v>99.640053492679854</v>
      </c>
      <c r="D389" s="13">
        <f ca="1"/>
        <v>9.7487437185929657</v>
      </c>
      <c r="E389" s="13">
        <f ca="1"/>
        <v>99.640053492679854</v>
      </c>
      <c r="F389" s="13">
        <f ca="1"/>
        <v>99.215832759515294</v>
      </c>
      <c r="G389" s="13">
        <f ca="1"/>
        <v>101.66223180692852</v>
      </c>
      <c r="H389" s="13">
        <f ca="1"/>
        <v>100.84676545779078</v>
      </c>
      <c r="I389" s="13">
        <f ca="1"/>
        <v>97.584900061239807</v>
      </c>
      <c r="J389" s="13">
        <f ca="1"/>
        <v>96.769433712102071</v>
      </c>
      <c r="M389" s="13">
        <f ca="1"/>
        <v>9.7487437185929657</v>
      </c>
      <c r="N389" s="13">
        <f ca="1"/>
        <v>99.640053492679854</v>
      </c>
      <c r="O389" s="13">
        <f ca="1"/>
        <v>0.52021856403164113</v>
      </c>
      <c r="P389" s="13">
        <f ca="1"/>
        <v>3</v>
      </c>
      <c r="Q389" s="13">
        <f ca="1"/>
        <v>2</v>
      </c>
      <c r="R389" s="13">
        <f ca="1"/>
        <v>-2</v>
      </c>
      <c r="S389" s="13">
        <f ca="1"/>
        <v>-3</v>
      </c>
    </row>
    <row r="390" spans="1:19">
      <c r="A390" s="13">
        <f ca="1"/>
        <v>9.8492462311557798</v>
      </c>
      <c r="B390" s="13">
        <f ca="1"/>
        <v>97.365307289421835</v>
      </c>
      <c r="D390" s="13">
        <f ca="1"/>
        <v>9.8492462311557798</v>
      </c>
      <c r="E390" s="13">
        <f ca="1"/>
        <v>97.365307289421835</v>
      </c>
      <c r="F390" s="13">
        <f ca="1"/>
        <v>98.753201391991922</v>
      </c>
      <c r="G390" s="13">
        <f ca="1"/>
        <v>101.84276981264327</v>
      </c>
      <c r="H390" s="13">
        <f ca="1"/>
        <v>100.81291367242615</v>
      </c>
      <c r="I390" s="13">
        <f ca="1"/>
        <v>96.693489111557696</v>
      </c>
      <c r="J390" s="13">
        <f ca="1"/>
        <v>95.663632971340576</v>
      </c>
      <c r="M390" s="13">
        <f ca="1"/>
        <v>9.8492462311557798</v>
      </c>
      <c r="N390" s="13">
        <f ca="1"/>
        <v>97.365307289421835</v>
      </c>
      <c r="O390" s="13">
        <f ca="1"/>
        <v>-1.3476582295052277</v>
      </c>
      <c r="P390" s="13">
        <f ca="1"/>
        <v>3</v>
      </c>
      <c r="Q390" s="13">
        <f ca="1"/>
        <v>2</v>
      </c>
      <c r="R390" s="13">
        <f ca="1"/>
        <v>-2</v>
      </c>
      <c r="S390" s="13">
        <f ca="1"/>
        <v>-3</v>
      </c>
    </row>
    <row r="391" spans="1:19">
      <c r="A391" s="13">
        <f ca="1"/>
        <v>9.9497487437185939</v>
      </c>
      <c r="B391" s="13">
        <f ca="1"/>
        <v>99.581859346332479</v>
      </c>
      <c r="D391" s="13">
        <f ca="1"/>
        <v>9.9497487437185939</v>
      </c>
      <c r="E391" s="13">
        <f ca="1"/>
        <v>99.581859346332479</v>
      </c>
      <c r="F391" s="13">
        <f ca="1"/>
        <v>98.960365880577058</v>
      </c>
      <c r="G391" s="13">
        <f ca="1"/>
        <v>102.05500386871095</v>
      </c>
      <c r="H391" s="13">
        <f ca="1"/>
        <v>101.02345787266633</v>
      </c>
      <c r="I391" s="13">
        <f ca="1"/>
        <v>96.897273888487788</v>
      </c>
      <c r="J391" s="13">
        <f ca="1"/>
        <v>95.865727892443161</v>
      </c>
      <c r="M391" s="13">
        <f ca="1"/>
        <v>9.9497487437185939</v>
      </c>
      <c r="N391" s="13">
        <f ca="1"/>
        <v>99.581859346332479</v>
      </c>
      <c r="O391" s="13">
        <f ca="1"/>
        <v>0.60248740059917905</v>
      </c>
      <c r="P391" s="13">
        <f ca="1"/>
        <v>3</v>
      </c>
      <c r="Q391" s="13">
        <f ca="1"/>
        <v>2</v>
      </c>
      <c r="R391" s="13">
        <f ca="1"/>
        <v>-2</v>
      </c>
      <c r="S391" s="13">
        <f ca="1"/>
        <v>-3</v>
      </c>
    </row>
    <row r="392" spans="1:19">
      <c r="A392" s="13">
        <f ca="1"/>
        <v>10.050251256281408</v>
      </c>
      <c r="B392" s="13">
        <f ca="1"/>
        <v>100.94487671645904</v>
      </c>
      <c r="D392" s="13">
        <f ca="1"/>
        <v>10.050251256281408</v>
      </c>
      <c r="E392" s="13">
        <f ca="1"/>
        <v>100.94487671645904</v>
      </c>
      <c r="F392" s="13">
        <f ca="1"/>
        <v>99.456493589547549</v>
      </c>
      <c r="G392" s="13">
        <f ca="1"/>
        <v>103.27706778750809</v>
      </c>
      <c r="H392" s="13">
        <f ca="1"/>
        <v>102.00354305485457</v>
      </c>
      <c r="I392" s="13">
        <f ca="1"/>
        <v>96.909444124240522</v>
      </c>
      <c r="J392" s="13">
        <f ca="1"/>
        <v>95.635919391587009</v>
      </c>
      <c r="M392" s="13">
        <f ca="1"/>
        <v>10.050251256281408</v>
      </c>
      <c r="N392" s="13">
        <f ca="1"/>
        <v>100.94487671645904</v>
      </c>
      <c r="O392" s="13">
        <f ca="1"/>
        <v>1.1687115991931283</v>
      </c>
      <c r="P392" s="13">
        <f ca="1"/>
        <v>3</v>
      </c>
      <c r="Q392" s="13">
        <f ca="1"/>
        <v>2</v>
      </c>
      <c r="R392" s="13">
        <f ca="1"/>
        <v>-2</v>
      </c>
      <c r="S392" s="13">
        <f ca="1"/>
        <v>-3</v>
      </c>
    </row>
    <row r="393" spans="1:19">
      <c r="A393" s="13">
        <f ca="1"/>
        <v>10.150753768844222</v>
      </c>
      <c r="B393" s="13">
        <f ca="1"/>
        <v>98.652070705505182</v>
      </c>
      <c r="D393" s="13">
        <f ca="1"/>
        <v>10.150753768844222</v>
      </c>
      <c r="E393" s="13">
        <f ca="1"/>
        <v>98.652070705505182</v>
      </c>
      <c r="F393" s="13">
        <f ca="1"/>
        <v>99.255387868536957</v>
      </c>
      <c r="G393" s="13">
        <f ca="1"/>
        <v>102.84364514411165</v>
      </c>
      <c r="H393" s="13">
        <f ca="1"/>
        <v>101.64755938558676</v>
      </c>
      <c r="I393" s="13">
        <f ca="1"/>
        <v>96.863216351487154</v>
      </c>
      <c r="J393" s="13">
        <f ca="1"/>
        <v>95.667130592962266</v>
      </c>
      <c r="M393" s="13">
        <f ca="1"/>
        <v>10.150753768844222</v>
      </c>
      <c r="N393" s="13">
        <f ca="1"/>
        <v>98.652070705505182</v>
      </c>
      <c r="O393" s="13">
        <f ca="1"/>
        <v>-0.5044096200725865</v>
      </c>
      <c r="P393" s="13">
        <f ca="1"/>
        <v>3</v>
      </c>
      <c r="Q393" s="13">
        <f ca="1"/>
        <v>2</v>
      </c>
      <c r="R393" s="13">
        <f ca="1"/>
        <v>-2</v>
      </c>
      <c r="S393" s="13">
        <f ca="1"/>
        <v>-3</v>
      </c>
    </row>
    <row r="394" spans="1:19">
      <c r="A394" s="13">
        <f ca="1"/>
        <v>10.251256281407036</v>
      </c>
      <c r="B394" s="13">
        <f ca="1"/>
        <v>100.51003299347791</v>
      </c>
      <c r="D394" s="13">
        <f ca="1"/>
        <v>10.251256281407036</v>
      </c>
      <c r="E394" s="13">
        <f ca="1"/>
        <v>100.51003299347791</v>
      </c>
      <c r="F394" s="13">
        <f ca="1"/>
        <v>99.569049149772198</v>
      </c>
      <c r="G394" s="13">
        <f ca="1"/>
        <v>103.31135952230215</v>
      </c>
      <c r="H394" s="13">
        <f ca="1"/>
        <v>102.06392273145885</v>
      </c>
      <c r="I394" s="13">
        <f ca="1"/>
        <v>97.07417556808555</v>
      </c>
      <c r="J394" s="13">
        <f ca="1"/>
        <v>95.826738777242241</v>
      </c>
      <c r="M394" s="13">
        <f ca="1"/>
        <v>10.251256281407036</v>
      </c>
      <c r="N394" s="13">
        <f ca="1"/>
        <v>100.51003299347791</v>
      </c>
      <c r="O394" s="13">
        <f ca="1"/>
        <v>0.75433388738644092</v>
      </c>
      <c r="P394" s="13">
        <f ca="1"/>
        <v>3</v>
      </c>
      <c r="Q394" s="13">
        <f ca="1"/>
        <v>2</v>
      </c>
      <c r="R394" s="13">
        <f ca="1"/>
        <v>-2</v>
      </c>
      <c r="S394" s="13">
        <f ca="1"/>
        <v>-3</v>
      </c>
    </row>
    <row r="395" spans="1:19">
      <c r="A395" s="13">
        <f ca="1"/>
        <v>10.35175879396985</v>
      </c>
      <c r="B395" s="13">
        <f ca="1"/>
        <v>100.38685409140433</v>
      </c>
      <c r="D395" s="13">
        <f ca="1"/>
        <v>10.35175879396985</v>
      </c>
      <c r="E395" s="13">
        <f ca="1"/>
        <v>100.38685409140433</v>
      </c>
      <c r="F395" s="13">
        <f ca="1"/>
        <v>99.773500385180228</v>
      </c>
      <c r="G395" s="13">
        <f ca="1"/>
        <v>103.52896409196291</v>
      </c>
      <c r="H395" s="13">
        <f ca="1"/>
        <v>102.27714285636868</v>
      </c>
      <c r="I395" s="13">
        <f ca="1"/>
        <v>97.269857913991771</v>
      </c>
      <c r="J395" s="13">
        <f ca="1"/>
        <v>96.01803667839755</v>
      </c>
      <c r="M395" s="13">
        <f ca="1"/>
        <v>10.35175879396985</v>
      </c>
      <c r="N395" s="13">
        <f ca="1"/>
        <v>100.38685409140433</v>
      </c>
      <c r="O395" s="13">
        <f ca="1"/>
        <v>0.48996908566817088</v>
      </c>
      <c r="P395" s="13">
        <f ca="1"/>
        <v>3</v>
      </c>
      <c r="Q395" s="13">
        <f ca="1"/>
        <v>2</v>
      </c>
      <c r="R395" s="13">
        <f ca="1"/>
        <v>-2</v>
      </c>
      <c r="S395" s="13">
        <f ca="1"/>
        <v>-3</v>
      </c>
    </row>
    <row r="396" spans="1:19">
      <c r="A396" s="13">
        <f ca="1"/>
        <v>10.452261306532664</v>
      </c>
      <c r="B396" s="13">
        <f ca="1"/>
        <v>100.23628530808742</v>
      </c>
      <c r="D396" s="13">
        <f ca="1"/>
        <v>10.452261306532664</v>
      </c>
      <c r="E396" s="13">
        <f ca="1"/>
        <v>100.23628530808742</v>
      </c>
      <c r="F396" s="13">
        <f ca="1"/>
        <v>99.889196615907025</v>
      </c>
      <c r="G396" s="13">
        <f ca="1"/>
        <v>103.73555577491265</v>
      </c>
      <c r="H396" s="13">
        <f ca="1"/>
        <v>102.45343605524411</v>
      </c>
      <c r="I396" s="13">
        <f ca="1"/>
        <v>97.324957176569939</v>
      </c>
      <c r="J396" s="13">
        <f ca="1"/>
        <v>96.042837456901395</v>
      </c>
      <c r="M396" s="13">
        <f ca="1"/>
        <v>10.452261306532664</v>
      </c>
      <c r="N396" s="13">
        <f ca="1"/>
        <v>100.23628530808742</v>
      </c>
      <c r="O396" s="13">
        <f ca="1"/>
        <v>0.27071472878532937</v>
      </c>
      <c r="P396" s="13">
        <f ca="1"/>
        <v>3</v>
      </c>
      <c r="Q396" s="13">
        <f ca="1"/>
        <v>2</v>
      </c>
      <c r="R396" s="13">
        <f ca="1"/>
        <v>-2</v>
      </c>
      <c r="S396" s="13">
        <f ca="1"/>
        <v>-3</v>
      </c>
    </row>
    <row r="397" spans="1:19">
      <c r="A397" s="13">
        <f ca="1"/>
        <v>10.552763819095478</v>
      </c>
      <c r="B397" s="13">
        <f ca="1"/>
        <v>100.69487082132805</v>
      </c>
      <c r="D397" s="13">
        <f ca="1"/>
        <v>10.552763819095478</v>
      </c>
      <c r="E397" s="13">
        <f ca="1"/>
        <v>100.69487082132805</v>
      </c>
      <c r="F397" s="13">
        <f ca="1"/>
        <v>100.09061516726227</v>
      </c>
      <c r="G397" s="13">
        <f ca="1"/>
        <v>102.44901047342093</v>
      </c>
      <c r="H397" s="13">
        <f ca="1"/>
        <v>101.66287870470137</v>
      </c>
      <c r="I397" s="13">
        <f ca="1"/>
        <v>98.518351629823172</v>
      </c>
      <c r="J397" s="13">
        <f ca="1"/>
        <v>97.732219861103616</v>
      </c>
      <c r="M397" s="13">
        <f ca="1"/>
        <v>10.552763819095478</v>
      </c>
      <c r="N397" s="13">
        <f ca="1"/>
        <v>100.69487082132805</v>
      </c>
      <c r="O397" s="13">
        <f ca="1"/>
        <v>0.76864423765750034</v>
      </c>
      <c r="P397" s="13">
        <f ca="1"/>
        <v>3</v>
      </c>
      <c r="Q397" s="13">
        <f ca="1"/>
        <v>2</v>
      </c>
      <c r="R397" s="13">
        <f ca="1"/>
        <v>-2</v>
      </c>
      <c r="S397" s="13">
        <f ca="1"/>
        <v>-3</v>
      </c>
    </row>
    <row r="398" spans="1:19">
      <c r="A398" s="13">
        <f ca="1"/>
        <v>10.653266331658292</v>
      </c>
      <c r="B398" s="13">
        <f ca="1"/>
        <v>101.69940538540585</v>
      </c>
      <c r="D398" s="13">
        <f ca="1"/>
        <v>10.653266331658292</v>
      </c>
      <c r="E398" s="13">
        <f ca="1"/>
        <v>101.69940538540585</v>
      </c>
      <c r="F398" s="13">
        <f ca="1"/>
        <v>100.49281272179816</v>
      </c>
      <c r="G398" s="13">
        <f ca="1"/>
        <v>103.27670831261224</v>
      </c>
      <c r="H398" s="13">
        <f ca="1"/>
        <v>102.34874311567422</v>
      </c>
      <c r="I398" s="13">
        <f ca="1"/>
        <v>98.636882327922095</v>
      </c>
      <c r="J398" s="13">
        <f ca="1"/>
        <v>97.708917130984076</v>
      </c>
      <c r="M398" s="13">
        <f ca="1"/>
        <v>10.653266331658292</v>
      </c>
      <c r="N398" s="13">
        <f ca="1"/>
        <v>101.69940538540585</v>
      </c>
      <c r="O398" s="13">
        <f ca="1"/>
        <v>1.3002563755505498</v>
      </c>
      <c r="P398" s="13">
        <f ca="1"/>
        <v>3</v>
      </c>
      <c r="Q398" s="13">
        <f ca="1"/>
        <v>2</v>
      </c>
      <c r="R398" s="13">
        <f ca="1"/>
        <v>-2</v>
      </c>
      <c r="S398" s="13">
        <f ca="1"/>
        <v>-3</v>
      </c>
    </row>
    <row r="399" spans="1:19">
      <c r="A399" s="13">
        <f ca="1"/>
        <v>10.753768844221106</v>
      </c>
      <c r="B399" s="13">
        <f ca="1"/>
        <v>102.09728568418149</v>
      </c>
      <c r="D399" s="13">
        <f ca="1"/>
        <v>10.753768844221106</v>
      </c>
      <c r="E399" s="13">
        <f ca="1"/>
        <v>102.09728568418149</v>
      </c>
      <c r="F399" s="13">
        <f ca="1"/>
        <v>100.89393096239399</v>
      </c>
      <c r="G399" s="13">
        <f ca="1"/>
        <v>104.35790622082445</v>
      </c>
      <c r="H399" s="13">
        <f ca="1"/>
        <v>103.20324780134763</v>
      </c>
      <c r="I399" s="13">
        <f ca="1"/>
        <v>98.58461412344036</v>
      </c>
      <c r="J399" s="13">
        <f ca="1"/>
        <v>97.429955703963543</v>
      </c>
      <c r="M399" s="13">
        <f ca="1"/>
        <v>10.753768844221106</v>
      </c>
      <c r="N399" s="13">
        <f ca="1"/>
        <v>102.09728568418149</v>
      </c>
      <c r="O399" s="13">
        <f ca="1"/>
        <v>1.0421737732036278</v>
      </c>
      <c r="P399" s="13">
        <f ca="1"/>
        <v>3</v>
      </c>
      <c r="Q399" s="13">
        <f ca="1"/>
        <v>2</v>
      </c>
      <c r="R399" s="13">
        <f ca="1"/>
        <v>-2</v>
      </c>
      <c r="S399" s="13">
        <f ca="1"/>
        <v>-3</v>
      </c>
    </row>
    <row r="400" spans="1:19">
      <c r="A400" s="13">
        <f ca="1"/>
        <v>10.85427135678392</v>
      </c>
      <c r="B400" s="13">
        <f ca="1"/>
        <v>100.98201268819082</v>
      </c>
      <c r="D400" s="13">
        <f ca="1"/>
        <v>10.85427135678392</v>
      </c>
      <c r="E400" s="13">
        <f ca="1"/>
        <v>100.98201268819082</v>
      </c>
      <c r="F400" s="13">
        <f ca="1"/>
        <v>100.9159513938432</v>
      </c>
      <c r="G400" s="13">
        <f ca="1"/>
        <v>103.02637241863025</v>
      </c>
      <c r="H400" s="13">
        <f ca="1"/>
        <v>102.32289874370123</v>
      </c>
      <c r="I400" s="13">
        <f ca="1"/>
        <v>99.509004043985172</v>
      </c>
      <c r="J400" s="13">
        <f ca="1"/>
        <v>98.805530369056157</v>
      </c>
      <c r="M400" s="13">
        <f ca="1"/>
        <v>10.85427135678392</v>
      </c>
      <c r="N400" s="13">
        <f ca="1"/>
        <v>100.98201268819082</v>
      </c>
      <c r="O400" s="13">
        <f ca="1"/>
        <v>9.3907272868860886E-2</v>
      </c>
      <c r="P400" s="13">
        <f ca="1"/>
        <v>3</v>
      </c>
      <c r="Q400" s="13">
        <f ca="1"/>
        <v>2</v>
      </c>
      <c r="R400" s="13">
        <f ca="1"/>
        <v>-2</v>
      </c>
      <c r="S400" s="13">
        <f ca="1"/>
        <v>-3</v>
      </c>
    </row>
    <row r="401" spans="1:19">
      <c r="A401" s="13">
        <f ca="1"/>
        <v>10.954773869346734</v>
      </c>
      <c r="B401" s="13">
        <f ca="1"/>
        <v>99.718649264567148</v>
      </c>
      <c r="D401" s="13">
        <f ca="1"/>
        <v>10.954773869346734</v>
      </c>
      <c r="E401" s="13">
        <f ca="1"/>
        <v>99.718649264567148</v>
      </c>
      <c r="F401" s="13">
        <f ca="1"/>
        <v>100.61662586152418</v>
      </c>
      <c r="G401" s="13">
        <f ca="1"/>
        <v>103.21707124247924</v>
      </c>
      <c r="H401" s="13">
        <f ca="1"/>
        <v>102.35025611549422</v>
      </c>
      <c r="I401" s="13">
        <f ca="1"/>
        <v>98.88299560755415</v>
      </c>
      <c r="J401" s="13">
        <f ca="1"/>
        <v>98.016180480569133</v>
      </c>
      <c r="M401" s="13">
        <f ca="1"/>
        <v>10.954773869346734</v>
      </c>
      <c r="N401" s="13">
        <f ca="1"/>
        <v>99.718649264567148</v>
      </c>
      <c r="O401" s="13">
        <f ca="1"/>
        <v>-1.0359493841326977</v>
      </c>
      <c r="P401" s="13">
        <f ca="1"/>
        <v>3</v>
      </c>
      <c r="Q401" s="13">
        <f ca="1"/>
        <v>2</v>
      </c>
      <c r="R401" s="13">
        <f ca="1"/>
        <v>-2</v>
      </c>
      <c r="S401" s="13">
        <f ca="1"/>
        <v>-3</v>
      </c>
    </row>
    <row r="402" spans="1:19">
      <c r="A402" s="13">
        <f ca="1"/>
        <v>11.055276381909549</v>
      </c>
      <c r="B402" s="13">
        <f ca="1"/>
        <v>101.43367784631961</v>
      </c>
      <c r="D402" s="13">
        <f ca="1"/>
        <v>11.055276381909549</v>
      </c>
      <c r="E402" s="13">
        <f ca="1"/>
        <v>101.43367784631961</v>
      </c>
      <c r="F402" s="13">
        <f ca="1"/>
        <v>100.82088885772303</v>
      </c>
      <c r="G402" s="13">
        <f ca="1"/>
        <v>103.38263397319376</v>
      </c>
      <c r="H402" s="13">
        <f ca="1"/>
        <v>102.52871893470352</v>
      </c>
      <c r="I402" s="13">
        <f ca="1"/>
        <v>99.113058780742548</v>
      </c>
      <c r="J402" s="13">
        <f ca="1"/>
        <v>98.259143742252306</v>
      </c>
      <c r="M402" s="13">
        <f ca="1"/>
        <v>11.055276381909549</v>
      </c>
      <c r="N402" s="13">
        <f ca="1"/>
        <v>101.43367784631961</v>
      </c>
      <c r="O402" s="13">
        <f ca="1"/>
        <v>0.71762290271876705</v>
      </c>
      <c r="P402" s="13">
        <f ca="1"/>
        <v>3</v>
      </c>
      <c r="Q402" s="13">
        <f ca="1"/>
        <v>2</v>
      </c>
      <c r="R402" s="13">
        <f ca="1"/>
        <v>-2</v>
      </c>
      <c r="S402" s="13">
        <f ca="1"/>
        <v>-3</v>
      </c>
    </row>
    <row r="403" spans="1:19">
      <c r="A403" s="13">
        <f ca="1"/>
        <v>11.155778894472363</v>
      </c>
      <c r="B403" s="13">
        <f ca="1"/>
        <v>101.18992813998879</v>
      </c>
      <c r="D403" s="13">
        <f ca="1"/>
        <v>11.155778894472363</v>
      </c>
      <c r="E403" s="13">
        <f ca="1"/>
        <v>101.18992813998879</v>
      </c>
      <c r="F403" s="13">
        <f ca="1"/>
        <v>100.91314867828947</v>
      </c>
      <c r="G403" s="13">
        <f ca="1"/>
        <v>103.31538322163014</v>
      </c>
      <c r="H403" s="13">
        <f ca="1"/>
        <v>102.51463837384992</v>
      </c>
      <c r="I403" s="13">
        <f ca="1"/>
        <v>99.311658982729028</v>
      </c>
      <c r="J403" s="13">
        <f ca="1"/>
        <v>98.510914134948806</v>
      </c>
      <c r="M403" s="13">
        <f ca="1"/>
        <v>11.155778894472363</v>
      </c>
      <c r="N403" s="13">
        <f ca="1"/>
        <v>101.18992813998879</v>
      </c>
      <c r="O403" s="13">
        <f ca="1"/>
        <v>0.34565250399873443</v>
      </c>
      <c r="P403" s="13">
        <f ca="1"/>
        <v>3</v>
      </c>
      <c r="Q403" s="13">
        <f ca="1"/>
        <v>2</v>
      </c>
      <c r="R403" s="13">
        <f ca="1"/>
        <v>-2</v>
      </c>
      <c r="S403" s="13">
        <f ca="1"/>
        <v>-3</v>
      </c>
    </row>
    <row r="404" spans="1:19">
      <c r="A404" s="13">
        <f ca="1"/>
        <v>11.256281407035177</v>
      </c>
      <c r="B404" s="13">
        <f ca="1"/>
        <v>101.59397224446168</v>
      </c>
      <c r="D404" s="13">
        <f ca="1"/>
        <v>11.256281407035177</v>
      </c>
      <c r="E404" s="13">
        <f ca="1"/>
        <v>101.59397224446168</v>
      </c>
      <c r="F404" s="13">
        <f ca="1"/>
        <v>101.08335456983252</v>
      </c>
      <c r="G404" s="13">
        <f ca="1"/>
        <v>103.43125162659071</v>
      </c>
      <c r="H404" s="13">
        <f ca="1"/>
        <v>102.64861927433797</v>
      </c>
      <c r="I404" s="13">
        <f ca="1"/>
        <v>99.51808986532707</v>
      </c>
      <c r="J404" s="13">
        <f ca="1"/>
        <v>98.735457513074337</v>
      </c>
      <c r="M404" s="13">
        <f ca="1"/>
        <v>11.256281407035177</v>
      </c>
      <c r="N404" s="13">
        <f ca="1"/>
        <v>101.59397224446168</v>
      </c>
      <c r="O404" s="13">
        <f ca="1"/>
        <v>0.65243619581965684</v>
      </c>
      <c r="P404" s="13">
        <f ca="1"/>
        <v>3</v>
      </c>
      <c r="Q404" s="13">
        <f ca="1"/>
        <v>2</v>
      </c>
      <c r="R404" s="13">
        <f ca="1"/>
        <v>-2</v>
      </c>
      <c r="S404" s="13">
        <f ca="1"/>
        <v>-3</v>
      </c>
    </row>
    <row r="405" spans="1:19">
      <c r="A405" s="13">
        <f ca="1"/>
        <v>11.356783919597991</v>
      </c>
      <c r="B405" s="13">
        <f ca="1"/>
        <v>100.63361027894149</v>
      </c>
      <c r="D405" s="13">
        <f ca="1"/>
        <v>11.356783919597991</v>
      </c>
      <c r="E405" s="13">
        <f ca="1"/>
        <v>100.63361027894149</v>
      </c>
      <c r="F405" s="13">
        <f ca="1"/>
        <v>100.97091849710976</v>
      </c>
      <c r="G405" s="13">
        <f ca="1"/>
        <v>103.29505982146443</v>
      </c>
      <c r="H405" s="13">
        <f ca="1"/>
        <v>102.52034604667955</v>
      </c>
      <c r="I405" s="13">
        <f ca="1"/>
        <v>99.421490947539979</v>
      </c>
      <c r="J405" s="13">
        <f ca="1"/>
        <v>98.646777172755094</v>
      </c>
      <c r="M405" s="13">
        <f ca="1"/>
        <v>11.356783919597991</v>
      </c>
      <c r="N405" s="13">
        <f ca="1"/>
        <v>100.63361027894149</v>
      </c>
      <c r="O405" s="13">
        <f ca="1"/>
        <v>-0.43539721268275211</v>
      </c>
      <c r="P405" s="13">
        <f ca="1"/>
        <v>3</v>
      </c>
      <c r="Q405" s="13">
        <f ca="1"/>
        <v>2</v>
      </c>
      <c r="R405" s="13">
        <f ca="1"/>
        <v>-2</v>
      </c>
      <c r="S405" s="13">
        <f ca="1"/>
        <v>-3</v>
      </c>
    </row>
    <row r="406" spans="1:19">
      <c r="A406" s="13">
        <f ca="1"/>
        <v>11.457286432160805</v>
      </c>
      <c r="B406" s="13">
        <f ca="1"/>
        <v>101.66015521659233</v>
      </c>
      <c r="D406" s="13">
        <f ca="1"/>
        <v>11.457286432160805</v>
      </c>
      <c r="E406" s="13">
        <f ca="1"/>
        <v>101.66015521659233</v>
      </c>
      <c r="F406" s="13">
        <f ca="1"/>
        <v>101.1432276769804</v>
      </c>
      <c r="G406" s="13">
        <f ca="1"/>
        <v>103.21881824301664</v>
      </c>
      <c r="H406" s="13">
        <f ca="1"/>
        <v>102.52695472100456</v>
      </c>
      <c r="I406" s="13">
        <f ca="1"/>
        <v>99.759500632956247</v>
      </c>
      <c r="J406" s="13">
        <f ca="1"/>
        <v>99.067637110944162</v>
      </c>
      <c r="M406" s="13">
        <f ca="1"/>
        <v>11.457286432160805</v>
      </c>
      <c r="N406" s="13">
        <f ca="1"/>
        <v>101.66015521659233</v>
      </c>
      <c r="O406" s="13">
        <f ca="1"/>
        <v>0.74715247034357057</v>
      </c>
      <c r="P406" s="13">
        <f ca="1"/>
        <v>3</v>
      </c>
      <c r="Q406" s="13">
        <f ca="1"/>
        <v>2</v>
      </c>
      <c r="R406" s="13">
        <f ca="1"/>
        <v>-2</v>
      </c>
      <c r="S406" s="13">
        <f ca="1"/>
        <v>-3</v>
      </c>
    </row>
    <row r="407" spans="1:19">
      <c r="A407" s="13">
        <f ca="1"/>
        <v>11.557788944723619</v>
      </c>
      <c r="B407" s="13">
        <f ca="1"/>
        <v>101.24828454107954</v>
      </c>
      <c r="D407" s="13">
        <f ca="1"/>
        <v>11.557788944723619</v>
      </c>
      <c r="E407" s="13">
        <f ca="1"/>
        <v>101.24828454107954</v>
      </c>
      <c r="F407" s="13">
        <f ca="1"/>
        <v>101.16949189300519</v>
      </c>
      <c r="G407" s="13">
        <f ca="1"/>
        <v>103.25136640009515</v>
      </c>
      <c r="H407" s="13">
        <f ca="1"/>
        <v>102.55740823106517</v>
      </c>
      <c r="I407" s="13">
        <f ca="1"/>
        <v>99.781575554945206</v>
      </c>
      <c r="J407" s="13">
        <f ca="1"/>
        <v>99.087617385915223</v>
      </c>
      <c r="M407" s="13">
        <f ca="1"/>
        <v>11.557788944723619</v>
      </c>
      <c r="N407" s="13">
        <f ca="1"/>
        <v>101.24828454107954</v>
      </c>
      <c r="O407" s="13">
        <f ca="1"/>
        <v>0.11354091873360485</v>
      </c>
      <c r="P407" s="13">
        <f ca="1"/>
        <v>3</v>
      </c>
      <c r="Q407" s="13">
        <f ca="1"/>
        <v>2</v>
      </c>
      <c r="R407" s="13">
        <f ca="1"/>
        <v>-2</v>
      </c>
      <c r="S407" s="13">
        <f ca="1"/>
        <v>-3</v>
      </c>
    </row>
    <row r="408" spans="1:19">
      <c r="A408" s="13">
        <f ca="1"/>
        <v>11.658291457286433</v>
      </c>
      <c r="B408" s="13">
        <f ca="1"/>
        <v>100.09815953331032</v>
      </c>
      <c r="D408" s="13">
        <f ca="1"/>
        <v>11.658291457286433</v>
      </c>
      <c r="E408" s="13">
        <f ca="1"/>
        <v>100.09815953331032</v>
      </c>
      <c r="F408" s="13">
        <f ca="1"/>
        <v>100.90165880308146</v>
      </c>
      <c r="G408" s="13">
        <f ca="1"/>
        <v>102.74218943585535</v>
      </c>
      <c r="H408" s="13">
        <f ca="1"/>
        <v>102.12867922493072</v>
      </c>
      <c r="I408" s="13">
        <f ca="1"/>
        <v>99.674638381232199</v>
      </c>
      <c r="J408" s="13">
        <f ca="1"/>
        <v>99.061128170307569</v>
      </c>
      <c r="M408" s="13">
        <f ca="1"/>
        <v>11.658291457286433</v>
      </c>
      <c r="N408" s="13">
        <f ca="1"/>
        <v>100.09815953331032</v>
      </c>
      <c r="O408" s="13">
        <f ca="1"/>
        <v>-1.3096754633638037</v>
      </c>
      <c r="P408" s="13">
        <f ca="1"/>
        <v>3</v>
      </c>
      <c r="Q408" s="13">
        <f ca="1"/>
        <v>2</v>
      </c>
      <c r="R408" s="13">
        <f ca="1"/>
        <v>-2</v>
      </c>
      <c r="S408" s="13">
        <f ca="1"/>
        <v>-3</v>
      </c>
    </row>
    <row r="409" spans="1:19">
      <c r="A409" s="13">
        <f ca="1"/>
        <v>11.758793969849247</v>
      </c>
      <c r="B409" s="13">
        <f ca="1"/>
        <v>99.890319112527621</v>
      </c>
      <c r="D409" s="13">
        <f ca="1"/>
        <v>11.758793969849247</v>
      </c>
      <c r="E409" s="13">
        <f ca="1"/>
        <v>99.890319112527621</v>
      </c>
      <c r="F409" s="13">
        <f ca="1"/>
        <v>100.648823880443</v>
      </c>
      <c r="G409" s="13">
        <f ca="1"/>
        <v>102.9227089582311</v>
      </c>
      <c r="H409" s="13">
        <f ca="1"/>
        <v>102.16474726563507</v>
      </c>
      <c r="I409" s="13">
        <f ca="1"/>
        <v>99.132900495250937</v>
      </c>
      <c r="J409" s="13">
        <f ca="1"/>
        <v>98.37493880265491</v>
      </c>
      <c r="M409" s="13">
        <f ca="1"/>
        <v>11.758793969849247</v>
      </c>
      <c r="N409" s="13">
        <f ca="1"/>
        <v>99.890319112527621</v>
      </c>
      <c r="O409" s="13">
        <f ca="1"/>
        <v>-1.0007164944147675</v>
      </c>
      <c r="P409" s="13">
        <f ca="1"/>
        <v>3</v>
      </c>
      <c r="Q409" s="13">
        <f ca="1"/>
        <v>2</v>
      </c>
      <c r="R409" s="13">
        <f ca="1"/>
        <v>-2</v>
      </c>
      <c r="S409" s="13">
        <f ca="1"/>
        <v>-3</v>
      </c>
    </row>
    <row r="410" spans="1:19">
      <c r="A410" s="13">
        <f ca="1"/>
        <v>11.859296482412061</v>
      </c>
      <c r="B410" s="13">
        <f ca="1"/>
        <v>102.29046810954914</v>
      </c>
      <c r="D410" s="13">
        <f ca="1"/>
        <v>11.859296482412061</v>
      </c>
      <c r="E410" s="13">
        <f ca="1"/>
        <v>102.29046810954914</v>
      </c>
      <c r="F410" s="13">
        <f ca="1"/>
        <v>101.05923493771954</v>
      </c>
      <c r="G410" s="13">
        <f ca="1"/>
        <v>103.70590563906234</v>
      </c>
      <c r="H410" s="13">
        <f ca="1"/>
        <v>102.82368207194807</v>
      </c>
      <c r="I410" s="13">
        <f ca="1"/>
        <v>99.294787803491005</v>
      </c>
      <c r="J410" s="13">
        <f ca="1"/>
        <v>98.412564236376738</v>
      </c>
      <c r="M410" s="13">
        <f ca="1"/>
        <v>11.859296482412061</v>
      </c>
      <c r="N410" s="13">
        <f ca="1"/>
        <v>102.29046810954914</v>
      </c>
      <c r="O410" s="13">
        <f ca="1"/>
        <v>1.3956022234329311</v>
      </c>
      <c r="P410" s="13">
        <f ca="1"/>
        <v>3</v>
      </c>
      <c r="Q410" s="13">
        <f ca="1"/>
        <v>2</v>
      </c>
      <c r="R410" s="13">
        <f ca="1"/>
        <v>-2</v>
      </c>
      <c r="S410" s="13">
        <f ca="1"/>
        <v>-3</v>
      </c>
    </row>
    <row r="411" spans="1:19">
      <c r="A411" s="13">
        <f ca="1"/>
        <v>11.959798994974875</v>
      </c>
      <c r="B411" s="13">
        <f ca="1"/>
        <v>100.74871560249694</v>
      </c>
      <c r="D411" s="13">
        <f ca="1"/>
        <v>11.959798994974875</v>
      </c>
      <c r="E411" s="13">
        <f ca="1"/>
        <v>100.74871560249694</v>
      </c>
      <c r="F411" s="13">
        <f ca="1"/>
        <v>100.98160510391388</v>
      </c>
      <c r="G411" s="13">
        <f ca="1"/>
        <v>103.54813670934061</v>
      </c>
      <c r="H411" s="13">
        <f ca="1"/>
        <v>102.69262617419837</v>
      </c>
      <c r="I411" s="13">
        <f ca="1"/>
        <v>99.27058403362939</v>
      </c>
      <c r="J411" s="13">
        <f ca="1"/>
        <v>98.415073498487146</v>
      </c>
      <c r="M411" s="13">
        <f ca="1"/>
        <v>11.959798994974875</v>
      </c>
      <c r="N411" s="13">
        <f ca="1"/>
        <v>100.74871560249694</v>
      </c>
      <c r="O411" s="13">
        <f ca="1"/>
        <v>-0.27222283285875898</v>
      </c>
      <c r="P411" s="13">
        <f ca="1"/>
        <v>3</v>
      </c>
      <c r="Q411" s="13">
        <f ca="1"/>
        <v>2</v>
      </c>
      <c r="R411" s="13">
        <f ca="1"/>
        <v>-2</v>
      </c>
      <c r="S411" s="13">
        <f ca="1"/>
        <v>-3</v>
      </c>
    </row>
    <row r="412" spans="1:19">
      <c r="A412" s="13">
        <f ca="1"/>
        <v>12.060301507537689</v>
      </c>
      <c r="B412" s="13">
        <f ca="1"/>
        <v>101.43743197027879</v>
      </c>
      <c r="D412" s="13">
        <f ca="1"/>
        <v>12.060301507537689</v>
      </c>
      <c r="E412" s="13">
        <f ca="1"/>
        <v>101.43743197027879</v>
      </c>
      <c r="F412" s="13">
        <f ca="1"/>
        <v>101.09556182050511</v>
      </c>
      <c r="G412" s="13">
        <f ca="1"/>
        <v>103.68046697672528</v>
      </c>
      <c r="H412" s="13">
        <f ca="1"/>
        <v>102.81883192465189</v>
      </c>
      <c r="I412" s="13">
        <f ca="1"/>
        <v>99.372291716358333</v>
      </c>
      <c r="J412" s="13">
        <f ca="1"/>
        <v>98.510656664284937</v>
      </c>
      <c r="M412" s="13">
        <f ca="1"/>
        <v>12.060301507537689</v>
      </c>
      <c r="N412" s="13">
        <f ca="1"/>
        <v>101.43743197027879</v>
      </c>
      <c r="O412" s="13">
        <f ca="1"/>
        <v>0.39676908332713051</v>
      </c>
      <c r="P412" s="13">
        <f ca="1"/>
        <v>3</v>
      </c>
      <c r="Q412" s="13">
        <f ca="1"/>
        <v>2</v>
      </c>
      <c r="R412" s="13">
        <f ca="1"/>
        <v>-2</v>
      </c>
      <c r="S412" s="13">
        <f ca="1"/>
        <v>-3</v>
      </c>
    </row>
    <row r="413" spans="1:19">
      <c r="A413" s="13">
        <f ca="1"/>
        <v>12.160804020100503</v>
      </c>
      <c r="B413" s="13">
        <f ca="1"/>
        <v>102.34775364951727</v>
      </c>
      <c r="D413" s="13">
        <f ca="1"/>
        <v>12.160804020100503</v>
      </c>
      <c r="E413" s="13">
        <f ca="1"/>
        <v>102.34775364951727</v>
      </c>
      <c r="F413" s="13">
        <f ca="1"/>
        <v>101.40860977775816</v>
      </c>
      <c r="G413" s="13">
        <f ca="1"/>
        <v>104.44443263310221</v>
      </c>
      <c r="H413" s="13">
        <f ca="1"/>
        <v>103.43249168132085</v>
      </c>
      <c r="I413" s="13">
        <f ca="1"/>
        <v>99.384727874195463</v>
      </c>
      <c r="J413" s="13">
        <f ca="1"/>
        <v>98.372786922414107</v>
      </c>
      <c r="M413" s="13">
        <f ca="1"/>
        <v>12.160804020100503</v>
      </c>
      <c r="N413" s="13">
        <f ca="1"/>
        <v>102.34775364951727</v>
      </c>
      <c r="O413" s="13">
        <f ca="1"/>
        <v>0.92806192901464268</v>
      </c>
      <c r="P413" s="13">
        <f ca="1"/>
        <v>3</v>
      </c>
      <c r="Q413" s="13">
        <f ca="1"/>
        <v>2</v>
      </c>
      <c r="R413" s="13">
        <f ca="1"/>
        <v>-2</v>
      </c>
      <c r="S413" s="13">
        <f ca="1"/>
        <v>-3</v>
      </c>
    </row>
    <row r="414" spans="1:19">
      <c r="A414" s="13">
        <f ca="1"/>
        <v>12.261306532663317</v>
      </c>
      <c r="B414" s="13">
        <f ca="1"/>
        <v>103.24262794237077</v>
      </c>
      <c r="D414" s="13">
        <f ca="1"/>
        <v>12.261306532663317</v>
      </c>
      <c r="E414" s="13">
        <f ca="1"/>
        <v>103.24262794237077</v>
      </c>
      <c r="F414" s="13">
        <f ca="1"/>
        <v>101.86711431891132</v>
      </c>
      <c r="G414" s="13">
        <f ca="1"/>
        <v>105.88730895180807</v>
      </c>
      <c r="H414" s="13">
        <f ca="1"/>
        <v>104.54724407417582</v>
      </c>
      <c r="I414" s="13">
        <f ca="1"/>
        <v>99.186984563646817</v>
      </c>
      <c r="J414" s="13">
        <f ca="1"/>
        <v>97.846919686014573</v>
      </c>
      <c r="M414" s="13">
        <f ca="1"/>
        <v>12.261306532663317</v>
      </c>
      <c r="N414" s="13">
        <f ca="1"/>
        <v>103.24262794237077</v>
      </c>
      <c r="O414" s="13">
        <f ca="1"/>
        <v>1.0264530071781583</v>
      </c>
      <c r="P414" s="13">
        <f ca="1"/>
        <v>3</v>
      </c>
      <c r="Q414" s="13">
        <f ca="1"/>
        <v>2</v>
      </c>
      <c r="R414" s="13">
        <f ca="1"/>
        <v>-2</v>
      </c>
      <c r="S414" s="13">
        <f ca="1"/>
        <v>-3</v>
      </c>
    </row>
    <row r="415" spans="1:19">
      <c r="A415" s="13">
        <f ca="1"/>
        <v>12.361809045226131</v>
      </c>
      <c r="B415" s="13">
        <f ca="1"/>
        <v>102.47712398932792</v>
      </c>
      <c r="D415" s="13">
        <f ca="1"/>
        <v>12.361809045226131</v>
      </c>
      <c r="E415" s="13">
        <f ca="1"/>
        <v>102.47712398932792</v>
      </c>
      <c r="F415" s="13">
        <f ca="1"/>
        <v>102.01961673651547</v>
      </c>
      <c r="G415" s="13">
        <f ca="1"/>
        <v>105.56379663361018</v>
      </c>
      <c r="H415" s="13">
        <f ca="1"/>
        <v>104.38240333457861</v>
      </c>
      <c r="I415" s="13">
        <f ca="1"/>
        <v>99.656830138452335</v>
      </c>
      <c r="J415" s="13">
        <f ca="1"/>
        <v>98.475436839420766</v>
      </c>
      <c r="M415" s="13">
        <f ca="1"/>
        <v>12.361809045226131</v>
      </c>
      <c r="N415" s="13">
        <f ca="1"/>
        <v>102.47712398932792</v>
      </c>
      <c r="O415" s="13">
        <f ca="1"/>
        <v>0.38726074812467909</v>
      </c>
      <c r="P415" s="13">
        <f ca="1"/>
        <v>3</v>
      </c>
      <c r="Q415" s="13">
        <f ca="1"/>
        <v>2</v>
      </c>
      <c r="R415" s="13">
        <f ca="1"/>
        <v>-2</v>
      </c>
      <c r="S415" s="13">
        <f ca="1"/>
        <v>-3</v>
      </c>
    </row>
    <row r="416" spans="1:19">
      <c r="A416" s="13">
        <f ca="1"/>
        <v>12.462311557788945</v>
      </c>
      <c r="B416" s="13">
        <f ca="1"/>
        <v>101.52894339826364</v>
      </c>
      <c r="D416" s="13">
        <f ca="1"/>
        <v>12.462311557788945</v>
      </c>
      <c r="E416" s="13">
        <f ca="1"/>
        <v>101.52894339826364</v>
      </c>
      <c r="F416" s="13">
        <f ca="1"/>
        <v>101.89694840195253</v>
      </c>
      <c r="G416" s="13">
        <f ca="1"/>
        <v>104.39811668836869</v>
      </c>
      <c r="H416" s="13">
        <f ca="1"/>
        <v>103.56439392622997</v>
      </c>
      <c r="I416" s="13">
        <f ca="1"/>
        <v>100.22950287767509</v>
      </c>
      <c r="J416" s="13">
        <f ca="1"/>
        <v>99.395780115536368</v>
      </c>
      <c r="M416" s="13">
        <f ca="1"/>
        <v>12.462311557788945</v>
      </c>
      <c r="N416" s="13">
        <f ca="1"/>
        <v>101.52894339826364</v>
      </c>
      <c r="O416" s="13">
        <f ca="1"/>
        <v>-0.44139973190231979</v>
      </c>
      <c r="P416" s="13">
        <f ca="1"/>
        <v>3</v>
      </c>
      <c r="Q416" s="13">
        <f ca="1"/>
        <v>2</v>
      </c>
      <c r="R416" s="13">
        <f ca="1"/>
        <v>-2</v>
      </c>
      <c r="S416" s="13">
        <f ca="1"/>
        <v>-3</v>
      </c>
    </row>
    <row r="417" spans="1:19">
      <c r="A417" s="13">
        <f ca="1"/>
        <v>12.562814070351759</v>
      </c>
      <c r="B417" s="13">
        <f ca="1"/>
        <v>101.97904414279334</v>
      </c>
      <c r="D417" s="13">
        <f ca="1"/>
        <v>12.562814070351759</v>
      </c>
      <c r="E417" s="13">
        <f ca="1"/>
        <v>101.97904414279334</v>
      </c>
      <c r="F417" s="13">
        <f ca="1"/>
        <v>101.91747233716274</v>
      </c>
      <c r="G417" s="13">
        <f ca="1"/>
        <v>104.36866579336599</v>
      </c>
      <c r="H417" s="13">
        <f ca="1"/>
        <v>103.5516013079649</v>
      </c>
      <c r="I417" s="13">
        <f ca="1"/>
        <v>100.28334336636057</v>
      </c>
      <c r="J417" s="13">
        <f ca="1"/>
        <v>99.466278880959479</v>
      </c>
      <c r="M417" s="13">
        <f ca="1"/>
        <v>12.562814070351759</v>
      </c>
      <c r="N417" s="13">
        <f ca="1"/>
        <v>101.97904414279334</v>
      </c>
      <c r="O417" s="13">
        <f ca="1"/>
        <v>7.535733926849339E-2</v>
      </c>
      <c r="P417" s="13">
        <f ca="1"/>
        <v>3</v>
      </c>
      <c r="Q417" s="13">
        <f ca="1"/>
        <v>2</v>
      </c>
      <c r="R417" s="13">
        <f ca="1"/>
        <v>-2</v>
      </c>
      <c r="S417" s="13">
        <f ca="1"/>
        <v>-3</v>
      </c>
    </row>
    <row r="418" spans="1:19">
      <c r="A418" s="13">
        <f ca="1"/>
        <v>12.663316582914574</v>
      </c>
      <c r="B418" s="13">
        <f ca="1"/>
        <v>102.78747592678246</v>
      </c>
      <c r="D418" s="13">
        <f ca="1"/>
        <v>12.663316582914574</v>
      </c>
      <c r="E418" s="13">
        <f ca="1"/>
        <v>102.78747592678246</v>
      </c>
      <c r="F418" s="13">
        <f ca="1"/>
        <v>102.13497323456767</v>
      </c>
      <c r="G418" s="13">
        <f ca="1"/>
        <v>104.14488040353334</v>
      </c>
      <c r="H418" s="13">
        <f ca="1"/>
        <v>103.47491134721145</v>
      </c>
      <c r="I418" s="13">
        <f ca="1"/>
        <v>100.79503512192389</v>
      </c>
      <c r="J418" s="13">
        <f ca="1"/>
        <v>100.125066065602</v>
      </c>
      <c r="M418" s="13">
        <f ca="1"/>
        <v>12.663316582914574</v>
      </c>
      <c r="N418" s="13">
        <f ca="1"/>
        <v>102.78747592678246</v>
      </c>
      <c r="O418" s="13">
        <f ca="1"/>
        <v>0.97392959578912008</v>
      </c>
      <c r="P418" s="13">
        <f ca="1"/>
        <v>3</v>
      </c>
      <c r="Q418" s="13">
        <f ca="1"/>
        <v>2</v>
      </c>
      <c r="R418" s="13">
        <f ca="1"/>
        <v>-2</v>
      </c>
      <c r="S418" s="13">
        <f ca="1"/>
        <v>-3</v>
      </c>
    </row>
    <row r="419" spans="1:19">
      <c r="A419" s="13">
        <f ca="1"/>
        <v>12.763819095477388</v>
      </c>
      <c r="B419" s="13">
        <f ca="1"/>
        <v>101.35133192115599</v>
      </c>
      <c r="D419" s="13">
        <f ca="1"/>
        <v>12.763819095477388</v>
      </c>
      <c r="E419" s="13">
        <f ca="1"/>
        <v>101.35133192115599</v>
      </c>
      <c r="F419" s="13">
        <f ca="1"/>
        <v>101.93906290621474</v>
      </c>
      <c r="G419" s="13">
        <f ca="1"/>
        <v>104.1943395624117</v>
      </c>
      <c r="H419" s="13">
        <f ca="1"/>
        <v>103.44258067701271</v>
      </c>
      <c r="I419" s="13">
        <f ca="1"/>
        <v>100.43554513541677</v>
      </c>
      <c r="J419" s="13">
        <f ca="1"/>
        <v>99.683786250017789</v>
      </c>
      <c r="M419" s="13">
        <f ca="1"/>
        <v>12.763819095477388</v>
      </c>
      <c r="N419" s="13">
        <f ca="1"/>
        <v>101.35133192115599</v>
      </c>
      <c r="O419" s="13">
        <f ca="1"/>
        <v>-0.78180783290220024</v>
      </c>
      <c r="P419" s="13">
        <f ca="1"/>
        <v>3</v>
      </c>
      <c r="Q419" s="13">
        <f ca="1"/>
        <v>2</v>
      </c>
      <c r="R419" s="13">
        <f ca="1"/>
        <v>-2</v>
      </c>
      <c r="S419" s="13">
        <f ca="1"/>
        <v>-3</v>
      </c>
    </row>
    <row r="420" spans="1:19">
      <c r="A420" s="13">
        <f ca="1"/>
        <v>12.864321608040202</v>
      </c>
      <c r="B420" s="13">
        <f ca="1"/>
        <v>102.09085442348794</v>
      </c>
      <c r="D420" s="13">
        <f ca="1"/>
        <v>12.864321608040202</v>
      </c>
      <c r="E420" s="13">
        <f ca="1"/>
        <v>102.09085442348794</v>
      </c>
      <c r="F420" s="13">
        <f ca="1"/>
        <v>101.97701078553304</v>
      </c>
      <c r="G420" s="13">
        <f ca="1"/>
        <v>104.13824539199514</v>
      </c>
      <c r="H420" s="13">
        <f ca="1"/>
        <v>103.41783385650777</v>
      </c>
      <c r="I420" s="13">
        <f ca="1"/>
        <v>100.53618771455831</v>
      </c>
      <c r="J420" s="13">
        <f ca="1"/>
        <v>99.815776179070937</v>
      </c>
      <c r="M420" s="13">
        <f ca="1"/>
        <v>12.864321608040202</v>
      </c>
      <c r="N420" s="13">
        <f ca="1"/>
        <v>102.09085442348794</v>
      </c>
      <c r="O420" s="13">
        <f ca="1"/>
        <v>0.15802583988037328</v>
      </c>
      <c r="P420" s="13">
        <f ca="1"/>
        <v>3</v>
      </c>
      <c r="Q420" s="13">
        <f ca="1"/>
        <v>2</v>
      </c>
      <c r="R420" s="13">
        <f ca="1"/>
        <v>-2</v>
      </c>
      <c r="S420" s="13">
        <f ca="1"/>
        <v>-3</v>
      </c>
    </row>
    <row r="421" spans="1:19">
      <c r="A421" s="13">
        <f ca="1"/>
        <v>12.964824120603016</v>
      </c>
      <c r="B421" s="13">
        <f ca="1"/>
        <v>101.30427870650745</v>
      </c>
      <c r="D421" s="13">
        <f ca="1"/>
        <v>12.964824120603016</v>
      </c>
      <c r="E421" s="13">
        <f ca="1"/>
        <v>101.30427870650745</v>
      </c>
      <c r="F421" s="13">
        <f ca="1"/>
        <v>101.80882776577664</v>
      </c>
      <c r="G421" s="13">
        <f ca="1"/>
        <v>103.56457212772838</v>
      </c>
      <c r="H421" s="13">
        <f ca="1"/>
        <v>102.97932400707781</v>
      </c>
      <c r="I421" s="13">
        <f ca="1"/>
        <v>100.63833152447548</v>
      </c>
      <c r="J421" s="13">
        <f ca="1"/>
        <v>100.0530834038249</v>
      </c>
      <c r="M421" s="13">
        <f ca="1"/>
        <v>12.964824120603016</v>
      </c>
      <c r="N421" s="13">
        <f ca="1"/>
        <v>101.30427870650745</v>
      </c>
      <c r="O421" s="13">
        <f ca="1"/>
        <v>-0.86211137031644114</v>
      </c>
      <c r="P421" s="13">
        <f ca="1"/>
        <v>3</v>
      </c>
      <c r="Q421" s="13">
        <f ca="1"/>
        <v>2</v>
      </c>
      <c r="R421" s="13">
        <f ca="1"/>
        <v>-2</v>
      </c>
      <c r="S421" s="13">
        <f ca="1"/>
        <v>-3</v>
      </c>
    </row>
    <row r="422" spans="1:19">
      <c r="A422" s="13">
        <f ca="1"/>
        <v>13.06532663316583</v>
      </c>
      <c r="B422" s="13">
        <f ca="1"/>
        <v>100.72188224294807</v>
      </c>
      <c r="D422" s="13">
        <f ca="1"/>
        <v>13.06532663316583</v>
      </c>
      <c r="E422" s="13">
        <f ca="1"/>
        <v>100.72188224294807</v>
      </c>
      <c r="F422" s="13">
        <f ca="1"/>
        <v>101.5370913850695</v>
      </c>
      <c r="G422" s="13">
        <f ca="1"/>
        <v>103.5933420635203</v>
      </c>
      <c r="H422" s="13">
        <f ca="1"/>
        <v>102.90792517070336</v>
      </c>
      <c r="I422" s="13">
        <f ca="1"/>
        <v>100.16625759943564</v>
      </c>
      <c r="J422" s="13">
        <f ca="1"/>
        <v>99.480840706618707</v>
      </c>
      <c r="M422" s="13">
        <f ca="1"/>
        <v>13.06532663316583</v>
      </c>
      <c r="N422" s="13">
        <f ca="1"/>
        <v>100.72188224294807</v>
      </c>
      <c r="O422" s="13">
        <f ca="1"/>
        <v>-1.1893624896974486</v>
      </c>
      <c r="P422" s="13">
        <f ca="1"/>
        <v>3</v>
      </c>
      <c r="Q422" s="13">
        <f ca="1"/>
        <v>2</v>
      </c>
      <c r="R422" s="13">
        <f ca="1"/>
        <v>-2</v>
      </c>
      <c r="S422" s="13">
        <f ca="1"/>
        <v>-3</v>
      </c>
    </row>
    <row r="423" spans="1:19">
      <c r="A423" s="13">
        <f ca="1"/>
        <v>13.165829145728644</v>
      </c>
      <c r="B423" s="13">
        <f ca="1"/>
        <v>102.49608679031248</v>
      </c>
      <c r="D423" s="13">
        <f ca="1"/>
        <v>13.165829145728644</v>
      </c>
      <c r="E423" s="13">
        <f ca="1"/>
        <v>102.49608679031248</v>
      </c>
      <c r="F423" s="13">
        <f ca="1"/>
        <v>101.77684023638024</v>
      </c>
      <c r="G423" s="13">
        <f ca="1"/>
        <v>103.96618929281651</v>
      </c>
      <c r="H423" s="13">
        <f ca="1"/>
        <v>103.23640627400442</v>
      </c>
      <c r="I423" s="13">
        <f ca="1"/>
        <v>100.31727419875605</v>
      </c>
      <c r="J423" s="13">
        <f ca="1"/>
        <v>99.587491179943967</v>
      </c>
      <c r="M423" s="13">
        <f ca="1"/>
        <v>13.165829145728644</v>
      </c>
      <c r="N423" s="13">
        <f ca="1"/>
        <v>102.49608679031248</v>
      </c>
      <c r="O423" s="13">
        <f ca="1"/>
        <v>0.98556219505216169</v>
      </c>
      <c r="P423" s="13">
        <f ca="1"/>
        <v>3</v>
      </c>
      <c r="Q423" s="13">
        <f ca="1"/>
        <v>2</v>
      </c>
      <c r="R423" s="13">
        <f ca="1"/>
        <v>-2</v>
      </c>
      <c r="S423" s="13">
        <f ca="1"/>
        <v>-3</v>
      </c>
    </row>
    <row r="424" spans="1:19">
      <c r="A424" s="13">
        <f ca="1"/>
        <v>13.266331658291458</v>
      </c>
      <c r="B424" s="13">
        <f ca="1"/>
        <v>101.82265459856552</v>
      </c>
      <c r="D424" s="13">
        <f ca="1"/>
        <v>13.266331658291458</v>
      </c>
      <c r="E424" s="13">
        <f ca="1"/>
        <v>101.82265459856552</v>
      </c>
      <c r="F424" s="13">
        <f ca="1"/>
        <v>101.78829382692656</v>
      </c>
      <c r="G424" s="13">
        <f ca="1"/>
        <v>103.96355220304287</v>
      </c>
      <c r="H424" s="13">
        <f ca="1"/>
        <v>103.23846607767076</v>
      </c>
      <c r="I424" s="13">
        <f ca="1"/>
        <v>100.33812157618236</v>
      </c>
      <c r="J424" s="13">
        <f ca="1"/>
        <v>99.613035450810258</v>
      </c>
      <c r="M424" s="13">
        <f ca="1"/>
        <v>13.266331658291458</v>
      </c>
      <c r="N424" s="13">
        <f ca="1"/>
        <v>101.82265459856552</v>
      </c>
      <c r="O424" s="13">
        <f ca="1"/>
        <v>4.7388538322016727E-2</v>
      </c>
      <c r="P424" s="13">
        <f ca="1"/>
        <v>3</v>
      </c>
      <c r="Q424" s="13">
        <f ca="1"/>
        <v>2</v>
      </c>
      <c r="R424" s="13">
        <f ca="1"/>
        <v>-2</v>
      </c>
      <c r="S424" s="13">
        <f ca="1"/>
        <v>-3</v>
      </c>
    </row>
    <row r="425" spans="1:19">
      <c r="A425" s="13">
        <f ca="1"/>
        <v>13.366834170854272</v>
      </c>
      <c r="B425" s="13">
        <f ca="1"/>
        <v>100.842501375187</v>
      </c>
      <c r="D425" s="13">
        <f ca="1"/>
        <v>13.366834170854272</v>
      </c>
      <c r="E425" s="13">
        <f ca="1"/>
        <v>100.842501375187</v>
      </c>
      <c r="F425" s="13">
        <f ca="1"/>
        <v>101.55184571399167</v>
      </c>
      <c r="G425" s="13">
        <f ca="1"/>
        <v>103.50720872747335</v>
      </c>
      <c r="H425" s="13">
        <f ca="1"/>
        <v>102.85542105631279</v>
      </c>
      <c r="I425" s="13">
        <f ca="1"/>
        <v>100.24827037167054</v>
      </c>
      <c r="J425" s="13">
        <f ca="1"/>
        <v>99.596482700509981</v>
      </c>
      <c r="M425" s="13">
        <f ca="1"/>
        <v>13.366834170854272</v>
      </c>
      <c r="N425" s="13">
        <f ca="1"/>
        <v>100.842501375187</v>
      </c>
      <c r="O425" s="13">
        <f ca="1"/>
        <v>-1.0883058550979061</v>
      </c>
      <c r="P425" s="13">
        <f ca="1"/>
        <v>3</v>
      </c>
      <c r="Q425" s="13">
        <f ca="1"/>
        <v>2</v>
      </c>
      <c r="R425" s="13">
        <f ca="1"/>
        <v>-2</v>
      </c>
      <c r="S425" s="13">
        <f ca="1"/>
        <v>-3</v>
      </c>
    </row>
    <row r="426" spans="1:19">
      <c r="A426" s="13">
        <f ca="1"/>
        <v>13.467336683417086</v>
      </c>
      <c r="B426" s="13">
        <f ca="1"/>
        <v>104.0380963400121</v>
      </c>
      <c r="D426" s="13">
        <f ca="1"/>
        <v>13.467336683417086</v>
      </c>
      <c r="E426" s="13">
        <f ca="1"/>
        <v>104.0380963400121</v>
      </c>
      <c r="F426" s="13">
        <f ca="1"/>
        <v>102.17340837049677</v>
      </c>
      <c r="G426" s="13">
        <f ca="1"/>
        <v>105.71134290583825</v>
      </c>
      <c r="H426" s="13">
        <f ca="1"/>
        <v>104.53203139405775</v>
      </c>
      <c r="I426" s="13">
        <f ca="1"/>
        <v>99.814785346935793</v>
      </c>
      <c r="J426" s="13">
        <f ca="1"/>
        <v>98.635473835155295</v>
      </c>
      <c r="M426" s="13">
        <f ca="1"/>
        <v>13.467336683417086</v>
      </c>
      <c r="N426" s="13">
        <f ca="1"/>
        <v>104.0380963400121</v>
      </c>
      <c r="O426" s="13">
        <f ca="1"/>
        <v>1.5811665966866353</v>
      </c>
      <c r="P426" s="13">
        <f ca="1"/>
        <v>3</v>
      </c>
      <c r="Q426" s="13">
        <f ca="1"/>
        <v>2</v>
      </c>
      <c r="R426" s="13">
        <f ca="1"/>
        <v>-2</v>
      </c>
      <c r="S426" s="13">
        <f ca="1"/>
        <v>-3</v>
      </c>
    </row>
    <row r="427" spans="1:19">
      <c r="A427" s="13">
        <f ca="1"/>
        <v>13.5678391959799</v>
      </c>
      <c r="B427" s="13">
        <f ca="1"/>
        <v>102.01830829450886</v>
      </c>
      <c r="D427" s="13">
        <f ca="1"/>
        <v>13.5678391959799</v>
      </c>
      <c r="E427" s="13">
        <f ca="1"/>
        <v>102.01830829450886</v>
      </c>
      <c r="F427" s="13">
        <f ca="1"/>
        <v>102.1346333514998</v>
      </c>
      <c r="G427" s="13">
        <f ca="1"/>
        <v>105.6459668105186</v>
      </c>
      <c r="H427" s="13">
        <f ca="1"/>
        <v>104.475522324179</v>
      </c>
      <c r="I427" s="13">
        <f ca="1"/>
        <v>99.793744378820605</v>
      </c>
      <c r="J427" s="13">
        <f ca="1"/>
        <v>98.623299892481</v>
      </c>
      <c r="M427" s="13">
        <f ca="1"/>
        <v>13.5678391959799</v>
      </c>
      <c r="N427" s="13">
        <f ca="1"/>
        <v>102.01830829450886</v>
      </c>
      <c r="O427" s="13">
        <f ca="1"/>
        <v>-9.9385368847979536E-2</v>
      </c>
      <c r="P427" s="13">
        <f ca="1"/>
        <v>3</v>
      </c>
      <c r="Q427" s="13">
        <f ca="1"/>
        <v>2</v>
      </c>
      <c r="R427" s="13">
        <f ca="1"/>
        <v>-2</v>
      </c>
      <c r="S427" s="13">
        <f ca="1"/>
        <v>-3</v>
      </c>
    </row>
    <row r="428" spans="1:19">
      <c r="A428" s="13">
        <f ca="1"/>
        <v>13.668341708542714</v>
      </c>
      <c r="B428" s="13">
        <f ca="1"/>
        <v>99.116773458607767</v>
      </c>
      <c r="D428" s="13">
        <f ca="1"/>
        <v>13.668341708542714</v>
      </c>
      <c r="E428" s="13">
        <f ca="1"/>
        <v>99.116773458607767</v>
      </c>
      <c r="F428" s="13">
        <f ca="1"/>
        <v>101.38016837827679</v>
      </c>
      <c r="G428" s="13">
        <f ca="1"/>
        <v>106.08520630019993</v>
      </c>
      <c r="H428" s="13">
        <f ca="1"/>
        <v>104.51686032622555</v>
      </c>
      <c r="I428" s="13">
        <f ca="1"/>
        <v>98.24347643032803</v>
      </c>
      <c r="J428" s="13">
        <f ca="1"/>
        <v>96.675130456353656</v>
      </c>
      <c r="M428" s="13">
        <f ca="1"/>
        <v>13.668341708542714</v>
      </c>
      <c r="N428" s="13">
        <f ca="1"/>
        <v>99.116773458607767</v>
      </c>
      <c r="O428" s="13">
        <f ca="1"/>
        <v>-1.443173226589352</v>
      </c>
      <c r="P428" s="13">
        <f ca="1"/>
        <v>3</v>
      </c>
      <c r="Q428" s="13">
        <f ca="1"/>
        <v>2</v>
      </c>
      <c r="R428" s="13">
        <f ca="1"/>
        <v>-2</v>
      </c>
      <c r="S428" s="13">
        <f ca="1"/>
        <v>-3</v>
      </c>
    </row>
    <row r="429" spans="1:19">
      <c r="A429" s="13">
        <f ca="1"/>
        <v>13.768844221105528</v>
      </c>
      <c r="B429" s="13">
        <f ca="1"/>
        <v>101.87511144736955</v>
      </c>
      <c r="D429" s="13">
        <f ca="1"/>
        <v>13.768844221105528</v>
      </c>
      <c r="E429" s="13">
        <f ca="1"/>
        <v>101.87511144736955</v>
      </c>
      <c r="F429" s="13">
        <f ca="1"/>
        <v>101.50390414554998</v>
      </c>
      <c r="G429" s="13">
        <f ca="1"/>
        <v>106.09406939762646</v>
      </c>
      <c r="H429" s="13">
        <f ca="1"/>
        <v>104.56401431360096</v>
      </c>
      <c r="I429" s="13">
        <f ca="1"/>
        <v>98.443793977498999</v>
      </c>
      <c r="J429" s="13">
        <f ca="1"/>
        <v>96.913738893473507</v>
      </c>
      <c r="M429" s="13">
        <f ca="1"/>
        <v>13.768844221105528</v>
      </c>
      <c r="N429" s="13">
        <f ca="1"/>
        <v>101.87511144736955</v>
      </c>
      <c r="O429" s="13">
        <f ca="1"/>
        <v>0.24261041690273014</v>
      </c>
      <c r="P429" s="13">
        <f ca="1"/>
        <v>3</v>
      </c>
      <c r="Q429" s="13">
        <f ca="1"/>
        <v>2</v>
      </c>
      <c r="R429" s="13">
        <f ca="1"/>
        <v>-2</v>
      </c>
      <c r="S429" s="13">
        <f ca="1"/>
        <v>-3</v>
      </c>
    </row>
    <row r="430" spans="1:19">
      <c r="A430" s="13">
        <f ca="1"/>
        <v>13.869346733668342</v>
      </c>
      <c r="B430" s="13">
        <f ca="1"/>
        <v>100.2335333265119</v>
      </c>
      <c r="D430" s="13">
        <f ca="1"/>
        <v>13.869346733668342</v>
      </c>
      <c r="E430" s="13">
        <f ca="1"/>
        <v>100.2335333265119</v>
      </c>
      <c r="F430" s="13">
        <f ca="1"/>
        <v>101.18631144079046</v>
      </c>
      <c r="G430" s="13">
        <f ca="1"/>
        <v>105.93182293516465</v>
      </c>
      <c r="H430" s="13">
        <f ca="1"/>
        <v>104.34998577037325</v>
      </c>
      <c r="I430" s="13">
        <f ca="1"/>
        <v>98.022637111207672</v>
      </c>
      <c r="J430" s="13">
        <f ca="1"/>
        <v>96.440799946416277</v>
      </c>
      <c r="M430" s="13">
        <f ca="1"/>
        <v>13.869346733668342</v>
      </c>
      <c r="N430" s="13">
        <f ca="1"/>
        <v>100.2335333265119</v>
      </c>
      <c r="O430" s="13">
        <f ca="1"/>
        <v>-0.60232376346032224</v>
      </c>
      <c r="P430" s="13">
        <f ca="1"/>
        <v>3</v>
      </c>
      <c r="Q430" s="13">
        <f ca="1"/>
        <v>2</v>
      </c>
      <c r="R430" s="13">
        <f ca="1"/>
        <v>-2</v>
      </c>
      <c r="S430" s="13">
        <f ca="1"/>
        <v>-3</v>
      </c>
    </row>
    <row r="431" spans="1:19">
      <c r="A431" s="13">
        <f ca="1"/>
        <v>13.969849246231156</v>
      </c>
      <c r="B431" s="13">
        <f ca="1"/>
        <v>101.97848451618044</v>
      </c>
      <c r="D431" s="13">
        <f ca="1"/>
        <v>13.969849246231156</v>
      </c>
      <c r="E431" s="13">
        <f ca="1"/>
        <v>101.97848451618044</v>
      </c>
      <c r="F431" s="13">
        <f ca="1"/>
        <v>101.38435470963796</v>
      </c>
      <c r="G431" s="13">
        <f ca="1"/>
        <v>106.09572295248559</v>
      </c>
      <c r="H431" s="13">
        <f ca="1"/>
        <v>104.52526687153637</v>
      </c>
      <c r="I431" s="13">
        <f ca="1"/>
        <v>98.243442547739548</v>
      </c>
      <c r="J431" s="13">
        <f ca="1"/>
        <v>96.672986466790334</v>
      </c>
      <c r="M431" s="13">
        <f ca="1"/>
        <v>13.969849246231156</v>
      </c>
      <c r="N431" s="13">
        <f ca="1"/>
        <v>101.97848451618044</v>
      </c>
      <c r="O431" s="13">
        <f ca="1"/>
        <v>0.37831672833752955</v>
      </c>
      <c r="P431" s="13">
        <f ca="1"/>
        <v>3</v>
      </c>
      <c r="Q431" s="13">
        <f ca="1"/>
        <v>2</v>
      </c>
      <c r="R431" s="13">
        <f ca="1"/>
        <v>-2</v>
      </c>
      <c r="S431" s="13">
        <f ca="1"/>
        <v>-3</v>
      </c>
    </row>
    <row r="432" spans="1:19">
      <c r="A432" s="13">
        <f ca="1"/>
        <v>14.07035175879397</v>
      </c>
      <c r="B432" s="13">
        <f ca="1"/>
        <v>100.41860371946335</v>
      </c>
      <c r="D432" s="13">
        <f ca="1"/>
        <v>14.07035175879397</v>
      </c>
      <c r="E432" s="13">
        <f ca="1"/>
        <v>100.41860371946335</v>
      </c>
      <c r="F432" s="13">
        <f ca="1"/>
        <v>101.14291696209432</v>
      </c>
      <c r="G432" s="13">
        <f ca="1"/>
        <v>106.01726634694543</v>
      </c>
      <c r="H432" s="13">
        <f ca="1"/>
        <v>104.39248321866172</v>
      </c>
      <c r="I432" s="13">
        <f ca="1"/>
        <v>97.893350705526913</v>
      </c>
      <c r="J432" s="13">
        <f ca="1"/>
        <v>96.268567577243203</v>
      </c>
      <c r="M432" s="13">
        <f ca="1"/>
        <v>14.07035175879397</v>
      </c>
      <c r="N432" s="13">
        <f ca="1"/>
        <v>100.41860371946335</v>
      </c>
      <c r="O432" s="13">
        <f ca="1"/>
        <v>-0.44579072124910524</v>
      </c>
      <c r="P432" s="13">
        <f ca="1"/>
        <v>3</v>
      </c>
      <c r="Q432" s="13">
        <f ca="1"/>
        <v>2</v>
      </c>
      <c r="R432" s="13">
        <f ca="1"/>
        <v>-2</v>
      </c>
      <c r="S432" s="13">
        <f ca="1"/>
        <v>-3</v>
      </c>
    </row>
    <row r="433" spans="1:19">
      <c r="A433" s="13">
        <f ca="1"/>
        <v>14.170854271356784</v>
      </c>
      <c r="B433" s="13">
        <f ca="1"/>
        <v>102.64816152317181</v>
      </c>
      <c r="D433" s="13">
        <f ca="1"/>
        <v>14.170854271356784</v>
      </c>
      <c r="E433" s="13">
        <f ca="1"/>
        <v>102.64816152317181</v>
      </c>
      <c r="F433" s="13">
        <f ca="1"/>
        <v>101.51922810236368</v>
      </c>
      <c r="G433" s="13">
        <f ca="1"/>
        <v>105.48734752846818</v>
      </c>
      <c r="H433" s="13">
        <f ca="1"/>
        <v>104.16464105310001</v>
      </c>
      <c r="I433" s="13">
        <f ca="1"/>
        <v>98.873815151627355</v>
      </c>
      <c r="J433" s="13">
        <f ca="1"/>
        <v>97.55110867625919</v>
      </c>
      <c r="M433" s="13">
        <f ca="1"/>
        <v>14.170854271356784</v>
      </c>
      <c r="N433" s="13">
        <f ca="1"/>
        <v>102.64816152317181</v>
      </c>
      <c r="O433" s="13">
        <f ca="1"/>
        <v>0.8535026038138156</v>
      </c>
      <c r="P433" s="13">
        <f ca="1"/>
        <v>3</v>
      </c>
      <c r="Q433" s="13">
        <f ca="1"/>
        <v>2</v>
      </c>
      <c r="R433" s="13">
        <f ca="1"/>
        <v>-2</v>
      </c>
      <c r="S433" s="13">
        <f ca="1"/>
        <v>-3</v>
      </c>
    </row>
    <row r="434" spans="1:19">
      <c r="A434" s="13">
        <f ca="1"/>
        <v>14.271356783919598</v>
      </c>
      <c r="B434" s="13">
        <f ca="1"/>
        <v>100.95838516513349</v>
      </c>
      <c r="D434" s="13">
        <f ca="1"/>
        <v>14.271356783919598</v>
      </c>
      <c r="E434" s="13">
        <f ca="1"/>
        <v>100.95838516513349</v>
      </c>
      <c r="F434" s="13">
        <f ca="1"/>
        <v>101.37901736805614</v>
      </c>
      <c r="G434" s="13">
        <f ca="1"/>
        <v>105.20238056793958</v>
      </c>
      <c r="H434" s="13">
        <f ca="1"/>
        <v>103.92792616797844</v>
      </c>
      <c r="I434" s="13">
        <f ca="1"/>
        <v>98.830108568133838</v>
      </c>
      <c r="J434" s="13">
        <f ca="1"/>
        <v>97.555654168172694</v>
      </c>
      <c r="M434" s="13">
        <f ca="1"/>
        <v>14.271356783919598</v>
      </c>
      <c r="N434" s="13">
        <f ca="1"/>
        <v>100.95838516513349</v>
      </c>
      <c r="O434" s="13">
        <f ca="1"/>
        <v>-0.33004884516501276</v>
      </c>
      <c r="P434" s="13">
        <f ca="1"/>
        <v>3</v>
      </c>
      <c r="Q434" s="13">
        <f ca="1"/>
        <v>2</v>
      </c>
      <c r="R434" s="13">
        <f ca="1"/>
        <v>-2</v>
      </c>
      <c r="S434" s="13">
        <f ca="1"/>
        <v>-3</v>
      </c>
    </row>
    <row r="435" spans="1:19">
      <c r="A435" s="13">
        <f ca="1"/>
        <v>14.371859296482413</v>
      </c>
      <c r="B435" s="13">
        <f ca="1"/>
        <v>100.64665372240904</v>
      </c>
      <c r="D435" s="13">
        <f ca="1"/>
        <v>14.371859296482413</v>
      </c>
      <c r="E435" s="13">
        <f ca="1"/>
        <v>100.64665372240904</v>
      </c>
      <c r="F435" s="13">
        <f ca="1"/>
        <v>101.19592645664437</v>
      </c>
      <c r="G435" s="13">
        <f ca="1"/>
        <v>103.95397838682125</v>
      </c>
      <c r="H435" s="13">
        <f ca="1"/>
        <v>103.03462774342896</v>
      </c>
      <c r="I435" s="13">
        <f ca="1"/>
        <v>99.357225169859788</v>
      </c>
      <c r="J435" s="13">
        <f ca="1"/>
        <v>98.437874526467496</v>
      </c>
      <c r="M435" s="13">
        <f ca="1"/>
        <v>14.371859296482413</v>
      </c>
      <c r="N435" s="13">
        <f ca="1"/>
        <v>100.64665372240904</v>
      </c>
      <c r="O435" s="13">
        <f ca="1"/>
        <v>-0.59745727942124438</v>
      </c>
      <c r="P435" s="13">
        <f ca="1"/>
        <v>3</v>
      </c>
      <c r="Q435" s="13">
        <f ca="1"/>
        <v>2</v>
      </c>
      <c r="R435" s="13">
        <f ca="1"/>
        <v>-2</v>
      </c>
      <c r="S435" s="13">
        <f ca="1"/>
        <v>-3</v>
      </c>
    </row>
    <row r="436" spans="1:19">
      <c r="A436" s="13">
        <f ca="1"/>
        <v>14.472361809045227</v>
      </c>
      <c r="B436" s="13">
        <f ca="1"/>
        <v>100.65554321451457</v>
      </c>
      <c r="D436" s="13">
        <f ca="1"/>
        <v>14.472361809045227</v>
      </c>
      <c r="E436" s="13">
        <f ca="1"/>
        <v>100.65554321451457</v>
      </c>
      <c r="F436" s="13">
        <f ca="1"/>
        <v>101.06083064611192</v>
      </c>
      <c r="G436" s="13">
        <f ca="1"/>
        <v>103.74547579633969</v>
      </c>
      <c r="H436" s="13">
        <f ca="1"/>
        <v>102.8505940795971</v>
      </c>
      <c r="I436" s="13">
        <f ca="1"/>
        <v>99.271067212626747</v>
      </c>
      <c r="J436" s="13">
        <f ca="1"/>
        <v>98.376185495884158</v>
      </c>
      <c r="M436" s="13">
        <f ca="1"/>
        <v>14.472361809045227</v>
      </c>
      <c r="N436" s="13">
        <f ca="1"/>
        <v>100.65554321451457</v>
      </c>
      <c r="O436" s="13">
        <f ca="1"/>
        <v>-0.45289497373197468</v>
      </c>
      <c r="P436" s="13">
        <f ca="1"/>
        <v>3</v>
      </c>
      <c r="Q436" s="13">
        <f ca="1"/>
        <v>2</v>
      </c>
      <c r="R436" s="13">
        <f ca="1"/>
        <v>-2</v>
      </c>
      <c r="S436" s="13">
        <f ca="1"/>
        <v>-3</v>
      </c>
    </row>
    <row r="437" spans="1:19">
      <c r="A437" s="13">
        <f ca="1"/>
        <v>14.572864321608041</v>
      </c>
      <c r="B437" s="13">
        <f ca="1"/>
        <v>100.80314565464246</v>
      </c>
      <c r="D437" s="13">
        <f ca="1"/>
        <v>14.572864321608041</v>
      </c>
      <c r="E437" s="13">
        <f ca="1"/>
        <v>100.80314565464246</v>
      </c>
      <c r="F437" s="13">
        <f ca="1"/>
        <v>100.99640939824457</v>
      </c>
      <c r="G437" s="13">
        <f ca="1"/>
        <v>103.53725518069187</v>
      </c>
      <c r="H437" s="13">
        <f ca="1"/>
        <v>102.69030658654277</v>
      </c>
      <c r="I437" s="13">
        <f ca="1"/>
        <v>99.302512209946357</v>
      </c>
      <c r="J437" s="13">
        <f ca="1"/>
        <v>98.45556361579726</v>
      </c>
      <c r="M437" s="13">
        <f ca="1"/>
        <v>14.572864321608041</v>
      </c>
      <c r="N437" s="13">
        <f ca="1"/>
        <v>100.80314565464246</v>
      </c>
      <c r="O437" s="13">
        <f ca="1"/>
        <v>-0.22818828077312908</v>
      </c>
      <c r="P437" s="13">
        <f ca="1"/>
        <v>3</v>
      </c>
      <c r="Q437" s="13">
        <f ca="1"/>
        <v>2</v>
      </c>
      <c r="R437" s="13">
        <f ca="1"/>
        <v>-2</v>
      </c>
      <c r="S437" s="13">
        <f ca="1"/>
        <v>-3</v>
      </c>
    </row>
    <row r="438" spans="1:19">
      <c r="A438" s="13">
        <f ca="1"/>
        <v>14.673366834170855</v>
      </c>
      <c r="B438" s="13">
        <f ca="1"/>
        <v>100.45045247367803</v>
      </c>
      <c r="D438" s="13">
        <f ca="1"/>
        <v>14.673366834170855</v>
      </c>
      <c r="E438" s="13">
        <f ca="1"/>
        <v>100.45045247367803</v>
      </c>
      <c r="F438" s="13">
        <f ca="1"/>
        <v>100.85992016710293</v>
      </c>
      <c r="G438" s="13">
        <f ca="1"/>
        <v>103.20312385951476</v>
      </c>
      <c r="H438" s="13">
        <f ca="1"/>
        <v>102.42205596204414</v>
      </c>
      <c r="I438" s="13">
        <f ca="1"/>
        <v>99.297784372161715</v>
      </c>
      <c r="J438" s="13">
        <f ca="1"/>
        <v>98.516716474691094</v>
      </c>
      <c r="M438" s="13">
        <f ca="1"/>
        <v>14.673366834170855</v>
      </c>
      <c r="N438" s="13">
        <f ca="1"/>
        <v>100.45045247367803</v>
      </c>
      <c r="O438" s="13">
        <f ca="1"/>
        <v>-0.5242408435309025</v>
      </c>
      <c r="P438" s="13">
        <f ca="1"/>
        <v>3</v>
      </c>
      <c r="Q438" s="13">
        <f ca="1"/>
        <v>2</v>
      </c>
      <c r="R438" s="13">
        <f ca="1"/>
        <v>-2</v>
      </c>
      <c r="S438" s="13">
        <f ca="1"/>
        <v>-3</v>
      </c>
    </row>
    <row r="439" spans="1:19">
      <c r="A439" s="13">
        <f ca="1"/>
        <v>14.773869346733669</v>
      </c>
      <c r="B439" s="13">
        <f ca="1"/>
        <v>100.94449285130428</v>
      </c>
      <c r="D439" s="13">
        <f ca="1"/>
        <v>14.773869346733669</v>
      </c>
      <c r="E439" s="13">
        <f ca="1"/>
        <v>100.94449285130428</v>
      </c>
      <c r="F439" s="13">
        <f ca="1"/>
        <v>100.88106333815327</v>
      </c>
      <c r="G439" s="13">
        <f ca="1"/>
        <v>103.1493034179362</v>
      </c>
      <c r="H439" s="13">
        <f ca="1"/>
        <v>102.39322339134189</v>
      </c>
      <c r="I439" s="13">
        <f ca="1"/>
        <v>99.368903284964645</v>
      </c>
      <c r="J439" s="13">
        <f ca="1"/>
        <v>98.612823258370341</v>
      </c>
      <c r="M439" s="13">
        <f ca="1"/>
        <v>14.773869346733669</v>
      </c>
      <c r="N439" s="13">
        <f ca="1"/>
        <v>100.94449285130428</v>
      </c>
      <c r="O439" s="13">
        <f ca="1"/>
        <v>8.3892591947864623E-2</v>
      </c>
      <c r="P439" s="13">
        <f ca="1"/>
        <v>3</v>
      </c>
      <c r="Q439" s="13">
        <f ca="1"/>
        <v>2</v>
      </c>
      <c r="R439" s="13">
        <f ca="1"/>
        <v>-2</v>
      </c>
      <c r="S439" s="13">
        <f ca="1"/>
        <v>-3</v>
      </c>
    </row>
    <row r="440" spans="1:19">
      <c r="A440" s="13">
        <f ca="1"/>
        <v>14.874371859296483</v>
      </c>
      <c r="B440" s="13">
        <f ca="1"/>
        <v>98.581627476005565</v>
      </c>
      <c r="D440" s="13">
        <f ca="1"/>
        <v>14.874371859296483</v>
      </c>
      <c r="E440" s="13">
        <f ca="1"/>
        <v>98.581627476005565</v>
      </c>
      <c r="F440" s="13">
        <f ca="1"/>
        <v>100.30620437261635</v>
      </c>
      <c r="G440" s="13">
        <f ca="1"/>
        <v>102.84961320108428</v>
      </c>
      <c r="H440" s="13">
        <f ca="1"/>
        <v>102.00181025826164</v>
      </c>
      <c r="I440" s="13">
        <f ca="1"/>
        <v>98.610598486971057</v>
      </c>
      <c r="J440" s="13">
        <f ca="1"/>
        <v>97.762795544148418</v>
      </c>
      <c r="M440" s="13">
        <f ca="1"/>
        <v>14.874371859296483</v>
      </c>
      <c r="N440" s="13">
        <f ca="1"/>
        <v>98.581627476005565</v>
      </c>
      <c r="O440" s="13">
        <f ca="1"/>
        <v>-2.0341718688414048</v>
      </c>
      <c r="P440" s="13">
        <f ca="1"/>
        <v>3</v>
      </c>
      <c r="Q440" s="13">
        <f ca="1"/>
        <v>2</v>
      </c>
      <c r="R440" s="13">
        <f ca="1"/>
        <v>-2</v>
      </c>
      <c r="S440" s="13">
        <f ca="1"/>
        <v>-3</v>
      </c>
    </row>
    <row r="441" spans="1:19">
      <c r="A441" s="13">
        <f ca="1"/>
        <v>14.974874371859297</v>
      </c>
      <c r="B441" s="13">
        <f ca="1"/>
        <v>100.14465773718383</v>
      </c>
      <c r="D441" s="13">
        <f ca="1"/>
        <v>14.974874371859297</v>
      </c>
      <c r="E441" s="13">
        <f ca="1"/>
        <v>100.14465773718383</v>
      </c>
      <c r="F441" s="13">
        <f ca="1"/>
        <v>100.26581771375822</v>
      </c>
      <c r="G441" s="13">
        <f ca="1"/>
        <v>102.69424615039325</v>
      </c>
      <c r="H441" s="13">
        <f ca="1"/>
        <v>101.88477000484824</v>
      </c>
      <c r="I441" s="13">
        <f ca="1"/>
        <v>98.646865422668213</v>
      </c>
      <c r="J441" s="13">
        <f ca="1"/>
        <v>97.837389277123194</v>
      </c>
      <c r="M441" s="13">
        <f ca="1"/>
        <v>14.974874371859297</v>
      </c>
      <c r="N441" s="13">
        <f ca="1"/>
        <v>100.14465773718383</v>
      </c>
      <c r="O441" s="13">
        <f ca="1"/>
        <v>-0.14967701919469728</v>
      </c>
      <c r="P441" s="13">
        <f ca="1"/>
        <v>3</v>
      </c>
      <c r="Q441" s="13">
        <f ca="1"/>
        <v>2</v>
      </c>
      <c r="R441" s="13">
        <f ca="1"/>
        <v>-2</v>
      </c>
      <c r="S441" s="13">
        <f ca="1"/>
        <v>-3</v>
      </c>
    </row>
    <row r="442" spans="1:19">
      <c r="A442" s="13">
        <f ca="1"/>
        <v>15.075376884422111</v>
      </c>
      <c r="B442" s="13">
        <f ca="1"/>
        <v>101.93389906290388</v>
      </c>
      <c r="D442" s="13">
        <f ca="1"/>
        <v>15.075376884422111</v>
      </c>
      <c r="E442" s="13">
        <f ca="1"/>
        <v>101.93389906290388</v>
      </c>
      <c r="F442" s="13">
        <f ca="1"/>
        <v>100.68283805104464</v>
      </c>
      <c r="G442" s="13">
        <f ca="1"/>
        <v>103.78305485110779</v>
      </c>
      <c r="H442" s="13">
        <f ca="1"/>
        <v>102.74964925108674</v>
      </c>
      <c r="I442" s="13">
        <f ca="1"/>
        <v>98.616026851002545</v>
      </c>
      <c r="J442" s="13">
        <f ca="1"/>
        <v>97.582621250981489</v>
      </c>
      <c r="M442" s="13">
        <f ca="1"/>
        <v>15.075376884422111</v>
      </c>
      <c r="N442" s="13">
        <f ca="1"/>
        <v>101.93389906290388</v>
      </c>
      <c r="O442" s="13">
        <f ca="1"/>
        <v>1.2106195397371105</v>
      </c>
      <c r="P442" s="13">
        <f ca="1"/>
        <v>3</v>
      </c>
      <c r="Q442" s="13">
        <f ca="1"/>
        <v>2</v>
      </c>
      <c r="R442" s="13">
        <f ca="1"/>
        <v>-2</v>
      </c>
      <c r="S442" s="13">
        <f ca="1"/>
        <v>-3</v>
      </c>
    </row>
    <row r="443" spans="1:19">
      <c r="A443" s="13">
        <f ca="1"/>
        <v>15.175879396984925</v>
      </c>
      <c r="B443" s="13">
        <f ca="1"/>
        <v>99.279908689282436</v>
      </c>
      <c r="D443" s="13">
        <f ca="1"/>
        <v>15.175879396984925</v>
      </c>
      <c r="E443" s="13">
        <f ca="1"/>
        <v>99.279908689282436</v>
      </c>
      <c r="F443" s="13">
        <f ca="1"/>
        <v>100.33210571060408</v>
      </c>
      <c r="G443" s="13">
        <f ca="1"/>
        <v>103.65995950163754</v>
      </c>
      <c r="H443" s="13">
        <f ca="1"/>
        <v>102.55067490462639</v>
      </c>
      <c r="I443" s="13">
        <f ca="1"/>
        <v>98.113536516581775</v>
      </c>
      <c r="J443" s="13">
        <f ca="1"/>
        <v>97.004251919570621</v>
      </c>
      <c r="M443" s="13">
        <f ca="1"/>
        <v>15.175879396984925</v>
      </c>
      <c r="N443" s="13">
        <f ca="1"/>
        <v>99.279908689282436</v>
      </c>
      <c r="O443" s="13">
        <f ca="1"/>
        <v>-0.94853658308848521</v>
      </c>
      <c r="P443" s="13">
        <f ca="1"/>
        <v>3</v>
      </c>
      <c r="Q443" s="13">
        <f ca="1"/>
        <v>2</v>
      </c>
      <c r="R443" s="13">
        <f ca="1"/>
        <v>-2</v>
      </c>
      <c r="S443" s="13">
        <f ca="1"/>
        <v>-3</v>
      </c>
    </row>
    <row r="444" spans="1:19">
      <c r="A444" s="13">
        <f ca="1"/>
        <v>15.276381909547739</v>
      </c>
      <c r="B444" s="13">
        <f ca="1"/>
        <v>97.846386618149353</v>
      </c>
      <c r="D444" s="13">
        <f ca="1"/>
        <v>15.276381909547739</v>
      </c>
      <c r="E444" s="13">
        <f ca="1"/>
        <v>97.846386618149353</v>
      </c>
      <c r="F444" s="13">
        <f ca="1"/>
        <v>99.710675937490407</v>
      </c>
      <c r="G444" s="13">
        <f ca="1"/>
        <v>103.97738197696589</v>
      </c>
      <c r="H444" s="13">
        <f ca="1"/>
        <v>102.55514663047407</v>
      </c>
      <c r="I444" s="13">
        <f ca="1"/>
        <v>96.866205244506745</v>
      </c>
      <c r="J444" s="13">
        <f ca="1"/>
        <v>95.443969898014927</v>
      </c>
      <c r="M444" s="13">
        <f ca="1"/>
        <v>15.276381909547739</v>
      </c>
      <c r="N444" s="13">
        <f ca="1"/>
        <v>97.846386618149353</v>
      </c>
      <c r="O444" s="13">
        <f ca="1"/>
        <v>-1.3108163314458625</v>
      </c>
      <c r="P444" s="13">
        <f ca="1"/>
        <v>3</v>
      </c>
      <c r="Q444" s="13">
        <f ca="1"/>
        <v>2</v>
      </c>
      <c r="R444" s="13">
        <f ca="1"/>
        <v>-2</v>
      </c>
      <c r="S444" s="13">
        <f ca="1"/>
        <v>-3</v>
      </c>
    </row>
    <row r="445" spans="1:19">
      <c r="A445" s="13">
        <f ca="1"/>
        <v>15.376884422110553</v>
      </c>
      <c r="B445" s="13">
        <f ca="1"/>
        <v>100.22351164521693</v>
      </c>
      <c r="D445" s="13">
        <f ca="1"/>
        <v>15.376884422110553</v>
      </c>
      <c r="E445" s="13">
        <f ca="1"/>
        <v>100.22351164521693</v>
      </c>
      <c r="F445" s="13">
        <f ca="1"/>
        <v>99.838884864422042</v>
      </c>
      <c r="G445" s="13">
        <f ca="1"/>
        <v>104.03103611811409</v>
      </c>
      <c r="H445" s="13">
        <f ca="1"/>
        <v>102.6336523668834</v>
      </c>
      <c r="I445" s="13">
        <f ca="1"/>
        <v>97.044117361960687</v>
      </c>
      <c r="J445" s="13">
        <f ca="1"/>
        <v>95.646733610729996</v>
      </c>
      <c r="M445" s="13">
        <f ca="1"/>
        <v>15.376884422110553</v>
      </c>
      <c r="N445" s="13">
        <f ca="1"/>
        <v>100.22351164521693</v>
      </c>
      <c r="O445" s="13">
        <f ca="1"/>
        <v>0.2752477839077111</v>
      </c>
      <c r="P445" s="13">
        <f ca="1"/>
        <v>3</v>
      </c>
      <c r="Q445" s="13">
        <f ca="1"/>
        <v>2</v>
      </c>
      <c r="R445" s="13">
        <f ca="1"/>
        <v>-2</v>
      </c>
      <c r="S445" s="13">
        <f ca="1"/>
        <v>-3</v>
      </c>
    </row>
    <row r="446" spans="1:19">
      <c r="A446" s="13">
        <f ca="1"/>
        <v>15.477386934673367</v>
      </c>
      <c r="B446" s="13">
        <f ca="1"/>
        <v>97.360130751245961</v>
      </c>
      <c r="D446" s="13">
        <f ca="1"/>
        <v>15.477386934673367</v>
      </c>
      <c r="E446" s="13">
        <f ca="1"/>
        <v>97.360130751245961</v>
      </c>
      <c r="F446" s="13">
        <f ca="1"/>
        <v>99.219196336128022</v>
      </c>
      <c r="G446" s="13">
        <f ca="1"/>
        <v>103.96034340486125</v>
      </c>
      <c r="H446" s="13">
        <f ca="1"/>
        <v>102.37996104861683</v>
      </c>
      <c r="I446" s="13">
        <f ca="1"/>
        <v>96.058431623639208</v>
      </c>
      <c r="J446" s="13">
        <f ca="1"/>
        <v>94.478049267394795</v>
      </c>
      <c r="M446" s="13">
        <f ca="1"/>
        <v>15.477386934673367</v>
      </c>
      <c r="N446" s="13">
        <f ca="1"/>
        <v>97.360130751245961</v>
      </c>
      <c r="O446" s="13">
        <f ca="1"/>
        <v>-1.176339116629922</v>
      </c>
      <c r="P446" s="13">
        <f ca="1"/>
        <v>3</v>
      </c>
      <c r="Q446" s="13">
        <f ca="1"/>
        <v>2</v>
      </c>
      <c r="R446" s="13">
        <f ca="1"/>
        <v>-2</v>
      </c>
      <c r="S446" s="13">
        <f ca="1"/>
        <v>-3</v>
      </c>
    </row>
    <row r="447" spans="1:19">
      <c r="A447" s="13">
        <f ca="1"/>
        <v>15.577889447236181</v>
      </c>
      <c r="B447" s="13">
        <f ca="1"/>
        <v>100.27583217759161</v>
      </c>
      <c r="D447" s="13">
        <f ca="1"/>
        <v>15.577889447236181</v>
      </c>
      <c r="E447" s="13">
        <f ca="1"/>
        <v>100.27583217759161</v>
      </c>
      <c r="F447" s="13">
        <f ca="1"/>
        <v>99.483355296493926</v>
      </c>
      <c r="G447" s="13">
        <f ca="1"/>
        <v>104.20259402888385</v>
      </c>
      <c r="H447" s="13">
        <f ca="1"/>
        <v>102.62951445142055</v>
      </c>
      <c r="I447" s="13">
        <f ca="1"/>
        <v>96.337196141567304</v>
      </c>
      <c r="J447" s="13">
        <f ca="1"/>
        <v>94.764116564104</v>
      </c>
      <c r="M447" s="13">
        <f ca="1"/>
        <v>15.577889447236181</v>
      </c>
      <c r="N447" s="13">
        <f ca="1"/>
        <v>100.27583217759161</v>
      </c>
      <c r="O447" s="13">
        <f ca="1"/>
        <v>0.50377418437762944</v>
      </c>
      <c r="P447" s="13">
        <f ca="1"/>
        <v>3</v>
      </c>
      <c r="Q447" s="13">
        <f ca="1"/>
        <v>2</v>
      </c>
      <c r="R447" s="13">
        <f ca="1"/>
        <v>-2</v>
      </c>
      <c r="S447" s="13">
        <f ca="1"/>
        <v>-3</v>
      </c>
    </row>
    <row r="448" spans="1:19">
      <c r="A448" s="13">
        <f ca="1"/>
        <v>15.678391959798995</v>
      </c>
      <c r="B448" s="13">
        <f ca="1"/>
        <v>99.932046230224785</v>
      </c>
      <c r="D448" s="13">
        <f ca="1"/>
        <v>15.678391959798995</v>
      </c>
      <c r="E448" s="13">
        <f ca="1"/>
        <v>99.932046230224785</v>
      </c>
      <c r="F448" s="13">
        <f ca="1"/>
        <v>99.595528029926641</v>
      </c>
      <c r="G448" s="13">
        <f ca="1"/>
        <v>104.27439215194141</v>
      </c>
      <c r="H448" s="13">
        <f ca="1"/>
        <v>102.71477077793649</v>
      </c>
      <c r="I448" s="13">
        <f ca="1"/>
        <v>96.476285281916788</v>
      </c>
      <c r="J448" s="13">
        <f ca="1"/>
        <v>94.916663907911868</v>
      </c>
      <c r="M448" s="13">
        <f ca="1"/>
        <v>15.678391959798995</v>
      </c>
      <c r="N448" s="13">
        <f ca="1"/>
        <v>99.932046230224785</v>
      </c>
      <c r="O448" s="13">
        <f ca="1"/>
        <v>0.21576916417476688</v>
      </c>
      <c r="P448" s="13">
        <f ca="1"/>
        <v>3</v>
      </c>
      <c r="Q448" s="13">
        <f ca="1"/>
        <v>2</v>
      </c>
      <c r="R448" s="13">
        <f ca="1"/>
        <v>-2</v>
      </c>
      <c r="S448" s="13">
        <f ca="1"/>
        <v>-3</v>
      </c>
    </row>
    <row r="449" spans="1:19">
      <c r="A449" s="13">
        <f ca="1"/>
        <v>15.778894472361809</v>
      </c>
      <c r="B449" s="13">
        <f ca="1"/>
        <v>98.719183849575458</v>
      </c>
      <c r="D449" s="13">
        <f ca="1"/>
        <v>15.778894472361809</v>
      </c>
      <c r="E449" s="13">
        <f ca="1"/>
        <v>98.719183849575458</v>
      </c>
      <c r="F449" s="13">
        <f ca="1"/>
        <v>99.376441984838848</v>
      </c>
      <c r="G449" s="13">
        <f ca="1"/>
        <v>102.98539193362163</v>
      </c>
      <c r="H449" s="13">
        <f ca="1"/>
        <v>101.7824086173607</v>
      </c>
      <c r="I449" s="13">
        <f ca="1"/>
        <v>96.970475352316996</v>
      </c>
      <c r="J449" s="13">
        <f ca="1"/>
        <v>95.767492036056069</v>
      </c>
      <c r="M449" s="13">
        <f ca="1"/>
        <v>15.778894472361809</v>
      </c>
      <c r="N449" s="13">
        <f ca="1"/>
        <v>98.719183849575458</v>
      </c>
      <c r="O449" s="13">
        <f ca="1"/>
        <v>-0.54635681673978431</v>
      </c>
      <c r="P449" s="13">
        <f ca="1"/>
        <v>3</v>
      </c>
      <c r="Q449" s="13">
        <f ca="1"/>
        <v>2</v>
      </c>
      <c r="R449" s="13">
        <f ca="1"/>
        <v>-2</v>
      </c>
      <c r="S449" s="13">
        <f ca="1"/>
        <v>-3</v>
      </c>
    </row>
    <row r="450" spans="1:19">
      <c r="A450" s="13">
        <f ca="1"/>
        <v>15.879396984924623</v>
      </c>
      <c r="B450" s="13">
        <f ca="1"/>
        <v>98.711233346120281</v>
      </c>
      <c r="D450" s="13">
        <f ca="1"/>
        <v>15.879396984924623</v>
      </c>
      <c r="E450" s="13">
        <f ca="1"/>
        <v>98.711233346120281</v>
      </c>
      <c r="F450" s="13">
        <f ca="1"/>
        <v>99.210139825159217</v>
      </c>
      <c r="G450" s="13">
        <f ca="1"/>
        <v>102.77161564033209</v>
      </c>
      <c r="H450" s="13">
        <f ca="1"/>
        <v>101.58445703527447</v>
      </c>
      <c r="I450" s="13">
        <f ca="1"/>
        <v>96.835822615043966</v>
      </c>
      <c r="J450" s="13">
        <f ca="1"/>
        <v>95.648664009986348</v>
      </c>
      <c r="M450" s="13">
        <f ca="1"/>
        <v>15.879396984924623</v>
      </c>
      <c r="N450" s="13">
        <f ca="1"/>
        <v>98.711233346120281</v>
      </c>
      <c r="O450" s="13">
        <f ca="1"/>
        <v>-0.4202525904402809</v>
      </c>
      <c r="P450" s="13">
        <f ca="1"/>
        <v>3</v>
      </c>
      <c r="Q450" s="13">
        <f ca="1"/>
        <v>2</v>
      </c>
      <c r="R450" s="13">
        <f ca="1"/>
        <v>-2</v>
      </c>
      <c r="S450" s="13">
        <f ca="1"/>
        <v>-3</v>
      </c>
    </row>
    <row r="451" spans="1:19">
      <c r="A451" s="13">
        <f ca="1"/>
        <v>15.979899497487438</v>
      </c>
      <c r="B451" s="13">
        <f ca="1"/>
        <v>99.081993131850325</v>
      </c>
      <c r="D451" s="13">
        <f ca="1"/>
        <v>15.979899497487438</v>
      </c>
      <c r="E451" s="13">
        <f ca="1"/>
        <v>99.081993131850325</v>
      </c>
      <c r="F451" s="13">
        <f ca="1"/>
        <v>99.178103151831991</v>
      </c>
      <c r="G451" s="13">
        <f ca="1"/>
        <v>102.3267107546134</v>
      </c>
      <c r="H451" s="13">
        <f ca="1"/>
        <v>101.2771748870196</v>
      </c>
      <c r="I451" s="13">
        <f ca="1"/>
        <v>97.079031416644384</v>
      </c>
      <c r="J451" s="13">
        <f ca="1"/>
        <v>96.02949554905058</v>
      </c>
      <c r="M451" s="13">
        <f ca="1"/>
        <v>15.979899497487438</v>
      </c>
      <c r="N451" s="13">
        <f ca="1"/>
        <v>99.081993131850325</v>
      </c>
      <c r="O451" s="13">
        <f ca="1"/>
        <v>-9.1573830822962055E-2</v>
      </c>
      <c r="P451" s="13">
        <f ca="1"/>
        <v>3</v>
      </c>
      <c r="Q451" s="13">
        <f ca="1"/>
        <v>2</v>
      </c>
      <c r="R451" s="13">
        <f ca="1"/>
        <v>-2</v>
      </c>
      <c r="S451" s="13">
        <f ca="1"/>
        <v>-3</v>
      </c>
    </row>
    <row r="452" spans="1:19">
      <c r="A452" s="13">
        <f ca="1"/>
        <v>16.080402010050253</v>
      </c>
      <c r="B452" s="13">
        <f ca="1"/>
        <v>97.13660162171837</v>
      </c>
      <c r="D452" s="13">
        <f ca="1"/>
        <v>16.080402010050253</v>
      </c>
      <c r="E452" s="13">
        <f ca="1"/>
        <v>97.13660162171837</v>
      </c>
      <c r="F452" s="13">
        <f ca="1"/>
        <v>98.667727769303582</v>
      </c>
      <c r="G452" s="13">
        <f ca="1"/>
        <v>102.22050438500523</v>
      </c>
      <c r="H452" s="13">
        <f ca="1"/>
        <v>101.03624551310467</v>
      </c>
      <c r="I452" s="13">
        <f ca="1"/>
        <v>96.299210025502489</v>
      </c>
      <c r="J452" s="13">
        <f ca="1"/>
        <v>95.114951153601936</v>
      </c>
      <c r="M452" s="13">
        <f ca="1"/>
        <v>16.080402010050253</v>
      </c>
      <c r="N452" s="13">
        <f ca="1"/>
        <v>97.13660162171837</v>
      </c>
      <c r="O452" s="13">
        <f ca="1"/>
        <v>-1.2928981862960398</v>
      </c>
      <c r="P452" s="13">
        <f ca="1"/>
        <v>3</v>
      </c>
      <c r="Q452" s="13">
        <f ca="1"/>
        <v>2</v>
      </c>
      <c r="R452" s="13">
        <f ca="1"/>
        <v>-2</v>
      </c>
      <c r="S452" s="13">
        <f ca="1"/>
        <v>-3</v>
      </c>
    </row>
    <row r="453" spans="1:19">
      <c r="A453" s="13">
        <f ca="1"/>
        <v>16.180904522613069</v>
      </c>
      <c r="B453" s="13">
        <f ca="1"/>
        <v>100.22808165911668</v>
      </c>
      <c r="D453" s="13">
        <f ca="1"/>
        <v>16.180904522613069</v>
      </c>
      <c r="E453" s="13">
        <f ca="1"/>
        <v>100.22808165911668</v>
      </c>
      <c r="F453" s="13">
        <f ca="1"/>
        <v>99.057816241756854</v>
      </c>
      <c r="G453" s="13">
        <f ca="1"/>
        <v>102.42169877060628</v>
      </c>
      <c r="H453" s="13">
        <f ca="1"/>
        <v>101.30040459432314</v>
      </c>
      <c r="I453" s="13">
        <f ca="1"/>
        <v>96.815227889190567</v>
      </c>
      <c r="J453" s="13">
        <f ca="1"/>
        <v>95.693933712907423</v>
      </c>
      <c r="M453" s="13">
        <f ca="1"/>
        <v>16.180904522613069</v>
      </c>
      <c r="N453" s="13">
        <f ca="1"/>
        <v>100.22808165911668</v>
      </c>
      <c r="O453" s="13">
        <f ca="1"/>
        <v>1.0436738566136272</v>
      </c>
      <c r="P453" s="13">
        <f ca="1"/>
        <v>3</v>
      </c>
      <c r="Q453" s="13">
        <f ca="1"/>
        <v>2</v>
      </c>
      <c r="R453" s="13">
        <f ca="1"/>
        <v>-2</v>
      </c>
      <c r="S453" s="13">
        <f ca="1"/>
        <v>-3</v>
      </c>
    </row>
    <row r="454" spans="1:19">
      <c r="A454" s="13">
        <f ca="1"/>
        <v>16.281407035175885</v>
      </c>
      <c r="B454" s="13">
        <f ca="1"/>
        <v>100.61779632967036</v>
      </c>
      <c r="D454" s="13">
        <f ca="1"/>
        <v>16.281407035175885</v>
      </c>
      <c r="E454" s="13">
        <f ca="1"/>
        <v>100.61779632967036</v>
      </c>
      <c r="F454" s="13">
        <f ca="1"/>
        <v>99.447811263735218</v>
      </c>
      <c r="G454" s="13">
        <f ca="1"/>
        <v>103.07295849513321</v>
      </c>
      <c r="H454" s="13">
        <f ca="1"/>
        <v>101.86457608466721</v>
      </c>
      <c r="I454" s="13">
        <f ca="1"/>
        <v>97.03104644280323</v>
      </c>
      <c r="J454" s="13">
        <f ca="1"/>
        <v>95.822664032337229</v>
      </c>
      <c r="M454" s="13">
        <f ca="1"/>
        <v>16.281407035175885</v>
      </c>
      <c r="N454" s="13">
        <f ca="1"/>
        <v>100.61779632967036</v>
      </c>
      <c r="O454" s="13">
        <f ca="1"/>
        <v>0.96822417787755588</v>
      </c>
      <c r="P454" s="13">
        <f ca="1"/>
        <v>3</v>
      </c>
      <c r="Q454" s="13">
        <f ca="1"/>
        <v>2</v>
      </c>
      <c r="R454" s="13">
        <f ca="1"/>
        <v>-2</v>
      </c>
      <c r="S454" s="13">
        <f ca="1"/>
        <v>-3</v>
      </c>
    </row>
    <row r="455" spans="1:19">
      <c r="A455" s="13">
        <f ca="1"/>
        <v>16.381909547738701</v>
      </c>
      <c r="B455" s="13">
        <f ca="1"/>
        <v>97.329663665521991</v>
      </c>
      <c r="D455" s="13">
        <f ca="1"/>
        <v>16.381909547738701</v>
      </c>
      <c r="E455" s="13">
        <f ca="1"/>
        <v>97.329663665521991</v>
      </c>
      <c r="F455" s="13">
        <f ca="1"/>
        <v>98.918274364181912</v>
      </c>
      <c r="G455" s="13">
        <f ca="1"/>
        <v>102.8701065895989</v>
      </c>
      <c r="H455" s="13">
        <f ca="1"/>
        <v>101.55282918112657</v>
      </c>
      <c r="I455" s="13">
        <f ca="1"/>
        <v>96.283719547237254</v>
      </c>
      <c r="J455" s="13">
        <f ca="1"/>
        <v>94.966442138764918</v>
      </c>
      <c r="M455" s="13">
        <f ca="1"/>
        <v>16.381909547738701</v>
      </c>
      <c r="N455" s="13">
        <f ca="1"/>
        <v>97.329663665521991</v>
      </c>
      <c r="O455" s="13">
        <f ca="1"/>
        <v>-1.2059803716684543</v>
      </c>
      <c r="P455" s="13">
        <f ca="1"/>
        <v>3</v>
      </c>
      <c r="Q455" s="13">
        <f ca="1"/>
        <v>2</v>
      </c>
      <c r="R455" s="13">
        <f ca="1"/>
        <v>-2</v>
      </c>
      <c r="S455" s="13">
        <f ca="1"/>
        <v>-3</v>
      </c>
    </row>
    <row r="456" spans="1:19">
      <c r="A456" s="13">
        <f ca="1"/>
        <v>16.482412060301517</v>
      </c>
      <c r="B456" s="13">
        <f ca="1"/>
        <v>97.912474554514063</v>
      </c>
      <c r="D456" s="13">
        <f ca="1"/>
        <v>16.482412060301517</v>
      </c>
      <c r="E456" s="13">
        <f ca="1"/>
        <v>97.912474554514063</v>
      </c>
      <c r="F456" s="13">
        <f ca="1"/>
        <v>98.666824411764949</v>
      </c>
      <c r="G456" s="13">
        <f ca="1"/>
        <v>102.75034810927005</v>
      </c>
      <c r="H456" s="13">
        <f ca="1"/>
        <v>101.38917354343501</v>
      </c>
      <c r="I456" s="13">
        <f ca="1"/>
        <v>95.944475280094892</v>
      </c>
      <c r="J456" s="13">
        <f ca="1"/>
        <v>94.583300714259849</v>
      </c>
      <c r="M456" s="13">
        <f ca="1"/>
        <v>16.482412060301517</v>
      </c>
      <c r="N456" s="13">
        <f ca="1"/>
        <v>97.912474554514063</v>
      </c>
      <c r="O456" s="13">
        <f ca="1"/>
        <v>-0.5541903854103537</v>
      </c>
      <c r="P456" s="13">
        <f ca="1"/>
        <v>3</v>
      </c>
      <c r="Q456" s="13">
        <f ca="1"/>
        <v>2</v>
      </c>
      <c r="R456" s="13">
        <f ca="1"/>
        <v>-2</v>
      </c>
      <c r="S456" s="13">
        <f ca="1"/>
        <v>-3</v>
      </c>
    </row>
    <row r="457" spans="1:19">
      <c r="A457" s="13">
        <f ca="1"/>
        <v>16.582914572864333</v>
      </c>
      <c r="B457" s="13">
        <f ca="1"/>
        <v>98.338429409355953</v>
      </c>
      <c r="D457" s="13">
        <f ca="1"/>
        <v>16.582914572864333</v>
      </c>
      <c r="E457" s="13">
        <f ca="1"/>
        <v>98.338429409355953</v>
      </c>
      <c r="F457" s="13">
        <f ca="1"/>
        <v>98.584725661162707</v>
      </c>
      <c r="G457" s="13">
        <f ca="1"/>
        <v>102.6955827719957</v>
      </c>
      <c r="H457" s="13">
        <f ca="1"/>
        <v>101.3252970683847</v>
      </c>
      <c r="I457" s="13">
        <f ca="1"/>
        <v>95.844154253940715</v>
      </c>
      <c r="J457" s="13">
        <f ca="1"/>
        <v>94.473868550329712</v>
      </c>
      <c r="M457" s="13">
        <f ca="1"/>
        <v>16.582914572864333</v>
      </c>
      <c r="N457" s="13">
        <f ca="1"/>
        <v>98.338429409355953</v>
      </c>
      <c r="O457" s="13">
        <f ca="1"/>
        <v>-0.1797408023434168</v>
      </c>
      <c r="P457" s="13">
        <f ca="1"/>
        <v>3</v>
      </c>
      <c r="Q457" s="13">
        <f ca="1"/>
        <v>2</v>
      </c>
      <c r="R457" s="13">
        <f ca="1"/>
        <v>-2</v>
      </c>
      <c r="S457" s="13">
        <f ca="1"/>
        <v>-3</v>
      </c>
    </row>
    <row r="458" spans="1:19">
      <c r="A458" s="13">
        <f ca="1"/>
        <v>16.683417085427148</v>
      </c>
      <c r="B458" s="13">
        <f ca="1"/>
        <v>98.647646993607836</v>
      </c>
      <c r="D458" s="13">
        <f ca="1"/>
        <v>16.683417085427148</v>
      </c>
      <c r="E458" s="13">
        <f ca="1"/>
        <v>98.647646993607836</v>
      </c>
      <c r="F458" s="13">
        <f ca="1"/>
        <v>98.600455994274</v>
      </c>
      <c r="G458" s="13">
        <f ca="1"/>
        <v>102.6663163245632</v>
      </c>
      <c r="H458" s="13">
        <f ca="1"/>
        <v>101.31102954780013</v>
      </c>
      <c r="I458" s="13">
        <f ca="1"/>
        <v>95.889882440747868</v>
      </c>
      <c r="J458" s="13">
        <f ca="1"/>
        <v>94.534595663984803</v>
      </c>
      <c r="M458" s="13">
        <f ca="1"/>
        <v>16.683417085427148</v>
      </c>
      <c r="N458" s="13">
        <f ca="1"/>
        <v>98.647646993607836</v>
      </c>
      <c r="O458" s="13">
        <f ca="1"/>
        <v>3.4819936372835807E-2</v>
      </c>
      <c r="P458" s="13">
        <f ca="1"/>
        <v>3</v>
      </c>
      <c r="Q458" s="13">
        <f ca="1"/>
        <v>2</v>
      </c>
      <c r="R458" s="13">
        <f ca="1"/>
        <v>-2</v>
      </c>
      <c r="S458" s="13">
        <f ca="1"/>
        <v>-3</v>
      </c>
    </row>
    <row r="459" spans="1:19">
      <c r="A459" s="13">
        <f ca="1"/>
        <v>16.783919597989964</v>
      </c>
      <c r="B459" s="13">
        <f ca="1"/>
        <v>96.84582675951674</v>
      </c>
      <c r="D459" s="13">
        <f ca="1"/>
        <v>16.783919597989964</v>
      </c>
      <c r="E459" s="13">
        <f ca="1"/>
        <v>96.84582675951674</v>
      </c>
      <c r="F459" s="13">
        <f ca="1"/>
        <v>98.161798685584685</v>
      </c>
      <c r="G459" s="13">
        <f ca="1"/>
        <v>102.58702581019638</v>
      </c>
      <c r="H459" s="13">
        <f ca="1"/>
        <v>101.11195010199248</v>
      </c>
      <c r="I459" s="13">
        <f ca="1"/>
        <v>95.211647269176893</v>
      </c>
      <c r="J459" s="13">
        <f ca="1"/>
        <v>93.73657156097299</v>
      </c>
      <c r="M459" s="13">
        <f ca="1"/>
        <v>16.783919597989964</v>
      </c>
      <c r="N459" s="13">
        <f ca="1"/>
        <v>96.84582675951674</v>
      </c>
      <c r="O459" s="13">
        <f ca="1"/>
        <v>-0.89213856532850022</v>
      </c>
      <c r="P459" s="13">
        <f ca="1"/>
        <v>3</v>
      </c>
      <c r="Q459" s="13">
        <f ca="1"/>
        <v>2</v>
      </c>
      <c r="R459" s="13">
        <f ca="1"/>
        <v>-2</v>
      </c>
      <c r="S459" s="13">
        <f ca="1"/>
        <v>-3</v>
      </c>
    </row>
    <row r="460" spans="1:19">
      <c r="A460" s="13">
        <f ca="1"/>
        <v>16.88442211055278</v>
      </c>
      <c r="B460" s="13">
        <f ca="1"/>
        <v>97.838589457713866</v>
      </c>
      <c r="D460" s="13">
        <f ca="1"/>
        <v>16.88442211055278</v>
      </c>
      <c r="E460" s="13">
        <f ca="1"/>
        <v>97.838589457713866</v>
      </c>
      <c r="F460" s="13">
        <f ca="1"/>
        <v>98.080996378616973</v>
      </c>
      <c r="G460" s="13">
        <f ca="1"/>
        <v>101.75523593885219</v>
      </c>
      <c r="H460" s="13">
        <f ca="1"/>
        <v>100.53048941877378</v>
      </c>
      <c r="I460" s="13">
        <f ca="1"/>
        <v>95.631503338460163</v>
      </c>
      <c r="J460" s="13">
        <f ca="1"/>
        <v>94.406756818381751</v>
      </c>
      <c r="M460" s="13">
        <f ca="1"/>
        <v>16.88442211055278</v>
      </c>
      <c r="N460" s="13">
        <f ca="1"/>
        <v>97.838589457713866</v>
      </c>
      <c r="O460" s="13">
        <f ca="1"/>
        <v>-0.19792415567556698</v>
      </c>
      <c r="P460" s="13">
        <f ca="1"/>
        <v>3</v>
      </c>
      <c r="Q460" s="13">
        <f ca="1"/>
        <v>2</v>
      </c>
      <c r="R460" s="13">
        <f ca="1"/>
        <v>-2</v>
      </c>
      <c r="S460" s="13">
        <f ca="1"/>
        <v>-3</v>
      </c>
    </row>
    <row r="461" spans="1:19">
      <c r="A461" s="13">
        <f ca="1"/>
        <v>16.984924623115596</v>
      </c>
      <c r="B461" s="13">
        <f ca="1"/>
        <v>97.111472703752426</v>
      </c>
      <c r="D461" s="13">
        <f ca="1"/>
        <v>16.984924623115596</v>
      </c>
      <c r="E461" s="13">
        <f ca="1"/>
        <v>97.111472703752426</v>
      </c>
      <c r="F461" s="13">
        <f ca="1"/>
        <v>97.838615459900836</v>
      </c>
      <c r="G461" s="13">
        <f ca="1"/>
        <v>99.844805540713097</v>
      </c>
      <c r="H461" s="13">
        <f ca="1"/>
        <v>99.176075513775672</v>
      </c>
      <c r="I461" s="13">
        <f ca="1"/>
        <v>96.501155406026001</v>
      </c>
      <c r="J461" s="13">
        <f ca="1"/>
        <v>95.832425379088576</v>
      </c>
      <c r="M461" s="13">
        <f ca="1"/>
        <v>16.984924623115596</v>
      </c>
      <c r="N461" s="13">
        <f ca="1"/>
        <v>97.111472703752426</v>
      </c>
      <c r="O461" s="13">
        <f ca="1"/>
        <v>-1.0873487459184468</v>
      </c>
      <c r="P461" s="13">
        <f ca="1"/>
        <v>3</v>
      </c>
      <c r="Q461" s="13">
        <f ca="1"/>
        <v>2</v>
      </c>
      <c r="R461" s="13">
        <f ca="1"/>
        <v>-2</v>
      </c>
      <c r="S461" s="13">
        <f ca="1"/>
        <v>-3</v>
      </c>
    </row>
    <row r="462" spans="1:19">
      <c r="A462" s="13">
        <f ca="1"/>
        <v>17.085427135678412</v>
      </c>
      <c r="B462" s="13">
        <f ca="1"/>
        <v>98.105043646305944</v>
      </c>
      <c r="D462" s="13">
        <f ca="1"/>
        <v>17.085427135678412</v>
      </c>
      <c r="E462" s="13">
        <f ca="1"/>
        <v>98.105043646305944</v>
      </c>
      <c r="F462" s="13">
        <f ca="1"/>
        <v>97.905222506502113</v>
      </c>
      <c r="G462" s="13">
        <f ca="1"/>
        <v>99.855469214408814</v>
      </c>
      <c r="H462" s="13">
        <f ca="1"/>
        <v>99.205386978439918</v>
      </c>
      <c r="I462" s="13">
        <f ca="1"/>
        <v>96.605058034564308</v>
      </c>
      <c r="J462" s="13">
        <f ca="1"/>
        <v>95.954975798595413</v>
      </c>
      <c r="M462" s="13">
        <f ca="1"/>
        <v>17.085427135678412</v>
      </c>
      <c r="N462" s="13">
        <f ca="1"/>
        <v>98.105043646305944</v>
      </c>
      <c r="O462" s="13">
        <f ca="1"/>
        <v>0.30737824962408233</v>
      </c>
      <c r="P462" s="13">
        <f ca="1"/>
        <v>3</v>
      </c>
      <c r="Q462" s="13">
        <f ca="1"/>
        <v>2</v>
      </c>
      <c r="R462" s="13">
        <f ca="1"/>
        <v>-2</v>
      </c>
      <c r="S462" s="13">
        <f ca="1"/>
        <v>-3</v>
      </c>
    </row>
    <row r="463" spans="1:19">
      <c r="A463" s="13">
        <f ca="1"/>
        <v>17.185929648241228</v>
      </c>
      <c r="B463" s="13">
        <f ca="1"/>
        <v>97.138898059032101</v>
      </c>
      <c r="D463" s="13">
        <f ca="1"/>
        <v>17.185929648241228</v>
      </c>
      <c r="E463" s="13">
        <f ca="1"/>
        <v>97.138898059032101</v>
      </c>
      <c r="F463" s="13">
        <f ca="1"/>
        <v>97.713641394634607</v>
      </c>
      <c r="G463" s="13">
        <f ca="1"/>
        <v>99.791226605290163</v>
      </c>
      <c r="H463" s="13">
        <f ca="1"/>
        <v>99.098698201738301</v>
      </c>
      <c r="I463" s="13">
        <f ca="1"/>
        <v>96.328584587530912</v>
      </c>
      <c r="J463" s="13">
        <f ca="1"/>
        <v>95.636056183979051</v>
      </c>
      <c r="M463" s="13">
        <f ca="1"/>
        <v>17.185929648241228</v>
      </c>
      <c r="N463" s="13">
        <f ca="1"/>
        <v>97.138898059032101</v>
      </c>
      <c r="O463" s="13">
        <f ca="1"/>
        <v>-0.82992023526364178</v>
      </c>
      <c r="P463" s="13">
        <f ca="1"/>
        <v>3</v>
      </c>
      <c r="Q463" s="13">
        <f ca="1"/>
        <v>2</v>
      </c>
      <c r="R463" s="13">
        <f ca="1"/>
        <v>-2</v>
      </c>
      <c r="S463" s="13">
        <f ca="1"/>
        <v>-3</v>
      </c>
    </row>
    <row r="464" spans="1:19">
      <c r="A464" s="13">
        <f ca="1"/>
        <v>17.286432160804043</v>
      </c>
      <c r="B464" s="13">
        <f ca="1"/>
        <v>99.073854800878706</v>
      </c>
      <c r="D464" s="13">
        <f ca="1"/>
        <v>17.286432160804043</v>
      </c>
      <c r="E464" s="13">
        <f ca="1"/>
        <v>99.073854800878706</v>
      </c>
      <c r="F464" s="13">
        <f ca="1"/>
        <v>98.053694746195646</v>
      </c>
      <c r="G464" s="13">
        <f ca="1"/>
        <v>100.68789098985536</v>
      </c>
      <c r="H464" s="13">
        <f ca="1"/>
        <v>99.809825575302128</v>
      </c>
      <c r="I464" s="13">
        <f ca="1"/>
        <v>96.297563917089164</v>
      </c>
      <c r="J464" s="13">
        <f ca="1"/>
        <v>95.41949850253593</v>
      </c>
      <c r="M464" s="13">
        <f ca="1"/>
        <v>17.286432160804043</v>
      </c>
      <c r="N464" s="13">
        <f ca="1"/>
        <v>99.073854800878706</v>
      </c>
      <c r="O464" s="13">
        <f ca="1"/>
        <v>1.1618269411079327</v>
      </c>
      <c r="P464" s="13">
        <f ca="1"/>
        <v>3</v>
      </c>
      <c r="Q464" s="13">
        <f ca="1"/>
        <v>2</v>
      </c>
      <c r="R464" s="13">
        <f ca="1"/>
        <v>-2</v>
      </c>
      <c r="S464" s="13">
        <f ca="1"/>
        <v>-3</v>
      </c>
    </row>
    <row r="465" spans="1:19">
      <c r="A465" s="13">
        <f ca="1"/>
        <v>17.386934673366859</v>
      </c>
      <c r="B465" s="13">
        <f ca="1"/>
        <v>97.041087507756373</v>
      </c>
      <c r="D465" s="13">
        <f ca="1"/>
        <v>17.386934673366859</v>
      </c>
      <c r="E465" s="13">
        <f ca="1"/>
        <v>97.041087507756373</v>
      </c>
      <c r="F465" s="13">
        <f ca="1"/>
        <v>97.800542936585828</v>
      </c>
      <c r="G465" s="13">
        <f ca="1"/>
        <v>100.28539864084064</v>
      </c>
      <c r="H465" s="13">
        <f ca="1"/>
        <v>99.457113406089036</v>
      </c>
      <c r="I465" s="13">
        <f ca="1"/>
        <v>96.143972467082619</v>
      </c>
      <c r="J465" s="13">
        <f ca="1"/>
        <v>95.315687232331015</v>
      </c>
      <c r="M465" s="13">
        <f ca="1"/>
        <v>17.386934673366859</v>
      </c>
      <c r="N465" s="13">
        <f ca="1"/>
        <v>97.041087507756373</v>
      </c>
      <c r="O465" s="13">
        <f ca="1"/>
        <v>-0.91690084160103291</v>
      </c>
      <c r="P465" s="13">
        <f ca="1"/>
        <v>3</v>
      </c>
      <c r="Q465" s="13">
        <f ca="1"/>
        <v>2</v>
      </c>
      <c r="R465" s="13">
        <f ca="1"/>
        <v>-2</v>
      </c>
      <c r="S465" s="13">
        <f ca="1"/>
        <v>-3</v>
      </c>
    </row>
    <row r="466" spans="1:19">
      <c r="A466" s="13">
        <f ca="1"/>
        <v>17.487437185929675</v>
      </c>
      <c r="B466" s="13">
        <f ca="1"/>
        <v>97.807294212306232</v>
      </c>
      <c r="D466" s="13">
        <f ca="1"/>
        <v>17.487437185929675</v>
      </c>
      <c r="E466" s="13">
        <f ca="1"/>
        <v>97.807294212306232</v>
      </c>
      <c r="F466" s="13">
        <f ca="1"/>
        <v>97.802230755515922</v>
      </c>
      <c r="G466" s="13">
        <f ca="1"/>
        <v>99.995367874794198</v>
      </c>
      <c r="H466" s="13">
        <f ca="1"/>
        <v>99.264322168368111</v>
      </c>
      <c r="I466" s="13">
        <f ca="1"/>
        <v>96.340139342663733</v>
      </c>
      <c r="J466" s="13">
        <f ca="1"/>
        <v>95.609093636237645</v>
      </c>
      <c r="M466" s="13">
        <f ca="1"/>
        <v>17.487437185929675</v>
      </c>
      <c r="N466" s="13">
        <f ca="1"/>
        <v>97.807294212306232</v>
      </c>
      <c r="O466" s="13">
        <f ca="1"/>
        <v>6.9263204007644101E-3</v>
      </c>
      <c r="P466" s="13">
        <f ca="1"/>
        <v>3</v>
      </c>
      <c r="Q466" s="13">
        <f ca="1"/>
        <v>2</v>
      </c>
      <c r="R466" s="13">
        <f ca="1"/>
        <v>-2</v>
      </c>
      <c r="S466" s="13">
        <f ca="1"/>
        <v>-3</v>
      </c>
    </row>
    <row r="467" spans="1:19">
      <c r="A467" s="13">
        <f ca="1"/>
        <v>17.587939698492491</v>
      </c>
      <c r="B467" s="13">
        <f ca="1"/>
        <v>98.286992589507605</v>
      </c>
      <c r="D467" s="13">
        <f ca="1"/>
        <v>17.587939698492491</v>
      </c>
      <c r="E467" s="13">
        <f ca="1"/>
        <v>98.286992589507605</v>
      </c>
      <c r="F467" s="13">
        <f ca="1"/>
        <v>97.923421214013842</v>
      </c>
      <c r="G467" s="13">
        <f ca="1"/>
        <v>100.23277291022171</v>
      </c>
      <c r="H467" s="13">
        <f ca="1"/>
        <v>99.462989011485746</v>
      </c>
      <c r="I467" s="13">
        <f ca="1"/>
        <v>96.383853416541939</v>
      </c>
      <c r="J467" s="13">
        <f ca="1"/>
        <v>95.614069517805973</v>
      </c>
      <c r="M467" s="13">
        <f ca="1"/>
        <v>17.587939698492491</v>
      </c>
      <c r="N467" s="13">
        <f ca="1"/>
        <v>98.286992589507605</v>
      </c>
      <c r="O467" s="13">
        <f ca="1"/>
        <v>0.47230316987764365</v>
      </c>
      <c r="P467" s="13">
        <f ca="1"/>
        <v>3</v>
      </c>
      <c r="Q467" s="13">
        <f ca="1"/>
        <v>2</v>
      </c>
      <c r="R467" s="13">
        <f ca="1"/>
        <v>-2</v>
      </c>
      <c r="S467" s="13">
        <f ca="1"/>
        <v>-3</v>
      </c>
    </row>
    <row r="468" spans="1:19">
      <c r="A468" s="13">
        <f ca="1"/>
        <v>17.688442211055307</v>
      </c>
      <c r="B468" s="13">
        <f ca="1"/>
        <v>99.244760543857637</v>
      </c>
      <c r="D468" s="13">
        <f ca="1"/>
        <v>17.688442211055307</v>
      </c>
      <c r="E468" s="13">
        <f ca="1"/>
        <v>99.244760543857637</v>
      </c>
      <c r="F468" s="13">
        <f ca="1"/>
        <v>98.253756046474791</v>
      </c>
      <c r="G468" s="13">
        <f ca="1"/>
        <v>100.87787687436058</v>
      </c>
      <c r="H468" s="13">
        <f ca="1"/>
        <v>100.00316993173199</v>
      </c>
      <c r="I468" s="13">
        <f ca="1"/>
        <v>96.504342161217593</v>
      </c>
      <c r="J468" s="13">
        <f ca="1"/>
        <v>95.629635218589002</v>
      </c>
      <c r="M468" s="13">
        <f ca="1"/>
        <v>17.688442211055307</v>
      </c>
      <c r="N468" s="13">
        <f ca="1"/>
        <v>99.244760543857637</v>
      </c>
      <c r="O468" s="13">
        <f ca="1"/>
        <v>1.1329560211386462</v>
      </c>
      <c r="P468" s="13">
        <f ca="1"/>
        <v>3</v>
      </c>
      <c r="Q468" s="13">
        <f ca="1"/>
        <v>2</v>
      </c>
      <c r="R468" s="13">
        <f ca="1"/>
        <v>-2</v>
      </c>
      <c r="S468" s="13">
        <f ca="1"/>
        <v>-3</v>
      </c>
    </row>
    <row r="469" spans="1:19">
      <c r="A469" s="13">
        <f ca="1"/>
        <v>17.788944723618123</v>
      </c>
      <c r="B469" s="13">
        <f ca="1"/>
        <v>96.887286688682693</v>
      </c>
      <c r="D469" s="13">
        <f ca="1"/>
        <v>17.788944723618123</v>
      </c>
      <c r="E469" s="13">
        <f ca="1"/>
        <v>96.887286688682693</v>
      </c>
      <c r="F469" s="13">
        <f ca="1"/>
        <v>97.91213870702677</v>
      </c>
      <c r="G469" s="13">
        <f ca="1"/>
        <v>100.83205120442189</v>
      </c>
      <c r="H469" s="13">
        <f ca="1"/>
        <v>99.858747038623505</v>
      </c>
      <c r="I469" s="13">
        <f ca="1"/>
        <v>95.965530375430035</v>
      </c>
      <c r="J469" s="13">
        <f ca="1"/>
        <v>94.992226209631653</v>
      </c>
      <c r="M469" s="13">
        <f ca="1"/>
        <v>17.788944723618123</v>
      </c>
      <c r="N469" s="13">
        <f ca="1"/>
        <v>96.887286688682693</v>
      </c>
      <c r="O469" s="13">
        <f ca="1"/>
        <v>-1.0529617095632415</v>
      </c>
      <c r="P469" s="13">
        <f ca="1"/>
        <v>3</v>
      </c>
      <c r="Q469" s="13">
        <f ca="1"/>
        <v>2</v>
      </c>
      <c r="R469" s="13">
        <f ca="1"/>
        <v>-2</v>
      </c>
      <c r="S469" s="13">
        <f ca="1"/>
        <v>-3</v>
      </c>
    </row>
    <row r="470" spans="1:19">
      <c r="A470" s="13">
        <f ca="1"/>
        <v>17.889447236180938</v>
      </c>
      <c r="B470" s="13">
        <f ca="1"/>
        <v>96.896738719579815</v>
      </c>
      <c r="D470" s="13">
        <f ca="1"/>
        <v>17.889447236180938</v>
      </c>
      <c r="E470" s="13">
        <f ca="1"/>
        <v>96.896738719579815</v>
      </c>
      <c r="F470" s="13">
        <f ca="1"/>
        <v>97.658288710165039</v>
      </c>
      <c r="G470" s="13">
        <f ca="1"/>
        <v>100.77923358473235</v>
      </c>
      <c r="H470" s="13">
        <f ca="1"/>
        <v>99.738918626543253</v>
      </c>
      <c r="I470" s="13">
        <f ca="1"/>
        <v>95.577658793786824</v>
      </c>
      <c r="J470" s="13">
        <f ca="1"/>
        <v>94.537343835597724</v>
      </c>
      <c r="M470" s="13">
        <f ca="1"/>
        <v>17.889447236180938</v>
      </c>
      <c r="N470" s="13">
        <f ca="1"/>
        <v>96.896738719579815</v>
      </c>
      <c r="O470" s="13">
        <f ca="1"/>
        <v>-0.73203791274025998</v>
      </c>
      <c r="P470" s="13">
        <f ca="1"/>
        <v>3</v>
      </c>
      <c r="Q470" s="13">
        <f ca="1"/>
        <v>2</v>
      </c>
      <c r="R470" s="13">
        <f ca="1"/>
        <v>-2</v>
      </c>
      <c r="S470" s="13">
        <f ca="1"/>
        <v>-3</v>
      </c>
    </row>
    <row r="471" spans="1:19">
      <c r="A471" s="13">
        <f ca="1"/>
        <v>17.989949748743754</v>
      </c>
      <c r="B471" s="13">
        <f ca="1"/>
        <v>98.855586243668697</v>
      </c>
      <c r="D471" s="13">
        <f ca="1"/>
        <v>17.989949748743754</v>
      </c>
      <c r="E471" s="13">
        <f ca="1"/>
        <v>98.855586243668697</v>
      </c>
      <c r="F471" s="13">
        <f ca="1"/>
        <v>97.957613093540957</v>
      </c>
      <c r="G471" s="13">
        <f ca="1"/>
        <v>100.88300105634725</v>
      </c>
      <c r="H471" s="13">
        <f ca="1"/>
        <v>99.907871735411831</v>
      </c>
      <c r="I471" s="13">
        <f ca="1"/>
        <v>96.007354451670082</v>
      </c>
      <c r="J471" s="13">
        <f ca="1"/>
        <v>95.032225130734659</v>
      </c>
      <c r="M471" s="13">
        <f ca="1"/>
        <v>17.989949748743754</v>
      </c>
      <c r="N471" s="13">
        <f ca="1"/>
        <v>98.855586243668697</v>
      </c>
      <c r="O471" s="13">
        <f ca="1"/>
        <v>0.92087596060214982</v>
      </c>
      <c r="P471" s="13">
        <f ca="1"/>
        <v>3</v>
      </c>
      <c r="Q471" s="13">
        <f ca="1"/>
        <v>2</v>
      </c>
      <c r="R471" s="13">
        <f ca="1"/>
        <v>-2</v>
      </c>
      <c r="S471" s="13">
        <f ca="1"/>
        <v>-3</v>
      </c>
    </row>
    <row r="472" spans="1:19">
      <c r="A472" s="13">
        <f ca="1"/>
        <v>18.09045226130657</v>
      </c>
      <c r="B472" s="13">
        <f ca="1"/>
        <v>97.886272927000022</v>
      </c>
      <c r="D472" s="13">
        <f ca="1"/>
        <v>18.09045226130657</v>
      </c>
      <c r="E472" s="13">
        <f ca="1"/>
        <v>97.886272927000022</v>
      </c>
      <c r="F472" s="13">
        <f ca="1"/>
        <v>97.939778051905733</v>
      </c>
      <c r="G472" s="13">
        <f ca="1"/>
        <v>100.64486375335053</v>
      </c>
      <c r="H472" s="13">
        <f ca="1"/>
        <v>99.743168519535601</v>
      </c>
      <c r="I472" s="13">
        <f ca="1"/>
        <v>96.136387584275866</v>
      </c>
      <c r="J472" s="13">
        <f ca="1"/>
        <v>95.234692350460932</v>
      </c>
      <c r="M472" s="13">
        <f ca="1"/>
        <v>18.09045226130657</v>
      </c>
      <c r="N472" s="13">
        <f ca="1"/>
        <v>97.886272927000022</v>
      </c>
      <c r="O472" s="13">
        <f ca="1"/>
        <v>-5.933836943923932E-2</v>
      </c>
      <c r="P472" s="13">
        <f ca="1"/>
        <v>3</v>
      </c>
      <c r="Q472" s="13">
        <f ca="1"/>
        <v>2</v>
      </c>
      <c r="R472" s="13">
        <f ca="1"/>
        <v>-2</v>
      </c>
      <c r="S472" s="13">
        <f ca="1"/>
        <v>-3</v>
      </c>
    </row>
    <row r="473" spans="1:19">
      <c r="A473" s="13">
        <f ca="1"/>
        <v>18.190954773869386</v>
      </c>
      <c r="B473" s="13">
        <f ca="1"/>
        <v>98.912232602970576</v>
      </c>
      <c r="D473" s="13">
        <f ca="1"/>
        <v>18.190954773869386</v>
      </c>
      <c r="E473" s="13">
        <f ca="1"/>
        <v>98.912232602970576</v>
      </c>
      <c r="F473" s="13">
        <f ca="1"/>
        <v>98.182891689671948</v>
      </c>
      <c r="G473" s="13">
        <f ca="1"/>
        <v>101.06654121667552</v>
      </c>
      <c r="H473" s="13">
        <f ca="1"/>
        <v>100.10532470767433</v>
      </c>
      <c r="I473" s="13">
        <f ca="1"/>
        <v>96.260458671669568</v>
      </c>
      <c r="J473" s="13">
        <f ca="1"/>
        <v>95.299242162668378</v>
      </c>
      <c r="M473" s="13">
        <f ca="1"/>
        <v>18.190954773869386</v>
      </c>
      <c r="N473" s="13">
        <f ca="1"/>
        <v>98.912232602970576</v>
      </c>
      <c r="O473" s="13">
        <f ca="1"/>
        <v>0.75876860880853492</v>
      </c>
      <c r="P473" s="13">
        <f ca="1"/>
        <v>3</v>
      </c>
      <c r="Q473" s="13">
        <f ca="1"/>
        <v>2</v>
      </c>
      <c r="R473" s="13">
        <f ca="1"/>
        <v>-2</v>
      </c>
      <c r="S473" s="13">
        <f ca="1"/>
        <v>-3</v>
      </c>
    </row>
    <row r="474" spans="1:19">
      <c r="A474" s="13">
        <f ca="1"/>
        <v>18.291457286432202</v>
      </c>
      <c r="B474" s="13">
        <f ca="1"/>
        <v>97.593460895501991</v>
      </c>
      <c r="D474" s="13">
        <f ca="1"/>
        <v>18.291457286432202</v>
      </c>
      <c r="E474" s="13">
        <f ca="1"/>
        <v>97.593460895501991</v>
      </c>
      <c r="F474" s="13">
        <f ca="1"/>
        <v>98.035533991129469</v>
      </c>
      <c r="G474" s="13">
        <f ca="1"/>
        <v>100.96888080848959</v>
      </c>
      <c r="H474" s="13">
        <f ca="1"/>
        <v>99.991098536036219</v>
      </c>
      <c r="I474" s="13">
        <f ca="1"/>
        <v>96.079969446222719</v>
      </c>
      <c r="J474" s="13">
        <f ca="1"/>
        <v>95.102187173769352</v>
      </c>
      <c r="M474" s="13">
        <f ca="1"/>
        <v>18.291457286432202</v>
      </c>
      <c r="N474" s="13">
        <f ca="1"/>
        <v>97.593460895501991</v>
      </c>
      <c r="O474" s="13">
        <f ca="1"/>
        <v>-0.45211813312820998</v>
      </c>
      <c r="P474" s="13">
        <f ca="1"/>
        <v>3</v>
      </c>
      <c r="Q474" s="13">
        <f ca="1"/>
        <v>2</v>
      </c>
      <c r="R474" s="13">
        <f ca="1"/>
        <v>-2</v>
      </c>
      <c r="S474" s="13">
        <f ca="1"/>
        <v>-3</v>
      </c>
    </row>
    <row r="475" spans="1:19">
      <c r="A475" s="13">
        <f ca="1"/>
        <v>18.391959798995018</v>
      </c>
      <c r="B475" s="13">
        <f ca="1"/>
        <v>98.967733172626509</v>
      </c>
      <c r="D475" s="13">
        <f ca="1"/>
        <v>18.391959798995018</v>
      </c>
      <c r="E475" s="13">
        <f ca="1"/>
        <v>98.967733172626509</v>
      </c>
      <c r="F475" s="13">
        <f ca="1"/>
        <v>98.26858378650374</v>
      </c>
      <c r="G475" s="13">
        <f ca="1"/>
        <v>101.17707788632089</v>
      </c>
      <c r="H475" s="13">
        <f ca="1"/>
        <v>100.2075798530485</v>
      </c>
      <c r="I475" s="13">
        <f ca="1"/>
        <v>96.32958771995898</v>
      </c>
      <c r="J475" s="13">
        <f ca="1"/>
        <v>95.360089686686592</v>
      </c>
      <c r="M475" s="13">
        <f ca="1"/>
        <v>18.391959798995018</v>
      </c>
      <c r="N475" s="13">
        <f ca="1"/>
        <v>98.967733172626509</v>
      </c>
      <c r="O475" s="13">
        <f ca="1"/>
        <v>0.72114574978858492</v>
      </c>
      <c r="P475" s="13">
        <f ca="1"/>
        <v>3</v>
      </c>
      <c r="Q475" s="13">
        <f ca="1"/>
        <v>2</v>
      </c>
      <c r="R475" s="13">
        <f ca="1"/>
        <v>-2</v>
      </c>
      <c r="S475" s="13">
        <f ca="1"/>
        <v>-3</v>
      </c>
    </row>
    <row r="476" spans="1:19">
      <c r="A476" s="13">
        <f ca="1"/>
        <v>18.492462311557833</v>
      </c>
      <c r="B476" s="13">
        <f ca="1"/>
        <v>99.325836330980621</v>
      </c>
      <c r="D476" s="13">
        <f ca="1"/>
        <v>18.492462311557833</v>
      </c>
      <c r="E476" s="13">
        <f ca="1"/>
        <v>99.325836330980621</v>
      </c>
      <c r="F476" s="13">
        <f ca="1"/>
        <v>98.532896922622953</v>
      </c>
      <c r="G476" s="13">
        <f ca="1"/>
        <v>101.28340662050599</v>
      </c>
      <c r="H476" s="13">
        <f ca="1"/>
        <v>100.36657005454497</v>
      </c>
      <c r="I476" s="13">
        <f ca="1"/>
        <v>96.699223790700941</v>
      </c>
      <c r="J476" s="13">
        <f ca="1"/>
        <v>95.782387224739921</v>
      </c>
      <c r="M476" s="13">
        <f ca="1"/>
        <v>18.492462311557833</v>
      </c>
      <c r="N476" s="13">
        <f ca="1"/>
        <v>99.325836330980621</v>
      </c>
      <c r="O476" s="13">
        <f ca="1"/>
        <v>0.86486451107731022</v>
      </c>
      <c r="P476" s="13">
        <f ca="1"/>
        <v>3</v>
      </c>
      <c r="Q476" s="13">
        <f ca="1"/>
        <v>2</v>
      </c>
      <c r="R476" s="13">
        <f ca="1"/>
        <v>-2</v>
      </c>
      <c r="S476" s="13">
        <f ca="1"/>
        <v>-3</v>
      </c>
    </row>
    <row r="477" spans="1:19">
      <c r="A477" s="13">
        <f ca="1"/>
        <v>18.592964824120649</v>
      </c>
      <c r="B477" s="13">
        <f ca="1"/>
        <v>99.110926188466323</v>
      </c>
      <c r="D477" s="13">
        <f ca="1"/>
        <v>18.592964824120649</v>
      </c>
      <c r="E477" s="13">
        <f ca="1"/>
        <v>99.110926188466323</v>
      </c>
      <c r="F477" s="13">
        <f ca="1"/>
        <v>98.677404239083785</v>
      </c>
      <c r="G477" s="13">
        <f ca="1"/>
        <v>100.64479265790777</v>
      </c>
      <c r="H477" s="13">
        <f ca="1"/>
        <v>99.988996518299771</v>
      </c>
      <c r="I477" s="13">
        <f ca="1"/>
        <v>97.365811959867798</v>
      </c>
      <c r="J477" s="13">
        <f ca="1"/>
        <v>96.710015820259798</v>
      </c>
      <c r="M477" s="13">
        <f ca="1"/>
        <v>18.592964824120649</v>
      </c>
      <c r="N477" s="13">
        <f ca="1"/>
        <v>99.110926188466323</v>
      </c>
      <c r="O477" s="13">
        <f ca="1"/>
        <v>0.66106206364934816</v>
      </c>
      <c r="P477" s="13">
        <f ca="1"/>
        <v>3</v>
      </c>
      <c r="Q477" s="13">
        <f ca="1"/>
        <v>2</v>
      </c>
      <c r="R477" s="13">
        <f ca="1"/>
        <v>-2</v>
      </c>
      <c r="S477" s="13">
        <f ca="1"/>
        <v>-3</v>
      </c>
    </row>
    <row r="478" spans="1:19">
      <c r="A478" s="13">
        <f ca="1"/>
        <v>18.693467336683465</v>
      </c>
      <c r="B478" s="13">
        <f ca="1"/>
        <v>97.548180043316393</v>
      </c>
      <c r="D478" s="13">
        <f ca="1"/>
        <v>18.693467336683465</v>
      </c>
      <c r="E478" s="13">
        <f ca="1"/>
        <v>97.548180043316393</v>
      </c>
      <c r="F478" s="13">
        <f ca="1"/>
        <v>98.395098190141937</v>
      </c>
      <c r="G478" s="13">
        <f ca="1"/>
        <v>100.71656902199139</v>
      </c>
      <c r="H478" s="13">
        <f ca="1"/>
        <v>99.942745411374901</v>
      </c>
      <c r="I478" s="13">
        <f ca="1"/>
        <v>96.847450968908973</v>
      </c>
      <c r="J478" s="13">
        <f ca="1"/>
        <v>96.073627358292484</v>
      </c>
      <c r="M478" s="13">
        <f ca="1"/>
        <v>18.693467336683465</v>
      </c>
      <c r="N478" s="13">
        <f ca="1"/>
        <v>97.548180043316393</v>
      </c>
      <c r="O478" s="13">
        <f ca="1"/>
        <v>-1.0944589118324122</v>
      </c>
      <c r="P478" s="13">
        <f ca="1"/>
        <v>3</v>
      </c>
      <c r="Q478" s="13">
        <f ca="1"/>
        <v>2</v>
      </c>
      <c r="R478" s="13">
        <f ca="1"/>
        <v>-2</v>
      </c>
      <c r="S478" s="13">
        <f ca="1"/>
        <v>-3</v>
      </c>
    </row>
    <row r="479" spans="1:19">
      <c r="A479" s="13">
        <f ca="1"/>
        <v>18.793969849246281</v>
      </c>
      <c r="B479" s="13">
        <f ca="1"/>
        <v>97.583576352307716</v>
      </c>
      <c r="D479" s="13">
        <f ca="1"/>
        <v>18.793969849246281</v>
      </c>
      <c r="E479" s="13">
        <f ca="1"/>
        <v>97.583576352307716</v>
      </c>
      <c r="F479" s="13">
        <f ca="1"/>
        <v>98.192217730683382</v>
      </c>
      <c r="G479" s="13">
        <f ca="1"/>
        <v>100.75913239509431</v>
      </c>
      <c r="H479" s="13">
        <f ca="1"/>
        <v>99.903494173623997</v>
      </c>
      <c r="I479" s="13">
        <f ca="1"/>
        <v>96.480941287742766</v>
      </c>
      <c r="J479" s="13">
        <f ca="1"/>
        <v>95.625303066272451</v>
      </c>
      <c r="M479" s="13">
        <f ca="1"/>
        <v>18.793969849246281</v>
      </c>
      <c r="N479" s="13">
        <f ca="1"/>
        <v>97.583576352307716</v>
      </c>
      <c r="O479" s="13">
        <f ca="1"/>
        <v>-0.71133028317714586</v>
      </c>
      <c r="P479" s="13">
        <f ca="1"/>
        <v>3</v>
      </c>
      <c r="Q479" s="13">
        <f ca="1"/>
        <v>2</v>
      </c>
      <c r="R479" s="13">
        <f ca="1"/>
        <v>-2</v>
      </c>
      <c r="S479" s="13">
        <f ca="1"/>
        <v>-3</v>
      </c>
    </row>
    <row r="480" spans="1:19">
      <c r="A480" s="13">
        <f ca="1"/>
        <v>18.894472361809097</v>
      </c>
      <c r="B480" s="13">
        <f ca="1"/>
        <v>99.366560025228637</v>
      </c>
      <c r="D480" s="13">
        <f ca="1"/>
        <v>18.894472361809097</v>
      </c>
      <c r="E480" s="13">
        <f ca="1"/>
        <v>99.366560025228637</v>
      </c>
      <c r="F480" s="13">
        <f ca="1"/>
        <v>98.485803304319688</v>
      </c>
      <c r="G480" s="13">
        <f ca="1"/>
        <v>101.11083151349477</v>
      </c>
      <c r="H480" s="13">
        <f ca="1"/>
        <v>100.2358221104364</v>
      </c>
      <c r="I480" s="13">
        <f ca="1"/>
        <v>96.735784498202975</v>
      </c>
      <c r="J480" s="13">
        <f ca="1"/>
        <v>95.860775095144604</v>
      </c>
      <c r="M480" s="13">
        <f ca="1"/>
        <v>18.894472361809097</v>
      </c>
      <c r="N480" s="13">
        <f ca="1"/>
        <v>99.366560025228637</v>
      </c>
      <c r="O480" s="13">
        <f ca="1"/>
        <v>1.0065682926726274</v>
      </c>
      <c r="P480" s="13">
        <f ca="1"/>
        <v>3</v>
      </c>
      <c r="Q480" s="13">
        <f ca="1"/>
        <v>2</v>
      </c>
      <c r="R480" s="13">
        <f ca="1"/>
        <v>-2</v>
      </c>
      <c r="S480" s="13">
        <f ca="1"/>
        <v>-3</v>
      </c>
    </row>
    <row r="481" spans="1:19">
      <c r="A481" s="13">
        <f ca="1"/>
        <v>18.994974874371913</v>
      </c>
      <c r="B481" s="13">
        <f ca="1"/>
        <v>98.648900529511153</v>
      </c>
      <c r="D481" s="13">
        <f ca="1"/>
        <v>18.994974874371913</v>
      </c>
      <c r="E481" s="13">
        <f ca="1"/>
        <v>98.648900529511153</v>
      </c>
      <c r="F481" s="13">
        <f ca="1"/>
        <v>98.526577610617551</v>
      </c>
      <c r="G481" s="13">
        <f ca="1"/>
        <v>100.89573648623744</v>
      </c>
      <c r="H481" s="13">
        <f ca="1"/>
        <v>100.10601686103081</v>
      </c>
      <c r="I481" s="13">
        <f ca="1"/>
        <v>96.947138360204292</v>
      </c>
      <c r="J481" s="13">
        <f ca="1"/>
        <v>96.157418734997663</v>
      </c>
      <c r="M481" s="13">
        <f ca="1"/>
        <v>18.994974874371913</v>
      </c>
      <c r="N481" s="13">
        <f ca="1"/>
        <v>98.648900529511153</v>
      </c>
      <c r="O481" s="13">
        <f ca="1"/>
        <v>0.15489411050357998</v>
      </c>
      <c r="P481" s="13">
        <f ca="1"/>
        <v>3</v>
      </c>
      <c r="Q481" s="13">
        <f ca="1"/>
        <v>2</v>
      </c>
      <c r="R481" s="13">
        <f ca="1"/>
        <v>-2</v>
      </c>
      <c r="S481" s="13">
        <f ca="1"/>
        <v>-3</v>
      </c>
    </row>
    <row r="482" spans="1:19">
      <c r="A482" s="13">
        <f ca="1"/>
        <v>19.095477386934729</v>
      </c>
      <c r="B482" s="13">
        <f ca="1"/>
        <v>98.6106878111204</v>
      </c>
      <c r="D482" s="13">
        <f ca="1"/>
        <v>19.095477386934729</v>
      </c>
      <c r="E482" s="13">
        <f ca="1"/>
        <v>98.6106878111204</v>
      </c>
      <c r="F482" s="13">
        <f ca="1"/>
        <v>98.547605160743259</v>
      </c>
      <c r="G482" s="13">
        <f ca="1"/>
        <v>100.85068039377995</v>
      </c>
      <c r="H482" s="13">
        <f ca="1"/>
        <v>100.0829886494344</v>
      </c>
      <c r="I482" s="13">
        <f ca="1"/>
        <v>97.012221672052121</v>
      </c>
      <c r="J482" s="13">
        <f ca="1"/>
        <v>96.244529927706566</v>
      </c>
      <c r="M482" s="13">
        <f ca="1"/>
        <v>19.095477386934729</v>
      </c>
      <c r="N482" s="13">
        <f ca="1"/>
        <v>98.6106878111204</v>
      </c>
      <c r="O482" s="13">
        <f ca="1"/>
        <v>8.2171849367634178E-2</v>
      </c>
      <c r="P482" s="13">
        <f ca="1"/>
        <v>3</v>
      </c>
      <c r="Q482" s="13">
        <f ca="1"/>
        <v>2</v>
      </c>
      <c r="R482" s="13">
        <f ca="1"/>
        <v>-2</v>
      </c>
      <c r="S482" s="13">
        <f ca="1"/>
        <v>-3</v>
      </c>
    </row>
    <row r="483" spans="1:19">
      <c r="A483" s="13">
        <f ca="1"/>
        <v>19.195979899497544</v>
      </c>
      <c r="B483" s="13">
        <f ca="1"/>
        <v>99.20395957892886</v>
      </c>
      <c r="D483" s="13">
        <f ca="1"/>
        <v>19.195979899497544</v>
      </c>
      <c r="E483" s="13">
        <f ca="1"/>
        <v>99.20395957892886</v>
      </c>
      <c r="F483" s="13">
        <f ca="1"/>
        <v>98.711693765289652</v>
      </c>
      <c r="G483" s="13">
        <f ca="1"/>
        <v>100.99350891424349</v>
      </c>
      <c r="H483" s="13">
        <f ca="1"/>
        <v>100.23290386459222</v>
      </c>
      <c r="I483" s="13">
        <f ca="1"/>
        <v>97.190483665987088</v>
      </c>
      <c r="J483" s="13">
        <f ca="1"/>
        <v>96.429878616335813</v>
      </c>
      <c r="M483" s="13">
        <f ca="1"/>
        <v>19.195979899497544</v>
      </c>
      <c r="N483" s="13">
        <f ca="1"/>
        <v>99.20395957892886</v>
      </c>
      <c r="O483" s="13">
        <f ca="1"/>
        <v>0.64720292596650475</v>
      </c>
      <c r="P483" s="13">
        <f ca="1"/>
        <v>3</v>
      </c>
      <c r="Q483" s="13">
        <f ca="1"/>
        <v>2</v>
      </c>
      <c r="R483" s="13">
        <f ca="1"/>
        <v>-2</v>
      </c>
      <c r="S483" s="13">
        <f ca="1"/>
        <v>-3</v>
      </c>
    </row>
    <row r="484" spans="1:19">
      <c r="A484" s="13">
        <f ca="1"/>
        <v>19.29648241206036</v>
      </c>
      <c r="B484" s="13">
        <f ca="1"/>
        <v>99.85426577496105</v>
      </c>
      <c r="D484" s="13">
        <f ca="1"/>
        <v>19.29648241206036</v>
      </c>
      <c r="E484" s="13">
        <f ca="1"/>
        <v>99.85426577496105</v>
      </c>
      <c r="F484" s="13">
        <f ca="1"/>
        <v>98.997336767707509</v>
      </c>
      <c r="G484" s="13">
        <f ca="1"/>
        <v>101.81239229341259</v>
      </c>
      <c r="H484" s="13">
        <f ca="1"/>
        <v>100.87404045151089</v>
      </c>
      <c r="I484" s="13">
        <f ca="1"/>
        <v>97.120633083904124</v>
      </c>
      <c r="J484" s="13">
        <f ca="1"/>
        <v>96.182281242002432</v>
      </c>
      <c r="M484" s="13">
        <f ca="1"/>
        <v>19.29648241206036</v>
      </c>
      <c r="N484" s="13">
        <f ca="1"/>
        <v>99.85426577496105</v>
      </c>
      <c r="O484" s="13">
        <f ca="1"/>
        <v>0.91322782029911476</v>
      </c>
      <c r="P484" s="13">
        <f ca="1"/>
        <v>3</v>
      </c>
      <c r="Q484" s="13">
        <f ca="1"/>
        <v>2</v>
      </c>
      <c r="R484" s="13">
        <f ca="1"/>
        <v>-2</v>
      </c>
      <c r="S484" s="13">
        <f ca="1"/>
        <v>-3</v>
      </c>
    </row>
    <row r="485" spans="1:19">
      <c r="A485" s="13">
        <f ca="1"/>
        <v>19.396984924623176</v>
      </c>
      <c r="B485" s="13">
        <f ca="1"/>
        <v>99.669884128531393</v>
      </c>
      <c r="D485" s="13">
        <f ca="1"/>
        <v>19.396984924623176</v>
      </c>
      <c r="E485" s="13">
        <f ca="1"/>
        <v>99.669884128531393</v>
      </c>
      <c r="F485" s="13">
        <f ca="1"/>
        <v>99.165473607913484</v>
      </c>
      <c r="G485" s="13">
        <f ca="1"/>
        <v>101.56791470797282</v>
      </c>
      <c r="H485" s="13">
        <f ca="1"/>
        <v>100.76710100795304</v>
      </c>
      <c r="I485" s="13">
        <f ca="1"/>
        <v>97.563846207873922</v>
      </c>
      <c r="J485" s="13">
        <f ca="1"/>
        <v>96.763032507854149</v>
      </c>
      <c r="M485" s="13">
        <f ca="1"/>
        <v>19.396984924623176</v>
      </c>
      <c r="N485" s="13">
        <f ca="1"/>
        <v>99.669884128531393</v>
      </c>
      <c r="O485" s="13">
        <f ca="1"/>
        <v>0.62987249169869541</v>
      </c>
      <c r="P485" s="13">
        <f ca="1"/>
        <v>3</v>
      </c>
      <c r="Q485" s="13">
        <f ca="1"/>
        <v>2</v>
      </c>
      <c r="R485" s="13">
        <f ca="1"/>
        <v>-2</v>
      </c>
      <c r="S485" s="13">
        <f ca="1"/>
        <v>-3</v>
      </c>
    </row>
    <row r="486" spans="1:19">
      <c r="A486" s="13">
        <f ca="1"/>
        <v>19.497487437185992</v>
      </c>
      <c r="B486" s="13">
        <f ca="1"/>
        <v>99.005330738513436</v>
      </c>
      <c r="D486" s="13">
        <f ca="1"/>
        <v>19.497487437185992</v>
      </c>
      <c r="E486" s="13">
        <f ca="1"/>
        <v>99.005330738513436</v>
      </c>
      <c r="F486" s="13">
        <f ca="1"/>
        <v>99.125437890563461</v>
      </c>
      <c r="G486" s="13">
        <f ca="1"/>
        <v>100.57374650368139</v>
      </c>
      <c r="H486" s="13">
        <f ca="1"/>
        <v>100.09097696597541</v>
      </c>
      <c r="I486" s="13">
        <f ca="1"/>
        <v>98.159898815151507</v>
      </c>
      <c r="J486" s="13">
        <f ca="1"/>
        <v>97.67712927744553</v>
      </c>
      <c r="M486" s="13">
        <f ca="1"/>
        <v>19.497487437185992</v>
      </c>
      <c r="N486" s="13">
        <f ca="1"/>
        <v>99.005330738513436</v>
      </c>
      <c r="O486" s="13">
        <f ca="1"/>
        <v>-0.24878776034782607</v>
      </c>
      <c r="P486" s="13">
        <f ca="1"/>
        <v>3</v>
      </c>
      <c r="Q486" s="13">
        <f ca="1"/>
        <v>2</v>
      </c>
      <c r="R486" s="13">
        <f ca="1"/>
        <v>-2</v>
      </c>
      <c r="S486" s="13">
        <f ca="1"/>
        <v>-3</v>
      </c>
    </row>
    <row r="487" spans="1:19">
      <c r="A487" s="13">
        <f ca="1"/>
        <v>19.597989949748808</v>
      </c>
      <c r="B487" s="13">
        <f ca="1"/>
        <v>99.873847485603591</v>
      </c>
      <c r="D487" s="13">
        <f ca="1"/>
        <v>19.597989949748808</v>
      </c>
      <c r="E487" s="13">
        <f ca="1"/>
        <v>99.873847485603591</v>
      </c>
      <c r="F487" s="13">
        <f ca="1"/>
        <v>99.312540289323493</v>
      </c>
      <c r="G487" s="13">
        <f ca="1"/>
        <v>100.94444515812586</v>
      </c>
      <c r="H487" s="13">
        <f ca="1"/>
        <v>100.40047686852508</v>
      </c>
      <c r="I487" s="13">
        <f ca="1"/>
        <v>98.224603710121912</v>
      </c>
      <c r="J487" s="13">
        <f ca="1"/>
        <v>97.680635420521128</v>
      </c>
      <c r="M487" s="13">
        <f ca="1"/>
        <v>19.597989949748808</v>
      </c>
      <c r="N487" s="13">
        <f ca="1"/>
        <v>99.873847485603591</v>
      </c>
      <c r="O487" s="13">
        <f ca="1"/>
        <v>1.0318748482416771</v>
      </c>
      <c r="P487" s="13">
        <f ca="1"/>
        <v>3</v>
      </c>
      <c r="Q487" s="13">
        <f ca="1"/>
        <v>2</v>
      </c>
      <c r="R487" s="13">
        <f ca="1"/>
        <v>-2</v>
      </c>
      <c r="S487" s="13">
        <f ca="1"/>
        <v>-3</v>
      </c>
    </row>
    <row r="488" spans="1:19">
      <c r="A488" s="13">
        <f ca="1"/>
        <v>19.698492462311624</v>
      </c>
      <c r="B488" s="13">
        <f ca="1"/>
        <v>101.36165904703365</v>
      </c>
      <c r="D488" s="13">
        <f ca="1"/>
        <v>19.698492462311624</v>
      </c>
      <c r="E488" s="13">
        <f ca="1"/>
        <v>101.36165904703365</v>
      </c>
      <c r="F488" s="13">
        <f ca="1"/>
        <v>99.824819978751037</v>
      </c>
      <c r="G488" s="13">
        <f ca="1"/>
        <v>102.54151761436502</v>
      </c>
      <c r="H488" s="13">
        <f ca="1"/>
        <v>101.63595173582702</v>
      </c>
      <c r="I488" s="13">
        <f ca="1"/>
        <v>98.013688221675054</v>
      </c>
      <c r="J488" s="13">
        <f ca="1"/>
        <v>97.108122343137055</v>
      </c>
      <c r="M488" s="13">
        <f ca="1"/>
        <v>19.698492462311624</v>
      </c>
      <c r="N488" s="13">
        <f ca="1"/>
        <v>101.36165904703365</v>
      </c>
      <c r="O488" s="13">
        <f ca="1"/>
        <v>1.6971035511671402</v>
      </c>
      <c r="P488" s="13">
        <f ca="1"/>
        <v>3</v>
      </c>
      <c r="Q488" s="13">
        <f ca="1"/>
        <v>2</v>
      </c>
      <c r="R488" s="13">
        <f ca="1"/>
        <v>-2</v>
      </c>
      <c r="S488" s="13">
        <f ca="1"/>
        <v>-3</v>
      </c>
    </row>
    <row r="489" spans="1:19">
      <c r="A489" s="13">
        <f ca="1"/>
        <v>19.798994974874439</v>
      </c>
      <c r="B489" s="13">
        <f ca="1"/>
        <v>98.836327325969506</v>
      </c>
      <c r="D489" s="13">
        <f ca="1"/>
        <v>19.798994974874439</v>
      </c>
      <c r="E489" s="13">
        <f ca="1"/>
        <v>98.836327325969506</v>
      </c>
      <c r="F489" s="13">
        <f ca="1"/>
        <v>99.57769681555564</v>
      </c>
      <c r="G489" s="13">
        <f ca="1"/>
        <v>102.13859310034621</v>
      </c>
      <c r="H489" s="13">
        <f ca="1"/>
        <v>101.28496100541602</v>
      </c>
      <c r="I489" s="13">
        <f ca="1"/>
        <v>97.870432625695258</v>
      </c>
      <c r="J489" s="13">
        <f ca="1"/>
        <v>97.016800530765067</v>
      </c>
      <c r="M489" s="13">
        <f ca="1"/>
        <v>19.798994974874439</v>
      </c>
      <c r="N489" s="13">
        <f ca="1"/>
        <v>98.836327325969506</v>
      </c>
      <c r="O489" s="13">
        <f ca="1"/>
        <v>-0.86848830308654323</v>
      </c>
      <c r="P489" s="13">
        <f ca="1"/>
        <v>3</v>
      </c>
      <c r="Q489" s="13">
        <f ca="1"/>
        <v>2</v>
      </c>
      <c r="R489" s="13">
        <f ca="1"/>
        <v>-2</v>
      </c>
      <c r="S489" s="13">
        <f ca="1"/>
        <v>-3</v>
      </c>
    </row>
    <row r="490" spans="1:19">
      <c r="A490" s="13">
        <f ca="1"/>
        <v>19.899497487437255</v>
      </c>
      <c r="B490" s="13">
        <f ca="1"/>
        <v>99.652924274957471</v>
      </c>
      <c r="D490" s="13">
        <f ca="1"/>
        <v>19.899497487437255</v>
      </c>
      <c r="E490" s="13">
        <f ca="1"/>
        <v>99.652924274957471</v>
      </c>
      <c r="F490" s="13">
        <f ca="1"/>
        <v>99.596503680406087</v>
      </c>
      <c r="G490" s="13">
        <f ca="1"/>
        <v>102.10500598140125</v>
      </c>
      <c r="H490" s="13">
        <f ca="1"/>
        <v>101.26883854773619</v>
      </c>
      <c r="I490" s="13">
        <f ca="1"/>
        <v>97.92416881307598</v>
      </c>
      <c r="J490" s="13">
        <f ca="1"/>
        <v>97.088001379410926</v>
      </c>
      <c r="M490" s="13">
        <f ca="1"/>
        <v>19.899497487437255</v>
      </c>
      <c r="N490" s="13">
        <f ca="1"/>
        <v>99.652924274957471</v>
      </c>
      <c r="O490" s="13">
        <f ca="1"/>
        <v>6.7475235556691202E-2</v>
      </c>
      <c r="P490" s="13">
        <f ca="1"/>
        <v>3</v>
      </c>
      <c r="Q490" s="13">
        <f ca="1"/>
        <v>2</v>
      </c>
      <c r="R490" s="13">
        <f ca="1"/>
        <v>-2</v>
      </c>
      <c r="S490" s="13">
        <f ca="1"/>
        <v>-3</v>
      </c>
    </row>
    <row r="491" spans="1:19">
      <c r="A491" s="13">
        <f ca="1"/>
        <v>20.000000000000071</v>
      </c>
      <c r="B491" s="13">
        <f ca="1"/>
        <v>98.749938180549989</v>
      </c>
      <c r="D491" s="13">
        <f ca="1"/>
        <v>20.000000000000071</v>
      </c>
      <c r="E491" s="13">
        <f ca="1"/>
        <v>98.749938180549989</v>
      </c>
      <c r="F491" s="13">
        <f ca="1"/>
        <v>99.384862305442056</v>
      </c>
      <c r="G491" s="13">
        <f ca="1"/>
        <v>102.16370828934238</v>
      </c>
      <c r="H491" s="13">
        <f ca="1"/>
        <v>101.23742629470894</v>
      </c>
      <c r="I491" s="13">
        <f ca="1"/>
        <v>97.532298316175172</v>
      </c>
      <c r="J491" s="13">
        <f ca="1"/>
        <v>96.60601632154173</v>
      </c>
      <c r="M491" s="13">
        <f ca="1"/>
        <v>20.000000000000071</v>
      </c>
      <c r="N491" s="13">
        <f ca="1"/>
        <v>98.749938180549989</v>
      </c>
      <c r="O491" s="13">
        <f ca="1"/>
        <v>-0.68545446048892122</v>
      </c>
      <c r="P491" s="13">
        <f ca="1"/>
        <v>3</v>
      </c>
      <c r="Q491" s="13">
        <f ca="1"/>
        <v>2</v>
      </c>
      <c r="R491" s="13">
        <f ca="1"/>
        <v>-2</v>
      </c>
      <c r="S491" s="13">
        <f ca="1"/>
        <v>-3</v>
      </c>
    </row>
  </sheetData>
  <mergeCells count="328">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G244:H244"/>
    <mergeCell ref="G245:H245"/>
    <mergeCell ref="E244:F244"/>
    <mergeCell ref="E245:F245"/>
    <mergeCell ref="E246:F246"/>
    <mergeCell ref="E247:F247"/>
    <mergeCell ref="C242:D242"/>
    <mergeCell ref="C243:D243"/>
    <mergeCell ref="C244:D244"/>
    <mergeCell ref="C245:D245"/>
    <mergeCell ref="C246:D246"/>
    <mergeCell ref="C247:D247"/>
    <mergeCell ref="E237:F237"/>
    <mergeCell ref="E238:F238"/>
    <mergeCell ref="E239:F239"/>
    <mergeCell ref="E240:F240"/>
    <mergeCell ref="E241:F241"/>
    <mergeCell ref="E242:F242"/>
    <mergeCell ref="E243:F243"/>
    <mergeCell ref="G240:H240"/>
    <mergeCell ref="G241:H241"/>
    <mergeCell ref="G242:H242"/>
    <mergeCell ref="G243:H243"/>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A164:K164"/>
    <mergeCell ref="A165:K165"/>
    <mergeCell ref="A166:K166"/>
    <mergeCell ref="A167:K167"/>
    <mergeCell ref="A168:K168"/>
    <mergeCell ref="A158:K158"/>
    <mergeCell ref="A159:K159"/>
    <mergeCell ref="A160:K160"/>
    <mergeCell ref="A161:K161"/>
    <mergeCell ref="A162:K162"/>
    <mergeCell ref="A163:K163"/>
    <mergeCell ref="A137:K137"/>
    <mergeCell ref="A138:K138"/>
    <mergeCell ref="A139:K139"/>
    <mergeCell ref="A128:K128"/>
    <mergeCell ref="A129:K129"/>
    <mergeCell ref="A130:K130"/>
    <mergeCell ref="A131:K131"/>
    <mergeCell ref="A132:K132"/>
    <mergeCell ref="A133:K133"/>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13:K113"/>
    <mergeCell ref="A114:K114"/>
    <mergeCell ref="A115:K115"/>
    <mergeCell ref="A104:K104"/>
    <mergeCell ref="A105:K105"/>
    <mergeCell ref="A106:K106"/>
    <mergeCell ref="A107:K107"/>
    <mergeCell ref="A108:K108"/>
    <mergeCell ref="A109:K109"/>
    <mergeCell ref="A92:K92"/>
    <mergeCell ref="A93:K93"/>
    <mergeCell ref="A94:K94"/>
    <mergeCell ref="A95:K95"/>
    <mergeCell ref="A96:K96"/>
    <mergeCell ref="A97:K97"/>
    <mergeCell ref="A110:K110"/>
    <mergeCell ref="A111:K111"/>
    <mergeCell ref="A112:K112"/>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226:K226"/>
    <mergeCell ref="A227:K227"/>
    <mergeCell ref="A228:K228"/>
    <mergeCell ref="A229:K229"/>
    <mergeCell ref="A230:K230"/>
    <mergeCell ref="A231:K231"/>
    <mergeCell ref="A220:K220"/>
    <mergeCell ref="A221:K221"/>
    <mergeCell ref="A222:K222"/>
    <mergeCell ref="A223:K223"/>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189:B189"/>
    <mergeCell ref="C189:K189"/>
    <mergeCell ref="A190:B190"/>
    <mergeCell ref="C190:K190"/>
    <mergeCell ref="A191:B191"/>
    <mergeCell ref="C191:K191"/>
    <mergeCell ref="A192:B192"/>
    <mergeCell ref="C192:K192"/>
    <mergeCell ref="A193:B193"/>
    <mergeCell ref="C193:K193"/>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2:K2"/>
    <mergeCell ref="A3:K3"/>
    <mergeCell ref="A4:K4"/>
    <mergeCell ref="A5:K5"/>
    <mergeCell ref="A6:K6"/>
    <mergeCell ref="A9:K9"/>
    <mergeCell ref="A10:K10"/>
    <mergeCell ref="A11:K11"/>
    <mergeCell ref="A12:K12"/>
    <mergeCell ref="A194:B194"/>
    <mergeCell ref="C194:K194"/>
    <mergeCell ref="A198:B198"/>
    <mergeCell ref="C198:K198"/>
    <mergeCell ref="A199:B199"/>
    <mergeCell ref="C199:K199"/>
    <mergeCell ref="A200:B200"/>
    <mergeCell ref="C200:K200"/>
    <mergeCell ref="A201:B201"/>
    <mergeCell ref="C201:K201"/>
    <mergeCell ref="A197:B197"/>
    <mergeCell ref="C197:K197"/>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91AFD-75C8-4203-8D78-14539077C8D2}">
  <dimension ref="A2:S244"/>
  <sheetViews>
    <sheetView topLeftCell="A7" zoomScaleNormal="100" workbookViewId="0">
      <selection activeCell="W18" sqref="W18"/>
    </sheetView>
  </sheetViews>
  <sheetFormatPr defaultColWidth="9.125" defaultRowHeight="14.25"/>
  <cols>
    <col min="1" max="22" width="9.125" style="2"/>
    <col min="23" max="23" width="17.625" style="2" customWidth="1"/>
    <col min="24" max="16384" width="9.125" style="2"/>
  </cols>
  <sheetData>
    <row r="2" spans="1:9">
      <c r="A2" s="2" t="s">
        <v>1835</v>
      </c>
    </row>
    <row r="5" spans="1:9">
      <c r="I5" s="2" t="s">
        <v>1846</v>
      </c>
    </row>
    <row r="10" spans="1:9">
      <c r="A10" s="3" t="s">
        <v>553</v>
      </c>
    </row>
    <row r="11" spans="1:9">
      <c r="A11" s="72" t="s">
        <v>193</v>
      </c>
      <c r="B11" s="72"/>
      <c r="C11" s="8" t="s">
        <v>235</v>
      </c>
    </row>
    <row r="12" spans="1:9">
      <c r="A12" s="68" t="s">
        <v>6</v>
      </c>
      <c r="B12" s="68"/>
      <c r="C12" s="10">
        <v>10</v>
      </c>
    </row>
    <row r="13" spans="1:9">
      <c r="A13" s="68" t="s">
        <v>7</v>
      </c>
      <c r="B13" s="68"/>
      <c r="C13" s="45" t="s">
        <v>1834</v>
      </c>
    </row>
    <row r="14" spans="1:9">
      <c r="A14" s="68" t="s">
        <v>8</v>
      </c>
      <c r="B14" s="68"/>
      <c r="C14" s="45" t="s">
        <v>560</v>
      </c>
    </row>
    <row r="15" spans="1:9">
      <c r="A15" s="68" t="s">
        <v>13</v>
      </c>
      <c r="B15" s="68"/>
      <c r="C15" s="46" t="b">
        <v>1</v>
      </c>
    </row>
    <row r="16" spans="1:9">
      <c r="A16" s="68" t="s">
        <v>12</v>
      </c>
      <c r="B16" s="68"/>
      <c r="C16" s="46" t="b">
        <v>1</v>
      </c>
    </row>
    <row r="17" spans="1:3">
      <c r="A17" s="68" t="s">
        <v>10</v>
      </c>
      <c r="B17" s="68"/>
      <c r="C17" s="10"/>
    </row>
    <row r="18" spans="1:3">
      <c r="A18" s="68" t="s">
        <v>11</v>
      </c>
      <c r="B18" s="68"/>
      <c r="C18" s="10"/>
    </row>
    <row r="19" spans="1:3">
      <c r="A19" s="68" t="s">
        <v>554</v>
      </c>
      <c r="B19" s="68"/>
      <c r="C19" s="46" t="b">
        <v>1</v>
      </c>
    </row>
    <row r="21" spans="1:3">
      <c r="A21" s="3" t="s">
        <v>559</v>
      </c>
      <c r="B21" s="3"/>
      <c r="C21" s="20"/>
    </row>
    <row r="22" spans="1:3">
      <c r="A22" s="68" t="s">
        <v>555</v>
      </c>
      <c r="B22" s="68"/>
      <c r="C22" s="10">
        <v>3</v>
      </c>
    </row>
    <row r="23" spans="1:3">
      <c r="A23" s="68" t="s">
        <v>556</v>
      </c>
      <c r="B23" s="68"/>
      <c r="C23" s="10">
        <v>2</v>
      </c>
    </row>
    <row r="24" spans="1:3">
      <c r="A24" s="68" t="s">
        <v>557</v>
      </c>
      <c r="B24" s="68"/>
      <c r="C24" s="10">
        <v>-2</v>
      </c>
    </row>
    <row r="25" spans="1:3">
      <c r="A25" s="68" t="s">
        <v>558</v>
      </c>
      <c r="B25" s="68"/>
      <c r="C25" s="10">
        <v>-3</v>
      </c>
    </row>
    <row r="28" spans="1:3">
      <c r="A28" s="3" t="s">
        <v>552</v>
      </c>
      <c r="B28" s="4"/>
      <c r="C28" s="4"/>
    </row>
    <row r="29" spans="1:3">
      <c r="A29" s="72" t="s">
        <v>193</v>
      </c>
      <c r="B29" s="72"/>
      <c r="C29" s="8" t="s">
        <v>235</v>
      </c>
    </row>
    <row r="30" spans="1:3">
      <c r="A30" s="68" t="s">
        <v>84</v>
      </c>
      <c r="B30" s="68"/>
      <c r="C30" s="9" t="s">
        <v>95</v>
      </c>
    </row>
    <row r="31" spans="1:3">
      <c r="A31" s="68" t="s">
        <v>85</v>
      </c>
      <c r="B31" s="68"/>
      <c r="C31" s="10">
        <v>4</v>
      </c>
    </row>
    <row r="32" spans="1:3">
      <c r="A32" s="68" t="s">
        <v>86</v>
      </c>
      <c r="B32" s="68"/>
      <c r="C32" s="10">
        <v>5</v>
      </c>
    </row>
    <row r="33" spans="1:19">
      <c r="A33" s="68" t="s">
        <v>87</v>
      </c>
      <c r="B33" s="68"/>
      <c r="C33" s="10">
        <v>0.1</v>
      </c>
    </row>
    <row r="34" spans="1:19">
      <c r="A34" s="68" t="s">
        <v>88</v>
      </c>
      <c r="B34" s="68"/>
      <c r="C34" s="10">
        <v>0.04</v>
      </c>
    </row>
    <row r="35" spans="1:19">
      <c r="A35" s="68" t="s">
        <v>89</v>
      </c>
      <c r="B35" s="68"/>
      <c r="C35" s="10">
        <v>0.05</v>
      </c>
    </row>
    <row r="36" spans="1:19">
      <c r="A36" s="68" t="s">
        <v>90</v>
      </c>
      <c r="B36" s="68"/>
      <c r="C36" s="10"/>
    </row>
    <row r="37" spans="1:19">
      <c r="A37" s="68" t="s">
        <v>91</v>
      </c>
      <c r="B37" s="68"/>
      <c r="C37" s="10">
        <v>300</v>
      </c>
    </row>
    <row r="38" spans="1:19">
      <c r="A38" s="68" t="s">
        <v>92</v>
      </c>
      <c r="B38" s="68"/>
      <c r="C38" s="10">
        <v>0.5</v>
      </c>
    </row>
    <row r="39" spans="1:19">
      <c r="A39" s="68" t="s">
        <v>93</v>
      </c>
      <c r="B39" s="68"/>
      <c r="C39" s="10" t="b">
        <v>1</v>
      </c>
    </row>
    <row r="41" spans="1:19">
      <c r="A41" s="50" t="str" cm="1">
        <f t="array" aca="1" ref="A41" ca="1">_xlfn.LET(
    _xlpm.mode, $C$13,
    _xlpm.p, C$12,
    _xlpm.lambda, $C$17,
    _xlpm.trim, $C$18,
    _xlpm.data,_xlfn.ANCHORARRAY( $A$45),
    _xlpm.ctrl, $A$22:$C$25,
    _xlpm.get_round, _xlfn.LAMBDA(_xlpm.x,_xlpm.round_to,
        _xlfn.LET(
            _xlpm.from_dec, INT(-LOG10(_xlpm.x)),
            _xlpm.is_neg, _xlpm.from_dec &lt; 0,
            _xlpm.num_dig, IF(_xlpm.is_neg, _xlpm.round_to, _xlpm.from_dec + _xlpm.round_to),
            _xlpm.return, ROUND(_xlpm.x, _xlpm.num_dig),
            _xlpm.return
        )
    ),
    _xlpm.n, ROWS(_xlpm.data),
    _xlpm.avg, _xlpm.get_round(AVERAGE(INDEX(_xlpm.data,,2)),2),
    _xlpm.med, _xlpm.get_round(MEDIAN(INDEX(_xlpm.data,,2)), 2),
    _xlpm.msg_pre, "Raw Control Chart: ",
    _xlpm.msg_mode, _xlfn.SWITCH(
        _xlpm.mode,
        "avg", "Traditional (x̄=" &amp; _xlpm.avg &amp; ", n=" &amp; _xlpm.n &amp; ")",
        "cma", "Cumulative Moving Average (n=" &amp; _xlpm.n &amp; ")",
        "sma", "Simple Moving Average (n=" &amp; _xlpm.n &amp; ", p=" &amp; _xlpm.p &amp; ")",
        "wma", "Weighted Moving Average (n=" &amp; _xlpm.n &amp; ", p=" &amp; _xlpm.p &amp; ")",
        "ema", "Exponentially Weighted Moving Average (n=" &amp; _xlpm.n &amp; ", p=" &amp; _xlpm.p &amp; ", λ=" &amp; _xlpm.get_round(2 / (_xlpm.p + 1), 4) &amp; ")",
        "emal", "Exponentially Weighted Moving Average (n=" &amp; _xlpm.n &amp; ", p=" &amp; _xlpm.p &amp; ", λ=" &amp; _xlpm.lambda &amp; ")",
        "trim", "Trimmed Moving Average (n=" &amp; _xlpm.n &amp; ", p=" &amp; _xlpm.p &amp; ", t=" &amp; _xlpm.trim &amp; ")",
        "med", "Moving Median (n=" &amp; _xlpm.n &amp; ", p=" &amp; _xlpm.p &amp; ")",
        TRUE, NA()
    ),
    _xlpm.msg_ctrl, _xlfn.LET(
        _xlpm.lbl, _xlfn.TAKE(_xlpm.ctrl, , 1),
        _xlpm.val, _xlfn.TAKE(_xlpm.ctrl, , -1),
        _xlpm.val_msg, IF(_xlpm.val &lt; 0, "σ" &amp; _xlpm.val, "σ+" &amp; _xlpm.val),
        _xlpm.lbl_val_msg, _xlpm.lbl &amp; ": " &amp; _xlpm.val_msg,
        _xlpm.return, "[Control Limits - " &amp; _xlfn.ARRAYTOTEXT(_xlpm.lbl_val_msg) &amp; "]",
        _xlpm.return
    ),
    _xlpm.return, _xlpm.msg_pre &amp; _xlpm.msg_mode &amp; _xlpm.msg_ctrl,
    _xlpm.return
)</f>
        <v>Raw Control Chart: Traditional (x̄=300.24, n=200)[Control Limits - UCL: σ+3, UWL: σ+2, LWL: σ-2, LCL: σ-3]</v>
      </c>
      <c r="P41" s="50" t="str" cm="1">
        <f t="array" aca="1" ref="P41" ca="1">_xlfn.LET(
    _xlpm.Ravg, R45,
    _xlpm.UCL, S45,
    _xlpm.get_round, _xlfn.LAMBDA(_xlpm.x,_xlpm.round_to,
        _xlfn.LET(
            _xlpm.from_dec, INT(-LOG10(_xlpm.x)),
            _xlpm.is_neg, _xlpm.from_dec &lt; 0,
            _xlpm.num_dig, IF(_xlpm.is_neg, _xlpm.round_to, _xlpm.from_dec + _xlpm.round_to),
            _xlpm.return, ROUND(_xlpm.x, _xlpm.num_dig),
            _xlpm.return
        )
    ),
    _xlpm.msg_pre, "Moving Range ",
    _xlpm.msg_avg, "(Ravg=" &amp; _xlpm.get_round(_xlpm.Ravg, 2) &amp; ")",
    _xlpm.msg_ctrl, "[UCL = Ravg + (3 * Ravg / √2) = " &amp; _xlpm.get_round(_xlpm.UCL, 2) &amp; "]",
    _xlpm.return, _xlpm.msg_pre &amp; _xlpm.msg_avg &amp; _xlpm.msg_ctrl,
    _xlpm.return
)</f>
        <v>Moving Range (Ravg=0.058)[UCL = Ravg + (3 * Ravg / √2) = 0.18]</v>
      </c>
    </row>
    <row r="43" spans="1:19">
      <c r="A43" s="71" t="s">
        <v>551</v>
      </c>
      <c r="B43" s="71"/>
      <c r="D43" s="3" t="s">
        <v>1836</v>
      </c>
      <c r="P43" s="3" t="s">
        <v>1840</v>
      </c>
    </row>
    <row r="44" spans="1:19">
      <c r="A44" s="11" t="s">
        <v>75</v>
      </c>
      <c r="B44" s="11" t="s">
        <v>5</v>
      </c>
      <c r="D44" s="11" t="str" cm="1">
        <f t="array" aca="1" ref="D44:N244" ca="1">CONTROL_CHART(B45:B244,A45:A244,A12:C19,A22:C25)</f>
        <v>x</v>
      </c>
      <c r="E44" s="11" t="str">
        <f ca="1"/>
        <v>y</v>
      </c>
      <c r="F44" s="11" t="str">
        <f ca="1"/>
        <v>avg</v>
      </c>
      <c r="G44" s="11" t="str">
        <f ca="1"/>
        <v>UCL</v>
      </c>
      <c r="H44" s="11" t="str">
        <f ca="1"/>
        <v>UWL</v>
      </c>
      <c r="I44" s="11" t="str">
        <f ca="1"/>
        <v>LWL</v>
      </c>
      <c r="J44" s="11" t="str">
        <f ca="1"/>
        <v>LCL</v>
      </c>
      <c r="K44" s="11" t="str">
        <f ca="1"/>
        <v>3σ</v>
      </c>
      <c r="L44" s="11" t="str">
        <f ca="1"/>
        <v>Run7</v>
      </c>
      <c r="M44" s="11" t="str">
        <f ca="1"/>
        <v>Trd7</v>
      </c>
      <c r="N44" s="11" t="str">
        <f ca="1"/>
        <v>2σ2</v>
      </c>
      <c r="P44" s="11" t="str" cm="1">
        <f t="array" aca="1" ref="P44:S244" ca="1">MOVING_RANGE(B45:B244,A45:A244, TRUE)</f>
        <v>x</v>
      </c>
      <c r="Q44" s="11" t="str">
        <f ca="1"/>
        <v>Ri</v>
      </c>
      <c r="R44" s="11" t="str">
        <f ca="1"/>
        <v>Ravg</v>
      </c>
      <c r="S44" s="11" t="str">
        <f ca="1"/>
        <v>UCL</v>
      </c>
    </row>
    <row r="45" spans="1:19">
      <c r="A45" s="44" cm="1">
        <f t="array" aca="1" ref="A45:B244" ca="1">_xlfn.LET(
    _xlpm.opt_raw, A30:C39,
    _xlpm.lbl, _xlfn.TAKE(_xlpm.opt_raw, , 1),
    _xlpm.val, _xlfn.TAKE(_xlpm.opt_raw, , -1),
    _xlpm.opt_corrected, _xlfn.HSTACK(_xlpm.lbl, _xlpm.val),
    WAVEFORM(200, _xlpm.opt_corrected)
)</f>
        <v>0</v>
      </c>
      <c r="B45" s="44">
        <f ca="1"/>
        <v>304.82386999934016</v>
      </c>
      <c r="D45" s="13">
        <f ca="1"/>
        <v>0</v>
      </c>
      <c r="E45" s="13">
        <f ca="1"/>
        <v>304.82386999934016</v>
      </c>
      <c r="F45" s="13">
        <f ca="1"/>
        <v>300.2410515976124</v>
      </c>
      <c r="G45" s="13">
        <f ca="1"/>
        <v>308.45236558188958</v>
      </c>
      <c r="H45" s="13">
        <f ca="1"/>
        <v>305.71526092046389</v>
      </c>
      <c r="I45" s="13">
        <f ca="1"/>
        <v>294.7668422747609</v>
      </c>
      <c r="J45" s="13">
        <f ca="1"/>
        <v>292.02973761333521</v>
      </c>
      <c r="K45" s="13">
        <f ca="1"/>
        <v>0</v>
      </c>
      <c r="L45" s="13">
        <f ca="1"/>
        <v>0</v>
      </c>
      <c r="M45" s="13">
        <f ca="1"/>
        <v>0</v>
      </c>
      <c r="N45" s="13">
        <f ca="1"/>
        <v>0</v>
      </c>
      <c r="P45" s="13">
        <f ca="1"/>
        <v>0</v>
      </c>
      <c r="Q45" s="13">
        <f ca="1"/>
        <v>0</v>
      </c>
      <c r="R45" s="13">
        <f ca="1"/>
        <v>5.7836935265099948E-2</v>
      </c>
      <c r="S45" s="13">
        <f ca="1"/>
        <v>0.18052760265209855</v>
      </c>
    </row>
    <row r="46" spans="1:19">
      <c r="A46" s="44">
        <f ca="1"/>
        <v>0.20100502512562815</v>
      </c>
      <c r="B46" s="44">
        <f ca="1"/>
        <v>304.90641489759963</v>
      </c>
      <c r="D46" s="13">
        <f ca="1"/>
        <v>0.20100502512562815</v>
      </c>
      <c r="E46" s="13">
        <f ca="1"/>
        <v>304.90641489759963</v>
      </c>
      <c r="F46" s="13">
        <f ca="1"/>
        <v>300.2410515976124</v>
      </c>
      <c r="G46" s="13">
        <f ca="1"/>
        <v>308.45236558188958</v>
      </c>
      <c r="H46" s="13">
        <f ca="1"/>
        <v>305.71526092046389</v>
      </c>
      <c r="I46" s="13">
        <f ca="1"/>
        <v>294.7668422747609</v>
      </c>
      <c r="J46" s="13">
        <f ca="1"/>
        <v>292.02973761333521</v>
      </c>
      <c r="K46" s="13">
        <f ca="1"/>
        <v>0</v>
      </c>
      <c r="L46" s="13">
        <f ca="1"/>
        <v>0</v>
      </c>
      <c r="M46" s="13">
        <f ca="1"/>
        <v>0</v>
      </c>
      <c r="N46" s="13">
        <f ca="1"/>
        <v>0</v>
      </c>
      <c r="P46" s="13">
        <f ca="1"/>
        <v>0.20100502512562815</v>
      </c>
      <c r="Q46" s="13">
        <f ca="1"/>
        <v>1.049397648261443E-2</v>
      </c>
      <c r="R46" s="13">
        <f ca="1"/>
        <v>5.7836935265099948E-2</v>
      </c>
      <c r="S46" s="13">
        <f ca="1"/>
        <v>0.18052760265209855</v>
      </c>
    </row>
    <row r="47" spans="1:19">
      <c r="A47" s="44">
        <f ca="1"/>
        <v>0.4020100502512563</v>
      </c>
      <c r="B47" s="44">
        <f ca="1"/>
        <v>305.17805413066867</v>
      </c>
      <c r="D47" s="13">
        <f ca="1"/>
        <v>0.4020100502512563</v>
      </c>
      <c r="E47" s="13">
        <f ca="1"/>
        <v>305.17805413066867</v>
      </c>
      <c r="F47" s="13">
        <f ca="1"/>
        <v>300.2410515976124</v>
      </c>
      <c r="G47" s="13">
        <f ca="1"/>
        <v>308.45236558188958</v>
      </c>
      <c r="H47" s="13">
        <f ca="1"/>
        <v>305.71526092046389</v>
      </c>
      <c r="I47" s="13">
        <f ca="1"/>
        <v>294.7668422747609</v>
      </c>
      <c r="J47" s="13">
        <f ca="1"/>
        <v>292.02973761333521</v>
      </c>
      <c r="K47" s="13">
        <f ca="1"/>
        <v>0</v>
      </c>
      <c r="L47" s="13">
        <f ca="1"/>
        <v>0</v>
      </c>
      <c r="M47" s="13">
        <f ca="1"/>
        <v>0</v>
      </c>
      <c r="N47" s="13">
        <f ca="1"/>
        <v>0</v>
      </c>
      <c r="P47" s="13">
        <f ca="1"/>
        <v>0.4020100502512563</v>
      </c>
      <c r="Q47" s="13">
        <f ca="1"/>
        <v>3.4533639070235912E-2</v>
      </c>
      <c r="R47" s="13">
        <f ca="1"/>
        <v>5.7836935265099948E-2</v>
      </c>
      <c r="S47" s="13">
        <f ca="1"/>
        <v>0.18052760265209855</v>
      </c>
    </row>
    <row r="48" spans="1:19">
      <c r="A48" s="44">
        <f ca="1"/>
        <v>0.60301507537688448</v>
      </c>
      <c r="B48" s="44">
        <f ca="1"/>
        <v>304.91433284495838</v>
      </c>
      <c r="D48" s="13">
        <f ca="1"/>
        <v>0.60301507537688448</v>
      </c>
      <c r="E48" s="13">
        <f ca="1"/>
        <v>304.91433284495838</v>
      </c>
      <c r="F48" s="13">
        <f ca="1"/>
        <v>300.2410515976124</v>
      </c>
      <c r="G48" s="13">
        <f ca="1"/>
        <v>308.45236558188958</v>
      </c>
      <c r="H48" s="13">
        <f ca="1"/>
        <v>305.71526092046389</v>
      </c>
      <c r="I48" s="13">
        <f ca="1"/>
        <v>294.7668422747609</v>
      </c>
      <c r="J48" s="13">
        <f ca="1"/>
        <v>292.02973761333521</v>
      </c>
      <c r="K48" s="13">
        <f ca="1"/>
        <v>0</v>
      </c>
      <c r="L48" s="13">
        <f ca="1"/>
        <v>0</v>
      </c>
      <c r="M48" s="13">
        <f ca="1"/>
        <v>0</v>
      </c>
      <c r="N48" s="13">
        <f ca="1"/>
        <v>0</v>
      </c>
      <c r="P48" s="13">
        <f ca="1"/>
        <v>0.60301507537688448</v>
      </c>
      <c r="Q48" s="13">
        <f ca="1"/>
        <v>3.3527026243455244E-2</v>
      </c>
      <c r="R48" s="13">
        <f ca="1"/>
        <v>5.7836935265099948E-2</v>
      </c>
      <c r="S48" s="13">
        <f ca="1"/>
        <v>0.18052760265209855</v>
      </c>
    </row>
    <row r="49" spans="1:19">
      <c r="A49" s="44">
        <f ca="1"/>
        <v>0.8040201005025126</v>
      </c>
      <c r="B49" s="44">
        <f ca="1"/>
        <v>304.66965740636311</v>
      </c>
      <c r="D49" s="13">
        <f ca="1"/>
        <v>0.8040201005025126</v>
      </c>
      <c r="E49" s="13">
        <f ca="1"/>
        <v>304.66965740636311</v>
      </c>
      <c r="F49" s="13">
        <f ca="1"/>
        <v>300.2410515976124</v>
      </c>
      <c r="G49" s="13">
        <f ca="1"/>
        <v>308.45236558188958</v>
      </c>
      <c r="H49" s="13">
        <f ca="1"/>
        <v>305.71526092046389</v>
      </c>
      <c r="I49" s="13">
        <f ca="1"/>
        <v>294.7668422747609</v>
      </c>
      <c r="J49" s="13">
        <f ca="1"/>
        <v>292.02973761333521</v>
      </c>
      <c r="K49" s="13">
        <f ca="1"/>
        <v>0</v>
      </c>
      <c r="L49" s="13">
        <f ca="1"/>
        <v>0</v>
      </c>
      <c r="M49" s="13">
        <f ca="1"/>
        <v>0</v>
      </c>
      <c r="N49" s="13">
        <f ca="1"/>
        <v>0</v>
      </c>
      <c r="P49" s="13">
        <f ca="1"/>
        <v>0.8040201005025126</v>
      </c>
      <c r="Q49" s="13">
        <f ca="1"/>
        <v>3.1105717647395566E-2</v>
      </c>
      <c r="R49" s="13">
        <f ca="1"/>
        <v>5.7836935265099948E-2</v>
      </c>
      <c r="S49" s="13">
        <f ca="1"/>
        <v>0.18052760265209855</v>
      </c>
    </row>
    <row r="50" spans="1:19">
      <c r="A50" s="44">
        <f ca="1"/>
        <v>1.0050251256281408</v>
      </c>
      <c r="B50" s="44">
        <f ca="1"/>
        <v>304.76074945445708</v>
      </c>
      <c r="D50" s="13">
        <f ca="1"/>
        <v>1.0050251256281408</v>
      </c>
      <c r="E50" s="13">
        <f ca="1"/>
        <v>304.76074945445708</v>
      </c>
      <c r="F50" s="13">
        <f ca="1"/>
        <v>300.2410515976124</v>
      </c>
      <c r="G50" s="13">
        <f ca="1"/>
        <v>308.45236558188958</v>
      </c>
      <c r="H50" s="13">
        <f ca="1"/>
        <v>305.71526092046389</v>
      </c>
      <c r="I50" s="13">
        <f ca="1"/>
        <v>294.7668422747609</v>
      </c>
      <c r="J50" s="13">
        <f ca="1"/>
        <v>292.02973761333521</v>
      </c>
      <c r="K50" s="13">
        <f ca="1"/>
        <v>0</v>
      </c>
      <c r="L50" s="13">
        <f ca="1"/>
        <v>0</v>
      </c>
      <c r="M50" s="13">
        <f ca="1"/>
        <v>0</v>
      </c>
      <c r="N50" s="13">
        <f ca="1"/>
        <v>0</v>
      </c>
      <c r="P50" s="13">
        <f ca="1"/>
        <v>1.0050251256281408</v>
      </c>
      <c r="Q50" s="13">
        <f ca="1"/>
        <v>1.1580580152227894E-2</v>
      </c>
      <c r="R50" s="13">
        <f ca="1"/>
        <v>5.7836935265099948E-2</v>
      </c>
      <c r="S50" s="13">
        <f ca="1"/>
        <v>0.18052760265209855</v>
      </c>
    </row>
    <row r="51" spans="1:19">
      <c r="A51" s="44">
        <f ca="1"/>
        <v>1.206030150753769</v>
      </c>
      <c r="B51" s="44">
        <f ca="1"/>
        <v>304.80573474529695</v>
      </c>
      <c r="D51" s="13">
        <f ca="1"/>
        <v>1.206030150753769</v>
      </c>
      <c r="E51" s="13">
        <f ca="1"/>
        <v>304.80573474529695</v>
      </c>
      <c r="F51" s="13">
        <f ca="1"/>
        <v>300.2410515976124</v>
      </c>
      <c r="G51" s="13">
        <f ca="1"/>
        <v>308.45236558188958</v>
      </c>
      <c r="H51" s="13">
        <f ca="1"/>
        <v>305.71526092046389</v>
      </c>
      <c r="I51" s="13">
        <f ca="1"/>
        <v>294.7668422747609</v>
      </c>
      <c r="J51" s="13">
        <f ca="1"/>
        <v>292.02973761333521</v>
      </c>
      <c r="K51" s="13">
        <f ca="1"/>
        <v>0</v>
      </c>
      <c r="L51" s="13">
        <f ca="1"/>
        <v>0</v>
      </c>
      <c r="M51" s="13">
        <f ca="1"/>
        <v>0</v>
      </c>
      <c r="N51" s="13">
        <f ca="1"/>
        <v>0</v>
      </c>
      <c r="P51" s="13">
        <f ca="1"/>
        <v>1.206030150753769</v>
      </c>
      <c r="Q51" s="13">
        <f ca="1"/>
        <v>5.7190037675394411E-3</v>
      </c>
      <c r="R51" s="13">
        <f ca="1"/>
        <v>5.7836935265099948E-2</v>
      </c>
      <c r="S51" s="13">
        <f ca="1"/>
        <v>0.18052760265209855</v>
      </c>
    </row>
    <row r="52" spans="1:19">
      <c r="A52" s="44">
        <f ca="1"/>
        <v>1.4070351758793971</v>
      </c>
      <c r="B52" s="44">
        <f ca="1"/>
        <v>304.40152297642732</v>
      </c>
      <c r="D52" s="13">
        <f ca="1"/>
        <v>1.4070351758793971</v>
      </c>
      <c r="E52" s="13">
        <f ca="1"/>
        <v>304.40152297642732</v>
      </c>
      <c r="F52" s="13">
        <f ca="1"/>
        <v>300.2410515976124</v>
      </c>
      <c r="G52" s="13">
        <f ca="1"/>
        <v>308.45236558188958</v>
      </c>
      <c r="H52" s="13">
        <f ca="1"/>
        <v>305.71526092046389</v>
      </c>
      <c r="I52" s="13">
        <f ca="1"/>
        <v>294.7668422747609</v>
      </c>
      <c r="J52" s="13">
        <f ca="1"/>
        <v>292.02973761333521</v>
      </c>
      <c r="K52" s="13">
        <f ca="1"/>
        <v>0</v>
      </c>
      <c r="L52" s="13">
        <f ca="1"/>
        <v>1</v>
      </c>
      <c r="M52" s="13">
        <f ca="1"/>
        <v>0</v>
      </c>
      <c r="N52" s="13">
        <f ca="1"/>
        <v>0</v>
      </c>
      <c r="P52" s="13">
        <f ca="1"/>
        <v>1.4070351758793971</v>
      </c>
      <c r="Q52" s="13">
        <f ca="1"/>
        <v>5.1387655517852557E-2</v>
      </c>
      <c r="R52" s="13">
        <f ca="1"/>
        <v>5.7836935265099948E-2</v>
      </c>
      <c r="S52" s="13">
        <f ca="1"/>
        <v>0.18052760265209855</v>
      </c>
    </row>
    <row r="53" spans="1:19">
      <c r="A53" s="44">
        <f ca="1"/>
        <v>1.6080402010050252</v>
      </c>
      <c r="B53" s="44">
        <f ca="1"/>
        <v>305.04959931234123</v>
      </c>
      <c r="D53" s="13">
        <f ca="1"/>
        <v>1.6080402010050252</v>
      </c>
      <c r="E53" s="13">
        <f ca="1"/>
        <v>305.04959931234123</v>
      </c>
      <c r="F53" s="13">
        <f ca="1"/>
        <v>300.2410515976124</v>
      </c>
      <c r="G53" s="13">
        <f ca="1"/>
        <v>308.45236558188958</v>
      </c>
      <c r="H53" s="13">
        <f ca="1"/>
        <v>305.71526092046389</v>
      </c>
      <c r="I53" s="13">
        <f ca="1"/>
        <v>294.7668422747609</v>
      </c>
      <c r="J53" s="13">
        <f ca="1"/>
        <v>292.02973761333521</v>
      </c>
      <c r="K53" s="13">
        <f ca="1"/>
        <v>0</v>
      </c>
      <c r="L53" s="13">
        <f ca="1"/>
        <v>1</v>
      </c>
      <c r="M53" s="13">
        <f ca="1"/>
        <v>0</v>
      </c>
      <c r="N53" s="13">
        <f ca="1"/>
        <v>0</v>
      </c>
      <c r="P53" s="13">
        <f ca="1"/>
        <v>1.6080402010050252</v>
      </c>
      <c r="Q53" s="13">
        <f ca="1"/>
        <v>8.239028663699681E-2</v>
      </c>
      <c r="R53" s="13">
        <f ca="1"/>
        <v>5.7836935265099948E-2</v>
      </c>
      <c r="S53" s="13">
        <f ca="1"/>
        <v>0.18052760265209855</v>
      </c>
    </row>
    <row r="54" spans="1:19">
      <c r="A54" s="44">
        <f ca="1"/>
        <v>1.8090452261306533</v>
      </c>
      <c r="B54" s="44">
        <f ca="1"/>
        <v>304.48081881056243</v>
      </c>
      <c r="D54" s="13">
        <f ca="1"/>
        <v>1.8090452261306533</v>
      </c>
      <c r="E54" s="13">
        <f ca="1"/>
        <v>304.48081881056243</v>
      </c>
      <c r="F54" s="13">
        <f ca="1"/>
        <v>300.2410515976124</v>
      </c>
      <c r="G54" s="13">
        <f ca="1"/>
        <v>308.45236558188958</v>
      </c>
      <c r="H54" s="13">
        <f ca="1"/>
        <v>305.71526092046389</v>
      </c>
      <c r="I54" s="13">
        <f ca="1"/>
        <v>294.7668422747609</v>
      </c>
      <c r="J54" s="13">
        <f ca="1"/>
        <v>292.02973761333521</v>
      </c>
      <c r="K54" s="13">
        <f ca="1"/>
        <v>0</v>
      </c>
      <c r="L54" s="13">
        <f ca="1"/>
        <v>1</v>
      </c>
      <c r="M54" s="13">
        <f ca="1"/>
        <v>0</v>
      </c>
      <c r="N54" s="13">
        <f ca="1"/>
        <v>0</v>
      </c>
      <c r="P54" s="13">
        <f ca="1"/>
        <v>1.8090452261306533</v>
      </c>
      <c r="Q54" s="13">
        <f ca="1"/>
        <v>7.2309365391356295E-2</v>
      </c>
      <c r="R54" s="13">
        <f ca="1"/>
        <v>5.7836935265099948E-2</v>
      </c>
      <c r="S54" s="13">
        <f ca="1"/>
        <v>0.18052760265209855</v>
      </c>
    </row>
    <row r="55" spans="1:19">
      <c r="A55" s="44">
        <f ca="1"/>
        <v>2.0100502512562817</v>
      </c>
      <c r="B55" s="44">
        <f ca="1"/>
        <v>304.37726455259565</v>
      </c>
      <c r="D55" s="13">
        <f ca="1"/>
        <v>2.0100502512562817</v>
      </c>
      <c r="E55" s="13">
        <f ca="1"/>
        <v>304.37726455259565</v>
      </c>
      <c r="F55" s="13">
        <f ca="1"/>
        <v>300.2410515976124</v>
      </c>
      <c r="G55" s="13">
        <f ca="1"/>
        <v>308.45236558188958</v>
      </c>
      <c r="H55" s="13">
        <f ca="1"/>
        <v>305.71526092046389</v>
      </c>
      <c r="I55" s="13">
        <f ca="1"/>
        <v>294.7668422747609</v>
      </c>
      <c r="J55" s="13">
        <f ca="1"/>
        <v>292.02973761333521</v>
      </c>
      <c r="K55" s="13">
        <f ca="1"/>
        <v>0</v>
      </c>
      <c r="L55" s="13">
        <f ca="1"/>
        <v>1</v>
      </c>
      <c r="M55" s="13">
        <f ca="1"/>
        <v>0</v>
      </c>
      <c r="N55" s="13">
        <f ca="1"/>
        <v>0</v>
      </c>
      <c r="P55" s="13">
        <f ca="1"/>
        <v>2.0100502512562817</v>
      </c>
      <c r="Q55" s="13">
        <f ca="1"/>
        <v>1.3164907470865662E-2</v>
      </c>
      <c r="R55" s="13">
        <f ca="1"/>
        <v>5.7836935265099948E-2</v>
      </c>
      <c r="S55" s="13">
        <f ca="1"/>
        <v>0.18052760265209855</v>
      </c>
    </row>
    <row r="56" spans="1:19">
      <c r="A56" s="44">
        <f ca="1"/>
        <v>2.2110552763819098</v>
      </c>
      <c r="B56" s="44">
        <f ca="1"/>
        <v>304.15614160908552</v>
      </c>
      <c r="D56" s="13">
        <f ca="1"/>
        <v>2.2110552763819098</v>
      </c>
      <c r="E56" s="13">
        <f ca="1"/>
        <v>304.15614160908552</v>
      </c>
      <c r="F56" s="13">
        <f ca="1"/>
        <v>300.2410515976124</v>
      </c>
      <c r="G56" s="13">
        <f ca="1"/>
        <v>308.45236558188958</v>
      </c>
      <c r="H56" s="13">
        <f ca="1"/>
        <v>305.71526092046389</v>
      </c>
      <c r="I56" s="13">
        <f ca="1"/>
        <v>294.7668422747609</v>
      </c>
      <c r="J56" s="13">
        <f ca="1"/>
        <v>292.02973761333521</v>
      </c>
      <c r="K56" s="13">
        <f ca="1"/>
        <v>0</v>
      </c>
      <c r="L56" s="13">
        <f ca="1"/>
        <v>1</v>
      </c>
      <c r="M56" s="13">
        <f ca="1"/>
        <v>0</v>
      </c>
      <c r="N56" s="13">
        <f ca="1"/>
        <v>0</v>
      </c>
      <c r="P56" s="13">
        <f ca="1"/>
        <v>2.2110552763819098</v>
      </c>
      <c r="Q56" s="13">
        <f ca="1"/>
        <v>2.8111476516302917E-2</v>
      </c>
      <c r="R56" s="13">
        <f ca="1"/>
        <v>5.7836935265099948E-2</v>
      </c>
      <c r="S56" s="13">
        <f ca="1"/>
        <v>0.18052760265209855</v>
      </c>
    </row>
    <row r="57" spans="1:19">
      <c r="A57" s="44">
        <f ca="1"/>
        <v>2.4120603015075379</v>
      </c>
      <c r="B57" s="44">
        <f ca="1"/>
        <v>304.83554355090865</v>
      </c>
      <c r="D57" s="13">
        <f ca="1"/>
        <v>2.4120603015075379</v>
      </c>
      <c r="E57" s="13">
        <f ca="1"/>
        <v>304.83554355090865</v>
      </c>
      <c r="F57" s="13">
        <f ca="1"/>
        <v>300.2410515976124</v>
      </c>
      <c r="G57" s="13">
        <f ca="1"/>
        <v>308.45236558188958</v>
      </c>
      <c r="H57" s="13">
        <f ca="1"/>
        <v>305.71526092046389</v>
      </c>
      <c r="I57" s="13">
        <f ca="1"/>
        <v>294.7668422747609</v>
      </c>
      <c r="J57" s="13">
        <f ca="1"/>
        <v>292.02973761333521</v>
      </c>
      <c r="K57" s="13">
        <f ca="1"/>
        <v>0</v>
      </c>
      <c r="L57" s="13">
        <f ca="1"/>
        <v>1</v>
      </c>
      <c r="M57" s="13">
        <f ca="1"/>
        <v>0</v>
      </c>
      <c r="N57" s="13">
        <f ca="1"/>
        <v>0</v>
      </c>
      <c r="P57" s="13">
        <f ca="1"/>
        <v>2.4120603015075379</v>
      </c>
      <c r="Q57" s="13">
        <f ca="1"/>
        <v>8.6372727449772937E-2</v>
      </c>
      <c r="R57" s="13">
        <f ca="1"/>
        <v>5.7836935265099948E-2</v>
      </c>
      <c r="S57" s="13">
        <f ca="1"/>
        <v>0.18052760265209855</v>
      </c>
    </row>
    <row r="58" spans="1:19">
      <c r="A58" s="44">
        <f ca="1"/>
        <v>2.613065326633166</v>
      </c>
      <c r="B58" s="44">
        <f ca="1"/>
        <v>304.27252637472589</v>
      </c>
      <c r="D58" s="13">
        <f ca="1"/>
        <v>2.613065326633166</v>
      </c>
      <c r="E58" s="13">
        <f ca="1"/>
        <v>304.27252637472589</v>
      </c>
      <c r="F58" s="13">
        <f ca="1"/>
        <v>300.2410515976124</v>
      </c>
      <c r="G58" s="13">
        <f ca="1"/>
        <v>308.45236558188958</v>
      </c>
      <c r="H58" s="13">
        <f ca="1"/>
        <v>305.71526092046389</v>
      </c>
      <c r="I58" s="13">
        <f ca="1"/>
        <v>294.7668422747609</v>
      </c>
      <c r="J58" s="13">
        <f ca="1"/>
        <v>292.02973761333521</v>
      </c>
      <c r="K58" s="13">
        <f ca="1"/>
        <v>0</v>
      </c>
      <c r="L58" s="13">
        <f ca="1"/>
        <v>1</v>
      </c>
      <c r="M58" s="13">
        <f ca="1"/>
        <v>0</v>
      </c>
      <c r="N58" s="13">
        <f ca="1"/>
        <v>0</v>
      </c>
      <c r="P58" s="13">
        <f ca="1"/>
        <v>2.613065326633166</v>
      </c>
      <c r="Q58" s="13">
        <f ca="1"/>
        <v>7.157667076647066E-2</v>
      </c>
      <c r="R58" s="13">
        <f ca="1"/>
        <v>5.7836935265099948E-2</v>
      </c>
      <c r="S58" s="13">
        <f ca="1"/>
        <v>0.18052760265209855</v>
      </c>
    </row>
    <row r="59" spans="1:19">
      <c r="A59" s="44">
        <f ca="1"/>
        <v>2.8140703517587942</v>
      </c>
      <c r="B59" s="44">
        <f ca="1"/>
        <v>304.46968019523388</v>
      </c>
      <c r="D59" s="13">
        <f ca="1"/>
        <v>2.8140703517587942</v>
      </c>
      <c r="E59" s="13">
        <f ca="1"/>
        <v>304.46968019523388</v>
      </c>
      <c r="F59" s="13">
        <f ca="1"/>
        <v>300.2410515976124</v>
      </c>
      <c r="G59" s="13">
        <f ca="1"/>
        <v>308.45236558188958</v>
      </c>
      <c r="H59" s="13">
        <f ca="1"/>
        <v>305.71526092046389</v>
      </c>
      <c r="I59" s="13">
        <f ca="1"/>
        <v>294.7668422747609</v>
      </c>
      <c r="J59" s="13">
        <f ca="1"/>
        <v>292.02973761333521</v>
      </c>
      <c r="K59" s="13">
        <f ca="1"/>
        <v>0</v>
      </c>
      <c r="L59" s="13">
        <f ca="1"/>
        <v>1</v>
      </c>
      <c r="M59" s="13">
        <f ca="1"/>
        <v>0</v>
      </c>
      <c r="N59" s="13">
        <f ca="1"/>
        <v>0</v>
      </c>
      <c r="P59" s="13">
        <f ca="1"/>
        <v>2.8140703517587942</v>
      </c>
      <c r="Q59" s="13">
        <f ca="1"/>
        <v>2.5064269258228574E-2</v>
      </c>
      <c r="R59" s="13">
        <f ca="1"/>
        <v>5.7836935265099948E-2</v>
      </c>
      <c r="S59" s="13">
        <f ca="1"/>
        <v>0.18052760265209855</v>
      </c>
    </row>
    <row r="60" spans="1:19">
      <c r="A60" s="44">
        <f ca="1"/>
        <v>3.0150753768844223</v>
      </c>
      <c r="B60" s="44">
        <f ca="1"/>
        <v>304.0764708309074</v>
      </c>
      <c r="D60" s="13">
        <f ca="1"/>
        <v>3.0150753768844223</v>
      </c>
      <c r="E60" s="13">
        <f ca="1"/>
        <v>304.0764708309074</v>
      </c>
      <c r="F60" s="13">
        <f ca="1"/>
        <v>300.2410515976124</v>
      </c>
      <c r="G60" s="13">
        <f ca="1"/>
        <v>308.45236558188958</v>
      </c>
      <c r="H60" s="13">
        <f ca="1"/>
        <v>305.71526092046389</v>
      </c>
      <c r="I60" s="13">
        <f ca="1"/>
        <v>294.7668422747609</v>
      </c>
      <c r="J60" s="13">
        <f ca="1"/>
        <v>292.02973761333521</v>
      </c>
      <c r="K60" s="13">
        <f ca="1"/>
        <v>0</v>
      </c>
      <c r="L60" s="13">
        <f ca="1"/>
        <v>1</v>
      </c>
      <c r="M60" s="13">
        <f ca="1"/>
        <v>0</v>
      </c>
      <c r="N60" s="13">
        <f ca="1"/>
        <v>0</v>
      </c>
      <c r="P60" s="13">
        <f ca="1"/>
        <v>3.0150753768844223</v>
      </c>
      <c r="Q60" s="13">
        <f ca="1"/>
        <v>4.9988914021254181E-2</v>
      </c>
      <c r="R60" s="13">
        <f ca="1"/>
        <v>5.7836935265099948E-2</v>
      </c>
      <c r="S60" s="13">
        <f ca="1"/>
        <v>0.18052760265209855</v>
      </c>
    </row>
    <row r="61" spans="1:19">
      <c r="A61" s="44">
        <f ca="1"/>
        <v>3.2160804020100504</v>
      </c>
      <c r="B61" s="44">
        <f ca="1"/>
        <v>304.93403391085428</v>
      </c>
      <c r="D61" s="13">
        <f ca="1"/>
        <v>3.2160804020100504</v>
      </c>
      <c r="E61" s="13">
        <f ca="1"/>
        <v>304.93403391085428</v>
      </c>
      <c r="F61" s="13">
        <f ca="1"/>
        <v>300.2410515976124</v>
      </c>
      <c r="G61" s="13">
        <f ca="1"/>
        <v>308.45236558188958</v>
      </c>
      <c r="H61" s="13">
        <f ca="1"/>
        <v>305.71526092046389</v>
      </c>
      <c r="I61" s="13">
        <f ca="1"/>
        <v>294.7668422747609</v>
      </c>
      <c r="J61" s="13">
        <f ca="1"/>
        <v>292.02973761333521</v>
      </c>
      <c r="K61" s="13">
        <f ca="1"/>
        <v>0</v>
      </c>
      <c r="L61" s="13">
        <f ca="1"/>
        <v>1</v>
      </c>
      <c r="M61" s="13">
        <f ca="1"/>
        <v>0</v>
      </c>
      <c r="N61" s="13">
        <f ca="1"/>
        <v>0</v>
      </c>
      <c r="P61" s="13">
        <f ca="1"/>
        <v>3.2160804020100504</v>
      </c>
      <c r="Q61" s="13">
        <f ca="1"/>
        <v>0.10902244697222689</v>
      </c>
      <c r="R61" s="13">
        <f ca="1"/>
        <v>5.7836935265099948E-2</v>
      </c>
      <c r="S61" s="13">
        <f ca="1"/>
        <v>0.18052760265209855</v>
      </c>
    </row>
    <row r="62" spans="1:19">
      <c r="A62" s="44">
        <f ca="1"/>
        <v>3.4170854271356785</v>
      </c>
      <c r="B62" s="44">
        <f ca="1"/>
        <v>304.09268524045933</v>
      </c>
      <c r="D62" s="13">
        <f ca="1"/>
        <v>3.4170854271356785</v>
      </c>
      <c r="E62" s="13">
        <f ca="1"/>
        <v>304.09268524045933</v>
      </c>
      <c r="F62" s="13">
        <f ca="1"/>
        <v>300.2410515976124</v>
      </c>
      <c r="G62" s="13">
        <f ca="1"/>
        <v>308.45236558188958</v>
      </c>
      <c r="H62" s="13">
        <f ca="1"/>
        <v>305.71526092046389</v>
      </c>
      <c r="I62" s="13">
        <f ca="1"/>
        <v>294.7668422747609</v>
      </c>
      <c r="J62" s="13">
        <f ca="1"/>
        <v>292.02973761333521</v>
      </c>
      <c r="K62" s="13">
        <f ca="1"/>
        <v>0</v>
      </c>
      <c r="L62" s="13">
        <f ca="1"/>
        <v>1</v>
      </c>
      <c r="M62" s="13">
        <f ca="1"/>
        <v>0</v>
      </c>
      <c r="N62" s="13">
        <f ca="1"/>
        <v>0</v>
      </c>
      <c r="P62" s="13">
        <f ca="1"/>
        <v>3.4170854271356785</v>
      </c>
      <c r="Q62" s="13">
        <f ca="1"/>
        <v>0.10696110052798477</v>
      </c>
      <c r="R62" s="13">
        <f ca="1"/>
        <v>5.7836935265099948E-2</v>
      </c>
      <c r="S62" s="13">
        <f ca="1"/>
        <v>0.18052760265209855</v>
      </c>
    </row>
    <row r="63" spans="1:19">
      <c r="A63" s="44">
        <f ca="1"/>
        <v>3.6180904522613067</v>
      </c>
      <c r="B63" s="44">
        <f ca="1"/>
        <v>304.17941858580485</v>
      </c>
      <c r="D63" s="13">
        <f ca="1"/>
        <v>3.6180904522613067</v>
      </c>
      <c r="E63" s="13">
        <f ca="1"/>
        <v>304.17941858580485</v>
      </c>
      <c r="F63" s="13">
        <f ca="1"/>
        <v>300.2410515976124</v>
      </c>
      <c r="G63" s="13">
        <f ca="1"/>
        <v>308.45236558188958</v>
      </c>
      <c r="H63" s="13">
        <f ca="1"/>
        <v>305.71526092046389</v>
      </c>
      <c r="I63" s="13">
        <f ca="1"/>
        <v>294.7668422747609</v>
      </c>
      <c r="J63" s="13">
        <f ca="1"/>
        <v>292.02973761333521</v>
      </c>
      <c r="K63" s="13">
        <f ca="1"/>
        <v>0</v>
      </c>
      <c r="L63" s="13">
        <f ca="1"/>
        <v>1</v>
      </c>
      <c r="M63" s="13">
        <f ca="1"/>
        <v>0</v>
      </c>
      <c r="N63" s="13">
        <f ca="1"/>
        <v>0</v>
      </c>
      <c r="P63" s="13">
        <f ca="1"/>
        <v>3.6180904522613067</v>
      </c>
      <c r="Q63" s="13">
        <f ca="1"/>
        <v>1.1026455971310758E-2</v>
      </c>
      <c r="R63" s="13">
        <f ca="1"/>
        <v>5.7836935265099948E-2</v>
      </c>
      <c r="S63" s="13">
        <f ca="1"/>
        <v>0.18052760265209855</v>
      </c>
    </row>
    <row r="64" spans="1:19">
      <c r="A64" s="44">
        <f ca="1"/>
        <v>3.8190954773869348</v>
      </c>
      <c r="B64" s="44">
        <f ca="1"/>
        <v>304.74457297928404</v>
      </c>
      <c r="D64" s="13">
        <f ca="1"/>
        <v>3.8190954773869348</v>
      </c>
      <c r="E64" s="13">
        <f ca="1"/>
        <v>304.74457297928404</v>
      </c>
      <c r="F64" s="13">
        <f ca="1"/>
        <v>300.2410515976124</v>
      </c>
      <c r="G64" s="13">
        <f ca="1"/>
        <v>308.45236558188958</v>
      </c>
      <c r="H64" s="13">
        <f ca="1"/>
        <v>305.71526092046389</v>
      </c>
      <c r="I64" s="13">
        <f ca="1"/>
        <v>294.7668422747609</v>
      </c>
      <c r="J64" s="13">
        <f ca="1"/>
        <v>292.02973761333521</v>
      </c>
      <c r="K64" s="13">
        <f ca="1"/>
        <v>0</v>
      </c>
      <c r="L64" s="13">
        <f ca="1"/>
        <v>1</v>
      </c>
      <c r="M64" s="13">
        <f ca="1"/>
        <v>0</v>
      </c>
      <c r="N64" s="13">
        <f ca="1"/>
        <v>0</v>
      </c>
      <c r="P64" s="13">
        <f ca="1"/>
        <v>3.8190954773869348</v>
      </c>
      <c r="Q64" s="13">
        <f ca="1"/>
        <v>7.184837632938007E-2</v>
      </c>
      <c r="R64" s="13">
        <f ca="1"/>
        <v>5.7836935265099948E-2</v>
      </c>
      <c r="S64" s="13">
        <f ca="1"/>
        <v>0.18052760265209855</v>
      </c>
    </row>
    <row r="65" spans="1:19">
      <c r="A65" s="44">
        <f ca="1"/>
        <v>4.0201005025125633</v>
      </c>
      <c r="B65" s="44">
        <f ca="1"/>
        <v>304.2807764609463</v>
      </c>
      <c r="D65" s="13">
        <f ca="1"/>
        <v>4.0201005025125633</v>
      </c>
      <c r="E65" s="13">
        <f ca="1"/>
        <v>304.2807764609463</v>
      </c>
      <c r="F65" s="13">
        <f ca="1"/>
        <v>300.2410515976124</v>
      </c>
      <c r="G65" s="13">
        <f ca="1"/>
        <v>308.45236558188958</v>
      </c>
      <c r="H65" s="13">
        <f ca="1"/>
        <v>305.71526092046389</v>
      </c>
      <c r="I65" s="13">
        <f ca="1"/>
        <v>294.7668422747609</v>
      </c>
      <c r="J65" s="13">
        <f ca="1"/>
        <v>292.02973761333521</v>
      </c>
      <c r="K65" s="13">
        <f ca="1"/>
        <v>0</v>
      </c>
      <c r="L65" s="13">
        <f ca="1"/>
        <v>1</v>
      </c>
      <c r="M65" s="13">
        <f ca="1"/>
        <v>0</v>
      </c>
      <c r="N65" s="13">
        <f ca="1"/>
        <v>0</v>
      </c>
      <c r="P65" s="13">
        <f ca="1"/>
        <v>4.0201005025125633</v>
      </c>
      <c r="Q65" s="13">
        <f ca="1"/>
        <v>5.8962696166341484E-2</v>
      </c>
      <c r="R65" s="13">
        <f ca="1"/>
        <v>5.7836935265099948E-2</v>
      </c>
      <c r="S65" s="13">
        <f ca="1"/>
        <v>0.18052760265209855</v>
      </c>
    </row>
    <row r="66" spans="1:19">
      <c r="A66" s="44">
        <f ca="1"/>
        <v>4.2211055276381915</v>
      </c>
      <c r="B66" s="44">
        <f ca="1"/>
        <v>304.06247235544839</v>
      </c>
      <c r="D66" s="13">
        <f ca="1"/>
        <v>4.2211055276381915</v>
      </c>
      <c r="E66" s="13">
        <f ca="1"/>
        <v>304.06247235544839</v>
      </c>
      <c r="F66" s="13">
        <f ca="1"/>
        <v>300.2410515976124</v>
      </c>
      <c r="G66" s="13">
        <f ca="1"/>
        <v>308.45236558188958</v>
      </c>
      <c r="H66" s="13">
        <f ca="1"/>
        <v>305.71526092046389</v>
      </c>
      <c r="I66" s="13">
        <f ca="1"/>
        <v>294.7668422747609</v>
      </c>
      <c r="J66" s="13">
        <f ca="1"/>
        <v>292.02973761333521</v>
      </c>
      <c r="K66" s="13">
        <f ca="1"/>
        <v>0</v>
      </c>
      <c r="L66" s="13">
        <f ca="1"/>
        <v>1</v>
      </c>
      <c r="M66" s="13">
        <f ca="1"/>
        <v>0</v>
      </c>
      <c r="N66" s="13">
        <f ca="1"/>
        <v>0</v>
      </c>
      <c r="P66" s="13">
        <f ca="1"/>
        <v>4.2211055276381915</v>
      </c>
      <c r="Q66" s="13">
        <f ca="1"/>
        <v>2.7753116152037585E-2</v>
      </c>
      <c r="R66" s="13">
        <f ca="1"/>
        <v>5.7836935265099948E-2</v>
      </c>
      <c r="S66" s="13">
        <f ca="1"/>
        <v>0.18052760265209855</v>
      </c>
    </row>
    <row r="67" spans="1:19">
      <c r="A67" s="44">
        <f ca="1"/>
        <v>4.4221105527638196</v>
      </c>
      <c r="B67" s="44">
        <f ca="1"/>
        <v>304.39928757453276</v>
      </c>
      <c r="D67" s="13">
        <f ca="1"/>
        <v>4.4221105527638196</v>
      </c>
      <c r="E67" s="13">
        <f ca="1"/>
        <v>304.39928757453276</v>
      </c>
      <c r="F67" s="13">
        <f ca="1"/>
        <v>300.2410515976124</v>
      </c>
      <c r="G67" s="13">
        <f ca="1"/>
        <v>308.45236558188958</v>
      </c>
      <c r="H67" s="13">
        <f ca="1"/>
        <v>305.71526092046389</v>
      </c>
      <c r="I67" s="13">
        <f ca="1"/>
        <v>294.7668422747609</v>
      </c>
      <c r="J67" s="13">
        <f ca="1"/>
        <v>292.02973761333521</v>
      </c>
      <c r="K67" s="13">
        <f ca="1"/>
        <v>0</v>
      </c>
      <c r="L67" s="13">
        <f ca="1"/>
        <v>1</v>
      </c>
      <c r="M67" s="13">
        <f ca="1"/>
        <v>0</v>
      </c>
      <c r="N67" s="13">
        <f ca="1"/>
        <v>0</v>
      </c>
      <c r="P67" s="13">
        <f ca="1"/>
        <v>4.4221105527638196</v>
      </c>
      <c r="Q67" s="13">
        <f ca="1"/>
        <v>4.2819496572006371E-2</v>
      </c>
      <c r="R67" s="13">
        <f ca="1"/>
        <v>5.7836935265099948E-2</v>
      </c>
      <c r="S67" s="13">
        <f ca="1"/>
        <v>0.18052760265209855</v>
      </c>
    </row>
    <row r="68" spans="1:19">
      <c r="A68" s="44">
        <f ca="1"/>
        <v>4.6231155778894477</v>
      </c>
      <c r="B68" s="44">
        <f ca="1"/>
        <v>304.21409799934719</v>
      </c>
      <c r="D68" s="13">
        <f ca="1"/>
        <v>4.6231155778894477</v>
      </c>
      <c r="E68" s="13">
        <f ca="1"/>
        <v>304.21409799934719</v>
      </c>
      <c r="F68" s="13">
        <f ca="1"/>
        <v>300.2410515976124</v>
      </c>
      <c r="G68" s="13">
        <f ca="1"/>
        <v>308.45236558188958</v>
      </c>
      <c r="H68" s="13">
        <f ca="1"/>
        <v>305.71526092046389</v>
      </c>
      <c r="I68" s="13">
        <f ca="1"/>
        <v>294.7668422747609</v>
      </c>
      <c r="J68" s="13">
        <f ca="1"/>
        <v>292.02973761333521</v>
      </c>
      <c r="K68" s="13">
        <f ca="1"/>
        <v>0</v>
      </c>
      <c r="L68" s="13">
        <f ca="1"/>
        <v>1</v>
      </c>
      <c r="M68" s="13">
        <f ca="1"/>
        <v>0</v>
      </c>
      <c r="N68" s="13">
        <f ca="1"/>
        <v>0</v>
      </c>
      <c r="P68" s="13">
        <f ca="1"/>
        <v>4.6231155778894477</v>
      </c>
      <c r="Q68" s="13">
        <f ca="1"/>
        <v>2.3543248435705818E-2</v>
      </c>
      <c r="R68" s="13">
        <f ca="1"/>
        <v>5.7836935265099948E-2</v>
      </c>
      <c r="S68" s="13">
        <f ca="1"/>
        <v>0.18052760265209855</v>
      </c>
    </row>
    <row r="69" spans="1:19">
      <c r="A69" s="44">
        <f ca="1"/>
        <v>4.8241206030150758</v>
      </c>
      <c r="B69" s="44">
        <f ca="1"/>
        <v>303.68839857994789</v>
      </c>
      <c r="D69" s="13">
        <f ca="1"/>
        <v>4.8241206030150758</v>
      </c>
      <c r="E69" s="13">
        <f ca="1"/>
        <v>303.68839857994789</v>
      </c>
      <c r="F69" s="13">
        <f ca="1"/>
        <v>300.2410515976124</v>
      </c>
      <c r="G69" s="13">
        <f ca="1"/>
        <v>308.45236558188958</v>
      </c>
      <c r="H69" s="13">
        <f ca="1"/>
        <v>305.71526092046389</v>
      </c>
      <c r="I69" s="13">
        <f ca="1"/>
        <v>294.7668422747609</v>
      </c>
      <c r="J69" s="13">
        <f ca="1"/>
        <v>292.02973761333521</v>
      </c>
      <c r="K69" s="13">
        <f ca="1"/>
        <v>0</v>
      </c>
      <c r="L69" s="13">
        <f ca="1"/>
        <v>1</v>
      </c>
      <c r="M69" s="13">
        <f ca="1"/>
        <v>0</v>
      </c>
      <c r="N69" s="13">
        <f ca="1"/>
        <v>0</v>
      </c>
      <c r="P69" s="13">
        <f ca="1"/>
        <v>4.8241206030150758</v>
      </c>
      <c r="Q69" s="13">
        <f ca="1"/>
        <v>6.6832444650416475E-2</v>
      </c>
      <c r="R69" s="13">
        <f ca="1"/>
        <v>5.7836935265099948E-2</v>
      </c>
      <c r="S69" s="13">
        <f ca="1"/>
        <v>0.18052760265209855</v>
      </c>
    </row>
    <row r="70" spans="1:19">
      <c r="A70" s="44">
        <f ca="1"/>
        <v>5.025125628140704</v>
      </c>
      <c r="B70" s="44">
        <f ca="1"/>
        <v>295.82246726247024</v>
      </c>
      <c r="D70" s="13">
        <f ca="1"/>
        <v>5.025125628140704</v>
      </c>
      <c r="E70" s="13">
        <f ca="1"/>
        <v>295.82246726247024</v>
      </c>
      <c r="F70" s="13">
        <f ca="1"/>
        <v>300.2410515976124</v>
      </c>
      <c r="G70" s="13">
        <f ca="1"/>
        <v>308.45236558188958</v>
      </c>
      <c r="H70" s="13">
        <f ca="1"/>
        <v>305.71526092046389</v>
      </c>
      <c r="I70" s="13">
        <f ca="1"/>
        <v>294.7668422747609</v>
      </c>
      <c r="J70" s="13">
        <f ca="1"/>
        <v>292.02973761333521</v>
      </c>
      <c r="K70" s="13">
        <f ca="1"/>
        <v>0</v>
      </c>
      <c r="L70" s="13">
        <f ca="1"/>
        <v>0</v>
      </c>
      <c r="M70" s="13">
        <f ca="1"/>
        <v>0</v>
      </c>
      <c r="N70" s="13">
        <f ca="1"/>
        <v>0</v>
      </c>
      <c r="P70" s="13">
        <f ca="1"/>
        <v>5.025125628140704</v>
      </c>
      <c r="Q70" s="13">
        <f ca="1"/>
        <v>1</v>
      </c>
      <c r="R70" s="13">
        <f ca="1"/>
        <v>5.7836935265099948E-2</v>
      </c>
      <c r="S70" s="13">
        <f ca="1"/>
        <v>0.18052760265209855</v>
      </c>
    </row>
    <row r="71" spans="1:19">
      <c r="A71" s="44">
        <f ca="1"/>
        <v>5.2261306532663321</v>
      </c>
      <c r="B71" s="44">
        <f ca="1"/>
        <v>296.33198574965195</v>
      </c>
      <c r="D71" s="13">
        <f ca="1"/>
        <v>5.2261306532663321</v>
      </c>
      <c r="E71" s="13">
        <f ca="1"/>
        <v>296.33198574965195</v>
      </c>
      <c r="F71" s="13">
        <f ca="1"/>
        <v>300.2410515976124</v>
      </c>
      <c r="G71" s="13">
        <f ca="1"/>
        <v>308.45236558188958</v>
      </c>
      <c r="H71" s="13">
        <f ca="1"/>
        <v>305.71526092046389</v>
      </c>
      <c r="I71" s="13">
        <f ca="1"/>
        <v>294.7668422747609</v>
      </c>
      <c r="J71" s="13">
        <f ca="1"/>
        <v>292.02973761333521</v>
      </c>
      <c r="K71" s="13">
        <f ca="1"/>
        <v>0</v>
      </c>
      <c r="L71" s="13">
        <f ca="1"/>
        <v>0</v>
      </c>
      <c r="M71" s="13">
        <f ca="1"/>
        <v>0</v>
      </c>
      <c r="N71" s="13">
        <f ca="1"/>
        <v>0</v>
      </c>
      <c r="P71" s="13">
        <f ca="1"/>
        <v>5.2261306532663321</v>
      </c>
      <c r="Q71" s="13">
        <f ca="1"/>
        <v>6.4775354197358359E-2</v>
      </c>
      <c r="R71" s="13">
        <f ca="1"/>
        <v>5.7836935265099948E-2</v>
      </c>
      <c r="S71" s="13">
        <f ca="1"/>
        <v>0.18052760265209855</v>
      </c>
    </row>
    <row r="72" spans="1:19">
      <c r="A72" s="44">
        <f ca="1"/>
        <v>5.4271356783919602</v>
      </c>
      <c r="B72" s="44">
        <f ca="1"/>
        <v>295.53485370410726</v>
      </c>
      <c r="D72" s="13">
        <f ca="1"/>
        <v>5.4271356783919602</v>
      </c>
      <c r="E72" s="13">
        <f ca="1"/>
        <v>295.53485370410726</v>
      </c>
      <c r="F72" s="13">
        <f ca="1"/>
        <v>300.2410515976124</v>
      </c>
      <c r="G72" s="13">
        <f ca="1"/>
        <v>308.45236558188958</v>
      </c>
      <c r="H72" s="13">
        <f ca="1"/>
        <v>305.71526092046389</v>
      </c>
      <c r="I72" s="13">
        <f ca="1"/>
        <v>294.7668422747609</v>
      </c>
      <c r="J72" s="13">
        <f ca="1"/>
        <v>292.02973761333521</v>
      </c>
      <c r="K72" s="13">
        <f ca="1"/>
        <v>0</v>
      </c>
      <c r="L72" s="13">
        <f ca="1"/>
        <v>0</v>
      </c>
      <c r="M72" s="13">
        <f ca="1"/>
        <v>0</v>
      </c>
      <c r="N72" s="13">
        <f ca="1"/>
        <v>0</v>
      </c>
      <c r="P72" s="13">
        <f ca="1"/>
        <v>5.4271356783919602</v>
      </c>
      <c r="Q72" s="13">
        <f ca="1"/>
        <v>0.10133981767340179</v>
      </c>
      <c r="R72" s="13">
        <f ca="1"/>
        <v>5.7836935265099948E-2</v>
      </c>
      <c r="S72" s="13">
        <f ca="1"/>
        <v>0.18052760265209855</v>
      </c>
    </row>
    <row r="73" spans="1:19">
      <c r="A73" s="44">
        <f ca="1"/>
        <v>5.6281407035175883</v>
      </c>
      <c r="B73" s="44">
        <f ca="1"/>
        <v>296.20025589422022</v>
      </c>
      <c r="D73" s="13">
        <f ca="1"/>
        <v>5.6281407035175883</v>
      </c>
      <c r="E73" s="13">
        <f ca="1"/>
        <v>296.20025589422022</v>
      </c>
      <c r="F73" s="13">
        <f ca="1"/>
        <v>300.2410515976124</v>
      </c>
      <c r="G73" s="13">
        <f ca="1"/>
        <v>308.45236558188958</v>
      </c>
      <c r="H73" s="13">
        <f ca="1"/>
        <v>305.71526092046389</v>
      </c>
      <c r="I73" s="13">
        <f ca="1"/>
        <v>294.7668422747609</v>
      </c>
      <c r="J73" s="13">
        <f ca="1"/>
        <v>292.02973761333521</v>
      </c>
      <c r="K73" s="13">
        <f ca="1"/>
        <v>0</v>
      </c>
      <c r="L73" s="13">
        <f ca="1"/>
        <v>0</v>
      </c>
      <c r="M73" s="13">
        <f ca="1"/>
        <v>0</v>
      </c>
      <c r="N73" s="13">
        <f ca="1"/>
        <v>0</v>
      </c>
      <c r="P73" s="13">
        <f ca="1"/>
        <v>5.6281407035175883</v>
      </c>
      <c r="Q73" s="13">
        <f ca="1"/>
        <v>8.4592931625842124E-2</v>
      </c>
      <c r="R73" s="13">
        <f ca="1"/>
        <v>5.7836935265099948E-2</v>
      </c>
      <c r="S73" s="13">
        <f ca="1"/>
        <v>0.18052760265209855</v>
      </c>
    </row>
    <row r="74" spans="1:19">
      <c r="A74" s="44">
        <f ca="1"/>
        <v>5.8291457286432165</v>
      </c>
      <c r="B74" s="44">
        <f ca="1"/>
        <v>296.04986447310517</v>
      </c>
      <c r="D74" s="13">
        <f ca="1"/>
        <v>5.8291457286432165</v>
      </c>
      <c r="E74" s="13">
        <f ca="1"/>
        <v>296.04986447310517</v>
      </c>
      <c r="F74" s="13">
        <f ca="1"/>
        <v>300.2410515976124</v>
      </c>
      <c r="G74" s="13">
        <f ca="1"/>
        <v>308.45236558188958</v>
      </c>
      <c r="H74" s="13">
        <f ca="1"/>
        <v>305.71526092046389</v>
      </c>
      <c r="I74" s="13">
        <f ca="1"/>
        <v>294.7668422747609</v>
      </c>
      <c r="J74" s="13">
        <f ca="1"/>
        <v>292.02973761333521</v>
      </c>
      <c r="K74" s="13">
        <f ca="1"/>
        <v>0</v>
      </c>
      <c r="L74" s="13">
        <f ca="1"/>
        <v>0</v>
      </c>
      <c r="M74" s="13">
        <f ca="1"/>
        <v>0</v>
      </c>
      <c r="N74" s="13">
        <f ca="1"/>
        <v>0</v>
      </c>
      <c r="P74" s="13">
        <f ca="1"/>
        <v>5.8291457286432165</v>
      </c>
      <c r="Q74" s="13">
        <f ca="1"/>
        <v>1.9119340742384163E-2</v>
      </c>
      <c r="R74" s="13">
        <f ca="1"/>
        <v>5.7836935265099948E-2</v>
      </c>
      <c r="S74" s="13">
        <f ca="1"/>
        <v>0.18052760265209855</v>
      </c>
    </row>
    <row r="75" spans="1:19">
      <c r="A75" s="44">
        <f ca="1"/>
        <v>6.0301507537688446</v>
      </c>
      <c r="B75" s="44">
        <f ca="1"/>
        <v>296.03062024444171</v>
      </c>
      <c r="D75" s="13">
        <f ca="1"/>
        <v>6.0301507537688446</v>
      </c>
      <c r="E75" s="13">
        <f ca="1"/>
        <v>296.03062024444171</v>
      </c>
      <c r="F75" s="13">
        <f ca="1"/>
        <v>300.2410515976124</v>
      </c>
      <c r="G75" s="13">
        <f ca="1"/>
        <v>308.45236558188958</v>
      </c>
      <c r="H75" s="13">
        <f ca="1"/>
        <v>305.71526092046389</v>
      </c>
      <c r="I75" s="13">
        <f ca="1"/>
        <v>294.7668422747609</v>
      </c>
      <c r="J75" s="13">
        <f ca="1"/>
        <v>292.02973761333521</v>
      </c>
      <c r="K75" s="13">
        <f ca="1"/>
        <v>0</v>
      </c>
      <c r="L75" s="13">
        <f ca="1"/>
        <v>0</v>
      </c>
      <c r="M75" s="13">
        <f ca="1"/>
        <v>0</v>
      </c>
      <c r="N75" s="13">
        <f ca="1"/>
        <v>0</v>
      </c>
      <c r="P75" s="13">
        <f ca="1"/>
        <v>6.0301507537688446</v>
      </c>
      <c r="Q75" s="13">
        <f ca="1"/>
        <v>2.4465289470183582E-3</v>
      </c>
      <c r="R75" s="13">
        <f ca="1"/>
        <v>5.7836935265099948E-2</v>
      </c>
      <c r="S75" s="13">
        <f ca="1"/>
        <v>0.18052760265209855</v>
      </c>
    </row>
    <row r="76" spans="1:19">
      <c r="A76" s="44">
        <f ca="1"/>
        <v>6.2311557788944727</v>
      </c>
      <c r="B76" s="44">
        <f ca="1"/>
        <v>295.95517920039754</v>
      </c>
      <c r="D76" s="13">
        <f ca="1"/>
        <v>6.2311557788944727</v>
      </c>
      <c r="E76" s="13">
        <f ca="1"/>
        <v>295.95517920039754</v>
      </c>
      <c r="F76" s="13">
        <f ca="1"/>
        <v>300.2410515976124</v>
      </c>
      <c r="G76" s="13">
        <f ca="1"/>
        <v>308.45236558188958</v>
      </c>
      <c r="H76" s="13">
        <f ca="1"/>
        <v>305.71526092046389</v>
      </c>
      <c r="I76" s="13">
        <f ca="1"/>
        <v>294.7668422747609</v>
      </c>
      <c r="J76" s="13">
        <f ca="1"/>
        <v>292.02973761333521</v>
      </c>
      <c r="K76" s="13">
        <f ca="1"/>
        <v>0</v>
      </c>
      <c r="L76" s="13">
        <f ca="1"/>
        <v>0</v>
      </c>
      <c r="M76" s="13">
        <f ca="1"/>
        <v>0</v>
      </c>
      <c r="N76" s="13">
        <f ca="1"/>
        <v>0</v>
      </c>
      <c r="P76" s="13">
        <f ca="1"/>
        <v>6.2311557788944727</v>
      </c>
      <c r="Q76" s="13">
        <f ca="1"/>
        <v>9.5908597468354704E-3</v>
      </c>
      <c r="R76" s="13">
        <f ca="1"/>
        <v>5.7836935265099948E-2</v>
      </c>
      <c r="S76" s="13">
        <f ca="1"/>
        <v>0.18052760265209855</v>
      </c>
    </row>
    <row r="77" spans="1:19">
      <c r="A77" s="44">
        <f ca="1"/>
        <v>6.4321608040201008</v>
      </c>
      <c r="B77" s="44">
        <f ca="1"/>
        <v>296.14431116155561</v>
      </c>
      <c r="D77" s="13">
        <f ca="1"/>
        <v>6.4321608040201008</v>
      </c>
      <c r="E77" s="13">
        <f ca="1"/>
        <v>296.14431116155561</v>
      </c>
      <c r="F77" s="13">
        <f ca="1"/>
        <v>300.2410515976124</v>
      </c>
      <c r="G77" s="13">
        <f ca="1"/>
        <v>308.45236558188958</v>
      </c>
      <c r="H77" s="13">
        <f ca="1"/>
        <v>305.71526092046389</v>
      </c>
      <c r="I77" s="13">
        <f ca="1"/>
        <v>294.7668422747609</v>
      </c>
      <c r="J77" s="13">
        <f ca="1"/>
        <v>292.02973761333521</v>
      </c>
      <c r="K77" s="13">
        <f ca="1"/>
        <v>0</v>
      </c>
      <c r="L77" s="13">
        <f ca="1"/>
        <v>1</v>
      </c>
      <c r="M77" s="13">
        <f ca="1"/>
        <v>0</v>
      </c>
      <c r="N77" s="13">
        <f ca="1"/>
        <v>0</v>
      </c>
      <c r="P77" s="13">
        <f ca="1"/>
        <v>6.4321608040201008</v>
      </c>
      <c r="Q77" s="13">
        <f ca="1"/>
        <v>2.4044446045165445E-2</v>
      </c>
      <c r="R77" s="13">
        <f ca="1"/>
        <v>5.7836935265099948E-2</v>
      </c>
      <c r="S77" s="13">
        <f ca="1"/>
        <v>0.18052760265209855</v>
      </c>
    </row>
    <row r="78" spans="1:19">
      <c r="A78" s="44">
        <f ca="1"/>
        <v>6.6331658291457289</v>
      </c>
      <c r="B78" s="44">
        <f ca="1"/>
        <v>296.19596754444319</v>
      </c>
      <c r="D78" s="13">
        <f ca="1"/>
        <v>6.6331658291457289</v>
      </c>
      <c r="E78" s="13">
        <f ca="1"/>
        <v>296.19596754444319</v>
      </c>
      <c r="F78" s="13">
        <f ca="1"/>
        <v>300.2410515976124</v>
      </c>
      <c r="G78" s="13">
        <f ca="1"/>
        <v>308.45236558188958</v>
      </c>
      <c r="H78" s="13">
        <f ca="1"/>
        <v>305.71526092046389</v>
      </c>
      <c r="I78" s="13">
        <f ca="1"/>
        <v>294.7668422747609</v>
      </c>
      <c r="J78" s="13">
        <f ca="1"/>
        <v>292.02973761333521</v>
      </c>
      <c r="K78" s="13">
        <f ca="1"/>
        <v>0</v>
      </c>
      <c r="L78" s="13">
        <f ca="1"/>
        <v>1</v>
      </c>
      <c r="M78" s="13">
        <f ca="1"/>
        <v>0</v>
      </c>
      <c r="N78" s="13">
        <f ca="1"/>
        <v>0</v>
      </c>
      <c r="P78" s="13">
        <f ca="1"/>
        <v>6.6331658291457289</v>
      </c>
      <c r="Q78" s="13">
        <f ca="1"/>
        <v>6.5671032205440825E-3</v>
      </c>
      <c r="R78" s="13">
        <f ca="1"/>
        <v>5.7836935265099948E-2</v>
      </c>
      <c r="S78" s="13">
        <f ca="1"/>
        <v>0.18052760265209855</v>
      </c>
    </row>
    <row r="79" spans="1:19">
      <c r="A79" s="44">
        <f ca="1"/>
        <v>6.8341708542713571</v>
      </c>
      <c r="B79" s="44">
        <f ca="1"/>
        <v>296.11729016556421</v>
      </c>
      <c r="D79" s="13">
        <f ca="1"/>
        <v>6.8341708542713571</v>
      </c>
      <c r="E79" s="13">
        <f ca="1"/>
        <v>296.11729016556421</v>
      </c>
      <c r="F79" s="13">
        <f ca="1"/>
        <v>300.2410515976124</v>
      </c>
      <c r="G79" s="13">
        <f ca="1"/>
        <v>308.45236558188958</v>
      </c>
      <c r="H79" s="13">
        <f ca="1"/>
        <v>305.71526092046389</v>
      </c>
      <c r="I79" s="13">
        <f ca="1"/>
        <v>294.7668422747609</v>
      </c>
      <c r="J79" s="13">
        <f ca="1"/>
        <v>292.02973761333521</v>
      </c>
      <c r="K79" s="13">
        <f ca="1"/>
        <v>0</v>
      </c>
      <c r="L79" s="13">
        <f ca="1"/>
        <v>1</v>
      </c>
      <c r="M79" s="13">
        <f ca="1"/>
        <v>0</v>
      </c>
      <c r="N79" s="13">
        <f ca="1"/>
        <v>0</v>
      </c>
      <c r="P79" s="13">
        <f ca="1"/>
        <v>6.8341708542713571</v>
      </c>
      <c r="Q79" s="13">
        <f ca="1"/>
        <v>1.0002296702510247E-2</v>
      </c>
      <c r="R79" s="13">
        <f ca="1"/>
        <v>5.7836935265099948E-2</v>
      </c>
      <c r="S79" s="13">
        <f ca="1"/>
        <v>0.18052760265209855</v>
      </c>
    </row>
    <row r="80" spans="1:19">
      <c r="A80" s="44">
        <f ca="1"/>
        <v>7.0351758793969852</v>
      </c>
      <c r="B80" s="44">
        <f ca="1"/>
        <v>296.43324732490561</v>
      </c>
      <c r="D80" s="13">
        <f ca="1"/>
        <v>7.0351758793969852</v>
      </c>
      <c r="E80" s="13">
        <f ca="1"/>
        <v>296.43324732490561</v>
      </c>
      <c r="F80" s="13">
        <f ca="1"/>
        <v>300.2410515976124</v>
      </c>
      <c r="G80" s="13">
        <f ca="1"/>
        <v>308.45236558188958</v>
      </c>
      <c r="H80" s="13">
        <f ca="1"/>
        <v>305.71526092046389</v>
      </c>
      <c r="I80" s="13">
        <f ca="1"/>
        <v>294.7668422747609</v>
      </c>
      <c r="J80" s="13">
        <f ca="1"/>
        <v>292.02973761333521</v>
      </c>
      <c r="K80" s="13">
        <f ca="1"/>
        <v>0</v>
      </c>
      <c r="L80" s="13">
        <f ca="1"/>
        <v>1</v>
      </c>
      <c r="M80" s="13">
        <f ca="1"/>
        <v>0</v>
      </c>
      <c r="N80" s="13">
        <f ca="1"/>
        <v>0</v>
      </c>
      <c r="P80" s="13">
        <f ca="1"/>
        <v>7.0351758793969852</v>
      </c>
      <c r="Q80" s="13">
        <f ca="1"/>
        <v>4.0167800428075918E-2</v>
      </c>
      <c r="R80" s="13">
        <f ca="1"/>
        <v>5.7836935265099948E-2</v>
      </c>
      <c r="S80" s="13">
        <f ca="1"/>
        <v>0.18052760265209855</v>
      </c>
    </row>
    <row r="81" spans="1:19">
      <c r="A81" s="44">
        <f ca="1"/>
        <v>7.2361809045226133</v>
      </c>
      <c r="B81" s="44">
        <f ca="1"/>
        <v>296.26679019951587</v>
      </c>
      <c r="D81" s="13">
        <f ca="1"/>
        <v>7.2361809045226133</v>
      </c>
      <c r="E81" s="13">
        <f ca="1"/>
        <v>296.26679019951587</v>
      </c>
      <c r="F81" s="13">
        <f ca="1"/>
        <v>300.2410515976124</v>
      </c>
      <c r="G81" s="13">
        <f ca="1"/>
        <v>308.45236558188958</v>
      </c>
      <c r="H81" s="13">
        <f ca="1"/>
        <v>305.71526092046389</v>
      </c>
      <c r="I81" s="13">
        <f ca="1"/>
        <v>294.7668422747609</v>
      </c>
      <c r="J81" s="13">
        <f ca="1"/>
        <v>292.02973761333521</v>
      </c>
      <c r="K81" s="13">
        <f ca="1"/>
        <v>0</v>
      </c>
      <c r="L81" s="13">
        <f ca="1"/>
        <v>1</v>
      </c>
      <c r="M81" s="13">
        <f ca="1"/>
        <v>0</v>
      </c>
      <c r="N81" s="13">
        <f ca="1"/>
        <v>0</v>
      </c>
      <c r="P81" s="13">
        <f ca="1"/>
        <v>7.2361809045226133</v>
      </c>
      <c r="Q81" s="13">
        <f ca="1"/>
        <v>2.1161782206244609E-2</v>
      </c>
      <c r="R81" s="13">
        <f ca="1"/>
        <v>5.7836935265099948E-2</v>
      </c>
      <c r="S81" s="13">
        <f ca="1"/>
        <v>0.18052760265209855</v>
      </c>
    </row>
    <row r="82" spans="1:19">
      <c r="A82" s="44">
        <f ca="1"/>
        <v>7.4371859296482414</v>
      </c>
      <c r="B82" s="44">
        <f ca="1"/>
        <v>296.57311664654748</v>
      </c>
      <c r="D82" s="13">
        <f ca="1"/>
        <v>7.4371859296482414</v>
      </c>
      <c r="E82" s="13">
        <f ca="1"/>
        <v>296.57311664654748</v>
      </c>
      <c r="F82" s="13">
        <f ca="1"/>
        <v>300.2410515976124</v>
      </c>
      <c r="G82" s="13">
        <f ca="1"/>
        <v>308.45236558188958</v>
      </c>
      <c r="H82" s="13">
        <f ca="1"/>
        <v>305.71526092046389</v>
      </c>
      <c r="I82" s="13">
        <f ca="1"/>
        <v>294.7668422747609</v>
      </c>
      <c r="J82" s="13">
        <f ca="1"/>
        <v>292.02973761333521</v>
      </c>
      <c r="K82" s="13">
        <f ca="1"/>
        <v>0</v>
      </c>
      <c r="L82" s="13">
        <f ca="1"/>
        <v>1</v>
      </c>
      <c r="M82" s="13">
        <f ca="1"/>
        <v>0</v>
      </c>
      <c r="N82" s="13">
        <f ca="1"/>
        <v>0</v>
      </c>
      <c r="P82" s="13">
        <f ca="1"/>
        <v>7.4371859296482414</v>
      </c>
      <c r="Q82" s="13">
        <f ca="1"/>
        <v>3.8943442889078986E-2</v>
      </c>
      <c r="R82" s="13">
        <f ca="1"/>
        <v>5.7836935265099948E-2</v>
      </c>
      <c r="S82" s="13">
        <f ca="1"/>
        <v>0.18052760265209855</v>
      </c>
    </row>
    <row r="83" spans="1:19">
      <c r="A83" s="44">
        <f ca="1"/>
        <v>7.6381909547738696</v>
      </c>
      <c r="B83" s="44">
        <f ca="1"/>
        <v>295.90394232890804</v>
      </c>
      <c r="D83" s="13">
        <f ca="1"/>
        <v>7.6381909547738696</v>
      </c>
      <c r="E83" s="13">
        <f ca="1"/>
        <v>295.90394232890804</v>
      </c>
      <c r="F83" s="13">
        <f ca="1"/>
        <v>300.2410515976124</v>
      </c>
      <c r="G83" s="13">
        <f ca="1"/>
        <v>308.45236558188958</v>
      </c>
      <c r="H83" s="13">
        <f ca="1"/>
        <v>305.71526092046389</v>
      </c>
      <c r="I83" s="13">
        <f ca="1"/>
        <v>294.7668422747609</v>
      </c>
      <c r="J83" s="13">
        <f ca="1"/>
        <v>292.02973761333521</v>
      </c>
      <c r="K83" s="13">
        <f ca="1"/>
        <v>0</v>
      </c>
      <c r="L83" s="13">
        <f ca="1"/>
        <v>1</v>
      </c>
      <c r="M83" s="13">
        <f ca="1"/>
        <v>0</v>
      </c>
      <c r="N83" s="13">
        <f ca="1"/>
        <v>0</v>
      </c>
      <c r="P83" s="13">
        <f ca="1"/>
        <v>7.6381909547738696</v>
      </c>
      <c r="Q83" s="13">
        <f ca="1"/>
        <v>8.5072484189197578E-2</v>
      </c>
      <c r="R83" s="13">
        <f ca="1"/>
        <v>5.7836935265099948E-2</v>
      </c>
      <c r="S83" s="13">
        <f ca="1"/>
        <v>0.18052760265209855</v>
      </c>
    </row>
    <row r="84" spans="1:19">
      <c r="A84" s="44">
        <f ca="1"/>
        <v>7.8391959798994977</v>
      </c>
      <c r="B84" s="44">
        <f ca="1"/>
        <v>296.42687629679244</v>
      </c>
      <c r="D84" s="13">
        <f ca="1"/>
        <v>7.8391959798994977</v>
      </c>
      <c r="E84" s="13">
        <f ca="1"/>
        <v>296.42687629679244</v>
      </c>
      <c r="F84" s="13">
        <f ca="1"/>
        <v>300.2410515976124</v>
      </c>
      <c r="G84" s="13">
        <f ca="1"/>
        <v>308.45236558188958</v>
      </c>
      <c r="H84" s="13">
        <f ca="1"/>
        <v>305.71526092046389</v>
      </c>
      <c r="I84" s="13">
        <f ca="1"/>
        <v>294.7668422747609</v>
      </c>
      <c r="J84" s="13">
        <f ca="1"/>
        <v>292.02973761333521</v>
      </c>
      <c r="K84" s="13">
        <f ca="1"/>
        <v>0</v>
      </c>
      <c r="L84" s="13">
        <f ca="1"/>
        <v>1</v>
      </c>
      <c r="M84" s="13">
        <f ca="1"/>
        <v>0</v>
      </c>
      <c r="N84" s="13">
        <f ca="1"/>
        <v>0</v>
      </c>
      <c r="P84" s="13">
        <f ca="1"/>
        <v>7.8391959798994977</v>
      </c>
      <c r="Q84" s="13">
        <f ca="1"/>
        <v>6.6480871339731809E-2</v>
      </c>
      <c r="R84" s="13">
        <f ca="1"/>
        <v>5.7836935265099948E-2</v>
      </c>
      <c r="S84" s="13">
        <f ca="1"/>
        <v>0.18052760265209855</v>
      </c>
    </row>
    <row r="85" spans="1:19">
      <c r="A85" s="44">
        <f ca="1"/>
        <v>8.0402010050251267</v>
      </c>
      <c r="B85" s="44">
        <f ca="1"/>
        <v>296.45342114902502</v>
      </c>
      <c r="D85" s="13">
        <f ca="1"/>
        <v>8.0402010050251267</v>
      </c>
      <c r="E85" s="13">
        <f ca="1"/>
        <v>296.45342114902502</v>
      </c>
      <c r="F85" s="13">
        <f ca="1"/>
        <v>300.2410515976124</v>
      </c>
      <c r="G85" s="13">
        <f ca="1"/>
        <v>308.45236558188958</v>
      </c>
      <c r="H85" s="13">
        <f ca="1"/>
        <v>305.71526092046389</v>
      </c>
      <c r="I85" s="13">
        <f ca="1"/>
        <v>294.7668422747609</v>
      </c>
      <c r="J85" s="13">
        <f ca="1"/>
        <v>292.02973761333521</v>
      </c>
      <c r="K85" s="13">
        <f ca="1"/>
        <v>0</v>
      </c>
      <c r="L85" s="13">
        <f ca="1"/>
        <v>1</v>
      </c>
      <c r="M85" s="13">
        <f ca="1"/>
        <v>0</v>
      </c>
      <c r="N85" s="13">
        <f ca="1"/>
        <v>0</v>
      </c>
      <c r="P85" s="13">
        <f ca="1"/>
        <v>8.0402010050251267</v>
      </c>
      <c r="Q85" s="13">
        <f ca="1"/>
        <v>3.3746610746008413E-3</v>
      </c>
      <c r="R85" s="13">
        <f ca="1"/>
        <v>5.7836935265099948E-2</v>
      </c>
      <c r="S85" s="13">
        <f ca="1"/>
        <v>0.18052760265209855</v>
      </c>
    </row>
    <row r="86" spans="1:19">
      <c r="A86" s="44">
        <f ca="1"/>
        <v>8.2412060301507548</v>
      </c>
      <c r="B86" s="44">
        <f ca="1"/>
        <v>296.33740529551335</v>
      </c>
      <c r="D86" s="13">
        <f ca="1"/>
        <v>8.2412060301507548</v>
      </c>
      <c r="E86" s="13">
        <f ca="1"/>
        <v>296.33740529551335</v>
      </c>
      <c r="F86" s="13">
        <f ca="1"/>
        <v>300.2410515976124</v>
      </c>
      <c r="G86" s="13">
        <f ca="1"/>
        <v>308.45236558188958</v>
      </c>
      <c r="H86" s="13">
        <f ca="1"/>
        <v>305.71526092046389</v>
      </c>
      <c r="I86" s="13">
        <f ca="1"/>
        <v>294.7668422747609</v>
      </c>
      <c r="J86" s="13">
        <f ca="1"/>
        <v>292.02973761333521</v>
      </c>
      <c r="K86" s="13">
        <f ca="1"/>
        <v>0</v>
      </c>
      <c r="L86" s="13">
        <f ca="1"/>
        <v>1</v>
      </c>
      <c r="M86" s="13">
        <f ca="1"/>
        <v>0</v>
      </c>
      <c r="N86" s="13">
        <f ca="1"/>
        <v>0</v>
      </c>
      <c r="P86" s="13">
        <f ca="1"/>
        <v>8.2412060301507548</v>
      </c>
      <c r="Q86" s="13">
        <f ca="1"/>
        <v>1.4749156689671163E-2</v>
      </c>
      <c r="R86" s="13">
        <f ca="1"/>
        <v>5.7836935265099948E-2</v>
      </c>
      <c r="S86" s="13">
        <f ca="1"/>
        <v>0.18052760265209855</v>
      </c>
    </row>
    <row r="87" spans="1:19">
      <c r="A87" s="44">
        <f ca="1"/>
        <v>8.4422110552763829</v>
      </c>
      <c r="B87" s="44">
        <f ca="1"/>
        <v>296.30474488380179</v>
      </c>
      <c r="D87" s="13">
        <f ca="1"/>
        <v>8.4422110552763829</v>
      </c>
      <c r="E87" s="13">
        <f ca="1"/>
        <v>296.30474488380179</v>
      </c>
      <c r="F87" s="13">
        <f ca="1"/>
        <v>300.2410515976124</v>
      </c>
      <c r="G87" s="13">
        <f ca="1"/>
        <v>308.45236558188958</v>
      </c>
      <c r="H87" s="13">
        <f ca="1"/>
        <v>305.71526092046389</v>
      </c>
      <c r="I87" s="13">
        <f ca="1"/>
        <v>294.7668422747609</v>
      </c>
      <c r="J87" s="13">
        <f ca="1"/>
        <v>292.02973761333521</v>
      </c>
      <c r="K87" s="13">
        <f ca="1"/>
        <v>0</v>
      </c>
      <c r="L87" s="13">
        <f ca="1"/>
        <v>1</v>
      </c>
      <c r="M87" s="13">
        <f ca="1"/>
        <v>0</v>
      </c>
      <c r="N87" s="13">
        <f ca="1"/>
        <v>0</v>
      </c>
      <c r="P87" s="13">
        <f ca="1"/>
        <v>8.4422110552763829</v>
      </c>
      <c r="Q87" s="13">
        <f ca="1"/>
        <v>4.1521353789336054E-3</v>
      </c>
      <c r="R87" s="13">
        <f ca="1"/>
        <v>5.7836935265099948E-2</v>
      </c>
      <c r="S87" s="13">
        <f ca="1"/>
        <v>0.18052760265209855</v>
      </c>
    </row>
    <row r="88" spans="1:19">
      <c r="A88" s="44">
        <f ca="1"/>
        <v>8.6432160804020111</v>
      </c>
      <c r="B88" s="44">
        <f ca="1"/>
        <v>296.21585997750668</v>
      </c>
      <c r="D88" s="13">
        <f ca="1"/>
        <v>8.6432160804020111</v>
      </c>
      <c r="E88" s="13">
        <f ca="1"/>
        <v>296.21585997750668</v>
      </c>
      <c r="F88" s="13">
        <f ca="1"/>
        <v>300.2410515976124</v>
      </c>
      <c r="G88" s="13">
        <f ca="1"/>
        <v>308.45236558188958</v>
      </c>
      <c r="H88" s="13">
        <f ca="1"/>
        <v>305.71526092046389</v>
      </c>
      <c r="I88" s="13">
        <f ca="1"/>
        <v>294.7668422747609</v>
      </c>
      <c r="J88" s="13">
        <f ca="1"/>
        <v>292.02973761333521</v>
      </c>
      <c r="K88" s="13">
        <f ca="1"/>
        <v>0</v>
      </c>
      <c r="L88" s="13">
        <f ca="1"/>
        <v>1</v>
      </c>
      <c r="M88" s="13">
        <f ca="1"/>
        <v>0</v>
      </c>
      <c r="N88" s="13">
        <f ca="1"/>
        <v>0</v>
      </c>
      <c r="P88" s="13">
        <f ca="1"/>
        <v>8.6432160804020111</v>
      </c>
      <c r="Q88" s="13">
        <f ca="1"/>
        <v>1.1299985050417306E-2</v>
      </c>
      <c r="R88" s="13">
        <f ca="1"/>
        <v>5.7836935265099948E-2</v>
      </c>
      <c r="S88" s="13">
        <f ca="1"/>
        <v>0.18052760265209855</v>
      </c>
    </row>
    <row r="89" spans="1:19">
      <c r="A89" s="44">
        <f ca="1"/>
        <v>8.8442211055276392</v>
      </c>
      <c r="B89" s="44">
        <f ca="1"/>
        <v>297.0851129835068</v>
      </c>
      <c r="D89" s="13">
        <f ca="1"/>
        <v>8.8442211055276392</v>
      </c>
      <c r="E89" s="13">
        <f ca="1"/>
        <v>297.0851129835068</v>
      </c>
      <c r="F89" s="13">
        <f ca="1"/>
        <v>300.2410515976124</v>
      </c>
      <c r="G89" s="13">
        <f ca="1"/>
        <v>308.45236558188958</v>
      </c>
      <c r="H89" s="13">
        <f ca="1"/>
        <v>305.71526092046389</v>
      </c>
      <c r="I89" s="13">
        <f ca="1"/>
        <v>294.7668422747609</v>
      </c>
      <c r="J89" s="13">
        <f ca="1"/>
        <v>292.02973761333521</v>
      </c>
      <c r="K89" s="13">
        <f ca="1"/>
        <v>0</v>
      </c>
      <c r="L89" s="13">
        <f ca="1"/>
        <v>1</v>
      </c>
      <c r="M89" s="13">
        <f ca="1"/>
        <v>0</v>
      </c>
      <c r="N89" s="13">
        <f ca="1"/>
        <v>0</v>
      </c>
      <c r="P89" s="13">
        <f ca="1"/>
        <v>8.8442211055276392</v>
      </c>
      <c r="Q89" s="13">
        <f ca="1"/>
        <v>0.11050859344127398</v>
      </c>
      <c r="R89" s="13">
        <f ca="1"/>
        <v>5.7836935265099948E-2</v>
      </c>
      <c r="S89" s="13">
        <f ca="1"/>
        <v>0.18052760265209855</v>
      </c>
    </row>
    <row r="90" spans="1:19">
      <c r="A90" s="44">
        <f ca="1"/>
        <v>9.0452261306532673</v>
      </c>
      <c r="B90" s="44">
        <f ca="1"/>
        <v>296.28652435139145</v>
      </c>
      <c r="D90" s="13">
        <f ca="1"/>
        <v>9.0452261306532673</v>
      </c>
      <c r="E90" s="13">
        <f ca="1"/>
        <v>296.28652435139145</v>
      </c>
      <c r="F90" s="13">
        <f ca="1"/>
        <v>300.2410515976124</v>
      </c>
      <c r="G90" s="13">
        <f ca="1"/>
        <v>308.45236558188958</v>
      </c>
      <c r="H90" s="13">
        <f ca="1"/>
        <v>305.71526092046389</v>
      </c>
      <c r="I90" s="13">
        <f ca="1"/>
        <v>294.7668422747609</v>
      </c>
      <c r="J90" s="13">
        <f ca="1"/>
        <v>292.02973761333521</v>
      </c>
      <c r="K90" s="13">
        <f ca="1"/>
        <v>0</v>
      </c>
      <c r="L90" s="13">
        <f ca="1"/>
        <v>1</v>
      </c>
      <c r="M90" s="13">
        <f ca="1"/>
        <v>0</v>
      </c>
      <c r="N90" s="13">
        <f ca="1"/>
        <v>0</v>
      </c>
      <c r="P90" s="13">
        <f ca="1"/>
        <v>9.0452261306532673</v>
      </c>
      <c r="Q90" s="13">
        <f ca="1"/>
        <v>0.10152499429291183</v>
      </c>
      <c r="R90" s="13">
        <f ca="1"/>
        <v>5.7836935265099948E-2</v>
      </c>
      <c r="S90" s="13">
        <f ca="1"/>
        <v>0.18052760265209855</v>
      </c>
    </row>
    <row r="91" spans="1:19">
      <c r="A91" s="44">
        <f ca="1"/>
        <v>9.2462311557788954</v>
      </c>
      <c r="B91" s="44">
        <f ca="1"/>
        <v>296.27685858371365</v>
      </c>
      <c r="D91" s="13">
        <f ca="1"/>
        <v>9.2462311557788954</v>
      </c>
      <c r="E91" s="13">
        <f ca="1"/>
        <v>296.27685858371365</v>
      </c>
      <c r="F91" s="13">
        <f ca="1"/>
        <v>300.2410515976124</v>
      </c>
      <c r="G91" s="13">
        <f ca="1"/>
        <v>308.45236558188958</v>
      </c>
      <c r="H91" s="13">
        <f ca="1"/>
        <v>305.71526092046389</v>
      </c>
      <c r="I91" s="13">
        <f ca="1"/>
        <v>294.7668422747609</v>
      </c>
      <c r="J91" s="13">
        <f ca="1"/>
        <v>292.02973761333521</v>
      </c>
      <c r="K91" s="13">
        <f ca="1"/>
        <v>0</v>
      </c>
      <c r="L91" s="13">
        <f ca="1"/>
        <v>1</v>
      </c>
      <c r="M91" s="13">
        <f ca="1"/>
        <v>0</v>
      </c>
      <c r="N91" s="13">
        <f ca="1"/>
        <v>0</v>
      </c>
      <c r="P91" s="13">
        <f ca="1"/>
        <v>9.2462311557788954</v>
      </c>
      <c r="Q91" s="13">
        <f ca="1"/>
        <v>1.228814146434952E-3</v>
      </c>
      <c r="R91" s="13">
        <f ca="1"/>
        <v>5.7836935265099948E-2</v>
      </c>
      <c r="S91" s="13">
        <f ca="1"/>
        <v>0.18052760265209855</v>
      </c>
    </row>
    <row r="92" spans="1:19">
      <c r="A92" s="44">
        <f ca="1"/>
        <v>9.4472361809045236</v>
      </c>
      <c r="B92" s="44">
        <f ca="1"/>
        <v>296.2867818763948</v>
      </c>
      <c r="D92" s="13">
        <f ca="1"/>
        <v>9.4472361809045236</v>
      </c>
      <c r="E92" s="13">
        <f ca="1"/>
        <v>296.2867818763948</v>
      </c>
      <c r="F92" s="13">
        <f ca="1"/>
        <v>300.2410515976124</v>
      </c>
      <c r="G92" s="13">
        <f ca="1"/>
        <v>308.45236558188958</v>
      </c>
      <c r="H92" s="13">
        <f ca="1"/>
        <v>305.71526092046389</v>
      </c>
      <c r="I92" s="13">
        <f ca="1"/>
        <v>294.7668422747609</v>
      </c>
      <c r="J92" s="13">
        <f ca="1"/>
        <v>292.02973761333521</v>
      </c>
      <c r="K92" s="13">
        <f ca="1"/>
        <v>0</v>
      </c>
      <c r="L92" s="13">
        <f ca="1"/>
        <v>1</v>
      </c>
      <c r="M92" s="13">
        <f ca="1"/>
        <v>0</v>
      </c>
      <c r="N92" s="13">
        <f ca="1"/>
        <v>0</v>
      </c>
      <c r="P92" s="13">
        <f ca="1"/>
        <v>9.4472361809045236</v>
      </c>
      <c r="Q92" s="13">
        <f ca="1"/>
        <v>1.2615534360314097E-3</v>
      </c>
      <c r="R92" s="13">
        <f ca="1"/>
        <v>5.7836935265099948E-2</v>
      </c>
      <c r="S92" s="13">
        <f ca="1"/>
        <v>0.18052760265209855</v>
      </c>
    </row>
    <row r="93" spans="1:19">
      <c r="A93" s="44">
        <f ca="1"/>
        <v>9.6482412060301517</v>
      </c>
      <c r="B93" s="44">
        <f ca="1"/>
        <v>296.44722057533801</v>
      </c>
      <c r="D93" s="13">
        <f ca="1"/>
        <v>9.6482412060301517</v>
      </c>
      <c r="E93" s="13">
        <f ca="1"/>
        <v>296.44722057533801</v>
      </c>
      <c r="F93" s="13">
        <f ca="1"/>
        <v>300.2410515976124</v>
      </c>
      <c r="G93" s="13">
        <f ca="1"/>
        <v>308.45236558188958</v>
      </c>
      <c r="H93" s="13">
        <f ca="1"/>
        <v>305.71526092046389</v>
      </c>
      <c r="I93" s="13">
        <f ca="1"/>
        <v>294.7668422747609</v>
      </c>
      <c r="J93" s="13">
        <f ca="1"/>
        <v>292.02973761333521</v>
      </c>
      <c r="K93" s="13">
        <f ca="1"/>
        <v>0</v>
      </c>
      <c r="L93" s="13">
        <f ca="1"/>
        <v>1</v>
      </c>
      <c r="M93" s="13">
        <f ca="1"/>
        <v>0</v>
      </c>
      <c r="N93" s="13">
        <f ca="1"/>
        <v>0</v>
      </c>
      <c r="P93" s="13">
        <f ca="1"/>
        <v>9.6482412060301517</v>
      </c>
      <c r="Q93" s="13">
        <f ca="1"/>
        <v>2.0396656475594254E-2</v>
      </c>
      <c r="R93" s="13">
        <f ca="1"/>
        <v>5.7836935265099948E-2</v>
      </c>
      <c r="S93" s="13">
        <f ca="1"/>
        <v>0.18052760265209855</v>
      </c>
    </row>
    <row r="94" spans="1:19">
      <c r="A94" s="44">
        <f ca="1"/>
        <v>9.8492462311557798</v>
      </c>
      <c r="B94" s="44">
        <f ca="1"/>
        <v>296.47699794223018</v>
      </c>
      <c r="D94" s="13">
        <f ca="1"/>
        <v>9.8492462311557798</v>
      </c>
      <c r="E94" s="13">
        <f ca="1"/>
        <v>296.47699794223018</v>
      </c>
      <c r="F94" s="13">
        <f ca="1"/>
        <v>300.2410515976124</v>
      </c>
      <c r="G94" s="13">
        <f ca="1"/>
        <v>308.45236558188958</v>
      </c>
      <c r="H94" s="13">
        <f ca="1"/>
        <v>305.71526092046389</v>
      </c>
      <c r="I94" s="13">
        <f ca="1"/>
        <v>294.7668422747609</v>
      </c>
      <c r="J94" s="13">
        <f ca="1"/>
        <v>292.02973761333521</v>
      </c>
      <c r="K94" s="13">
        <f ca="1"/>
        <v>0</v>
      </c>
      <c r="L94" s="13">
        <f ca="1"/>
        <v>1</v>
      </c>
      <c r="M94" s="13">
        <f ca="1"/>
        <v>0</v>
      </c>
      <c r="N94" s="13">
        <f ca="1"/>
        <v>0</v>
      </c>
      <c r="P94" s="13">
        <f ca="1"/>
        <v>9.8492462311557798</v>
      </c>
      <c r="Q94" s="13">
        <f ca="1"/>
        <v>3.7856123693850172E-3</v>
      </c>
      <c r="R94" s="13">
        <f ca="1"/>
        <v>5.7836935265099948E-2</v>
      </c>
      <c r="S94" s="13">
        <f ca="1"/>
        <v>0.18052760265209855</v>
      </c>
    </row>
    <row r="95" spans="1:19">
      <c r="A95" s="44">
        <f ca="1"/>
        <v>10.050251256281408</v>
      </c>
      <c r="B95" s="44">
        <f ca="1"/>
        <v>303.24090281803348</v>
      </c>
      <c r="D95" s="13">
        <f ca="1"/>
        <v>10.050251256281408</v>
      </c>
      <c r="E95" s="13">
        <f ca="1"/>
        <v>303.24090281803348</v>
      </c>
      <c r="F95" s="13">
        <f ca="1"/>
        <v>300.2410515976124</v>
      </c>
      <c r="G95" s="13">
        <f ca="1"/>
        <v>308.45236558188958</v>
      </c>
      <c r="H95" s="13">
        <f ca="1"/>
        <v>305.71526092046389</v>
      </c>
      <c r="I95" s="13">
        <f ca="1"/>
        <v>294.7668422747609</v>
      </c>
      <c r="J95" s="13">
        <f ca="1"/>
        <v>292.02973761333521</v>
      </c>
      <c r="K95" s="13">
        <f ca="1"/>
        <v>0</v>
      </c>
      <c r="L95" s="13">
        <f ca="1"/>
        <v>0</v>
      </c>
      <c r="M95" s="13">
        <f ca="1"/>
        <v>0</v>
      </c>
      <c r="N95" s="13">
        <f ca="1"/>
        <v>0</v>
      </c>
      <c r="P95" s="13">
        <f ca="1"/>
        <v>10.050251256281408</v>
      </c>
      <c r="Q95" s="13">
        <f ca="1"/>
        <v>0.85989879682451398</v>
      </c>
      <c r="R95" s="13">
        <f ca="1"/>
        <v>5.7836935265099948E-2</v>
      </c>
      <c r="S95" s="13">
        <f ca="1"/>
        <v>0.18052760265209855</v>
      </c>
    </row>
    <row r="96" spans="1:19">
      <c r="A96" s="44">
        <f ca="1"/>
        <v>10.251256281407036</v>
      </c>
      <c r="B96" s="44">
        <f ca="1"/>
        <v>303.19298403742499</v>
      </c>
      <c r="D96" s="13">
        <f ca="1"/>
        <v>10.251256281407036</v>
      </c>
      <c r="E96" s="13">
        <f ca="1"/>
        <v>303.19298403742499</v>
      </c>
      <c r="F96" s="13">
        <f ca="1"/>
        <v>300.2410515976124</v>
      </c>
      <c r="G96" s="13">
        <f ca="1"/>
        <v>308.45236558188958</v>
      </c>
      <c r="H96" s="13">
        <f ca="1"/>
        <v>305.71526092046389</v>
      </c>
      <c r="I96" s="13">
        <f ca="1"/>
        <v>294.7668422747609</v>
      </c>
      <c r="J96" s="13">
        <f ca="1"/>
        <v>292.02973761333521</v>
      </c>
      <c r="K96" s="13">
        <f ca="1"/>
        <v>0</v>
      </c>
      <c r="L96" s="13">
        <f ca="1"/>
        <v>0</v>
      </c>
      <c r="M96" s="13">
        <f ca="1"/>
        <v>0</v>
      </c>
      <c r="N96" s="13">
        <f ca="1"/>
        <v>0</v>
      </c>
      <c r="P96" s="13">
        <f ca="1"/>
        <v>10.251256281407036</v>
      </c>
      <c r="Q96" s="13">
        <f ca="1"/>
        <v>6.0919398701093398E-3</v>
      </c>
      <c r="R96" s="13">
        <f ca="1"/>
        <v>5.7836935265099948E-2</v>
      </c>
      <c r="S96" s="13">
        <f ca="1"/>
        <v>0.18052760265209855</v>
      </c>
    </row>
    <row r="97" spans="1:19">
      <c r="A97" s="44">
        <f ca="1"/>
        <v>10.452261306532664</v>
      </c>
      <c r="B97" s="44">
        <f ca="1"/>
        <v>303.36443524433156</v>
      </c>
      <c r="D97" s="13">
        <f ca="1"/>
        <v>10.452261306532664</v>
      </c>
      <c r="E97" s="13">
        <f ca="1"/>
        <v>303.36443524433156</v>
      </c>
      <c r="F97" s="13">
        <f ca="1"/>
        <v>300.2410515976124</v>
      </c>
      <c r="G97" s="13">
        <f ca="1"/>
        <v>308.45236558188958</v>
      </c>
      <c r="H97" s="13">
        <f ca="1"/>
        <v>305.71526092046389</v>
      </c>
      <c r="I97" s="13">
        <f ca="1"/>
        <v>294.7668422747609</v>
      </c>
      <c r="J97" s="13">
        <f ca="1"/>
        <v>292.02973761333521</v>
      </c>
      <c r="K97" s="13">
        <f ca="1"/>
        <v>0</v>
      </c>
      <c r="L97" s="13">
        <f ca="1"/>
        <v>0</v>
      </c>
      <c r="M97" s="13">
        <f ca="1"/>
        <v>0</v>
      </c>
      <c r="N97" s="13">
        <f ca="1"/>
        <v>0</v>
      </c>
      <c r="P97" s="13">
        <f ca="1"/>
        <v>10.452261306532664</v>
      </c>
      <c r="Q97" s="13">
        <f ca="1"/>
        <v>2.1796682425336333E-2</v>
      </c>
      <c r="R97" s="13">
        <f ca="1"/>
        <v>5.7836935265099948E-2</v>
      </c>
      <c r="S97" s="13">
        <f ca="1"/>
        <v>0.18052760265209855</v>
      </c>
    </row>
    <row r="98" spans="1:19">
      <c r="A98" s="44">
        <f ca="1"/>
        <v>10.653266331658292</v>
      </c>
      <c r="B98" s="44">
        <f ca="1"/>
        <v>303.23108515174721</v>
      </c>
      <c r="D98" s="13">
        <f ca="1"/>
        <v>10.653266331658292</v>
      </c>
      <c r="E98" s="13">
        <f ca="1"/>
        <v>303.23108515174721</v>
      </c>
      <c r="F98" s="13">
        <f ca="1"/>
        <v>300.2410515976124</v>
      </c>
      <c r="G98" s="13">
        <f ca="1"/>
        <v>308.45236558188958</v>
      </c>
      <c r="H98" s="13">
        <f ca="1"/>
        <v>305.71526092046389</v>
      </c>
      <c r="I98" s="13">
        <f ca="1"/>
        <v>294.7668422747609</v>
      </c>
      <c r="J98" s="13">
        <f ca="1"/>
        <v>292.02973761333521</v>
      </c>
      <c r="K98" s="13">
        <f ca="1"/>
        <v>0</v>
      </c>
      <c r="L98" s="13">
        <f ca="1"/>
        <v>0</v>
      </c>
      <c r="M98" s="13">
        <f ca="1"/>
        <v>0</v>
      </c>
      <c r="N98" s="13">
        <f ca="1"/>
        <v>0</v>
      </c>
      <c r="P98" s="13">
        <f ca="1"/>
        <v>10.653266331658292</v>
      </c>
      <c r="Q98" s="13">
        <f ca="1"/>
        <v>1.6952867651927588E-2</v>
      </c>
      <c r="R98" s="13">
        <f ca="1"/>
        <v>5.7836935265099948E-2</v>
      </c>
      <c r="S98" s="13">
        <f ca="1"/>
        <v>0.18052760265209855</v>
      </c>
    </row>
    <row r="99" spans="1:19">
      <c r="A99" s="44">
        <f ca="1"/>
        <v>10.85427135678392</v>
      </c>
      <c r="B99" s="44">
        <f ca="1"/>
        <v>303.51158250538361</v>
      </c>
      <c r="D99" s="13">
        <f ca="1"/>
        <v>10.85427135678392</v>
      </c>
      <c r="E99" s="13">
        <f ca="1"/>
        <v>303.51158250538361</v>
      </c>
      <c r="F99" s="13">
        <f ca="1"/>
        <v>300.2410515976124</v>
      </c>
      <c r="G99" s="13">
        <f ca="1"/>
        <v>308.45236558188958</v>
      </c>
      <c r="H99" s="13">
        <f ca="1"/>
        <v>305.71526092046389</v>
      </c>
      <c r="I99" s="13">
        <f ca="1"/>
        <v>294.7668422747609</v>
      </c>
      <c r="J99" s="13">
        <f ca="1"/>
        <v>292.02973761333521</v>
      </c>
      <c r="K99" s="13">
        <f ca="1"/>
        <v>0</v>
      </c>
      <c r="L99" s="13">
        <f ca="1"/>
        <v>0</v>
      </c>
      <c r="M99" s="13">
        <f ca="1"/>
        <v>0</v>
      </c>
      <c r="N99" s="13">
        <f ca="1"/>
        <v>0</v>
      </c>
      <c r="P99" s="13">
        <f ca="1"/>
        <v>10.85427135678392</v>
      </c>
      <c r="Q99" s="13">
        <f ca="1"/>
        <v>3.5659776613248199E-2</v>
      </c>
      <c r="R99" s="13">
        <f ca="1"/>
        <v>5.7836935265099948E-2</v>
      </c>
      <c r="S99" s="13">
        <f ca="1"/>
        <v>0.18052760265209855</v>
      </c>
    </row>
    <row r="100" spans="1:19">
      <c r="A100" s="44">
        <f ca="1"/>
        <v>11.055276381909549</v>
      </c>
      <c r="B100" s="44">
        <f ca="1"/>
        <v>302.84658439808476</v>
      </c>
      <c r="D100" s="13">
        <f ca="1"/>
        <v>11.055276381909549</v>
      </c>
      <c r="E100" s="13">
        <f ca="1"/>
        <v>302.84658439808476</v>
      </c>
      <c r="F100" s="13">
        <f ca="1"/>
        <v>300.2410515976124</v>
      </c>
      <c r="G100" s="13">
        <f ca="1"/>
        <v>308.45236558188958</v>
      </c>
      <c r="H100" s="13">
        <f ca="1"/>
        <v>305.71526092046389</v>
      </c>
      <c r="I100" s="13">
        <f ca="1"/>
        <v>294.7668422747609</v>
      </c>
      <c r="J100" s="13">
        <f ca="1"/>
        <v>292.02973761333521</v>
      </c>
      <c r="K100" s="13">
        <f ca="1"/>
        <v>0</v>
      </c>
      <c r="L100" s="13">
        <f ca="1"/>
        <v>0</v>
      </c>
      <c r="M100" s="13">
        <f ca="1"/>
        <v>0</v>
      </c>
      <c r="N100" s="13">
        <f ca="1"/>
        <v>0</v>
      </c>
      <c r="P100" s="13">
        <f ca="1"/>
        <v>11.055276381909549</v>
      </c>
      <c r="Q100" s="13">
        <f ca="1"/>
        <v>8.4541560364412183E-2</v>
      </c>
      <c r="R100" s="13">
        <f ca="1"/>
        <v>5.7836935265099948E-2</v>
      </c>
      <c r="S100" s="13">
        <f ca="1"/>
        <v>0.18052760265209855</v>
      </c>
    </row>
    <row r="101" spans="1:19">
      <c r="A101" s="44">
        <f ca="1"/>
        <v>11.256281407035177</v>
      </c>
      <c r="B101" s="44">
        <f ca="1"/>
        <v>303.16987599918406</v>
      </c>
      <c r="D101" s="13">
        <f ca="1"/>
        <v>11.256281407035177</v>
      </c>
      <c r="E101" s="13">
        <f ca="1"/>
        <v>303.16987599918406</v>
      </c>
      <c r="F101" s="13">
        <f ca="1"/>
        <v>300.2410515976124</v>
      </c>
      <c r="G101" s="13">
        <f ca="1"/>
        <v>308.45236558188958</v>
      </c>
      <c r="H101" s="13">
        <f ca="1"/>
        <v>305.71526092046389</v>
      </c>
      <c r="I101" s="13">
        <f ca="1"/>
        <v>294.7668422747609</v>
      </c>
      <c r="J101" s="13">
        <f ca="1"/>
        <v>292.02973761333521</v>
      </c>
      <c r="K101" s="13">
        <f ca="1"/>
        <v>0</v>
      </c>
      <c r="L101" s="13">
        <f ca="1"/>
        <v>0</v>
      </c>
      <c r="M101" s="13">
        <f ca="1"/>
        <v>0</v>
      </c>
      <c r="N101" s="13">
        <f ca="1"/>
        <v>0</v>
      </c>
      <c r="P101" s="13">
        <f ca="1"/>
        <v>11.256281407035177</v>
      </c>
      <c r="Q101" s="13">
        <f ca="1"/>
        <v>4.1100231879849264E-2</v>
      </c>
      <c r="R101" s="13">
        <f ca="1"/>
        <v>5.7836935265099948E-2</v>
      </c>
      <c r="S101" s="13">
        <f ca="1"/>
        <v>0.18052760265209855</v>
      </c>
    </row>
    <row r="102" spans="1:19">
      <c r="A102" s="44">
        <f ca="1"/>
        <v>11.457286432160805</v>
      </c>
      <c r="B102" s="44">
        <f ca="1"/>
        <v>303.49008421127274</v>
      </c>
      <c r="D102" s="13">
        <f ca="1"/>
        <v>11.457286432160805</v>
      </c>
      <c r="E102" s="13">
        <f ca="1"/>
        <v>303.49008421127274</v>
      </c>
      <c r="F102" s="13">
        <f ca="1"/>
        <v>300.2410515976124</v>
      </c>
      <c r="G102" s="13">
        <f ca="1"/>
        <v>308.45236558188958</v>
      </c>
      <c r="H102" s="13">
        <f ca="1"/>
        <v>305.71526092046389</v>
      </c>
      <c r="I102" s="13">
        <f ca="1"/>
        <v>294.7668422747609</v>
      </c>
      <c r="J102" s="13">
        <f ca="1"/>
        <v>292.02973761333521</v>
      </c>
      <c r="K102" s="13">
        <f ca="1"/>
        <v>0</v>
      </c>
      <c r="L102" s="13">
        <f ca="1"/>
        <v>1</v>
      </c>
      <c r="M102" s="13">
        <f ca="1"/>
        <v>0</v>
      </c>
      <c r="N102" s="13">
        <f ca="1"/>
        <v>0</v>
      </c>
      <c r="P102" s="13">
        <f ca="1"/>
        <v>11.457286432160805</v>
      </c>
      <c r="Q102" s="13">
        <f ca="1"/>
        <v>4.070823900752895E-2</v>
      </c>
      <c r="R102" s="13">
        <f ca="1"/>
        <v>5.7836935265099948E-2</v>
      </c>
      <c r="S102" s="13">
        <f ca="1"/>
        <v>0.18052760265209855</v>
      </c>
    </row>
    <row r="103" spans="1:19">
      <c r="A103" s="44">
        <f ca="1"/>
        <v>11.658291457286433</v>
      </c>
      <c r="B103" s="44">
        <f ca="1"/>
        <v>303.34761392967511</v>
      </c>
      <c r="D103" s="13">
        <f ca="1"/>
        <v>11.658291457286433</v>
      </c>
      <c r="E103" s="13">
        <f ca="1"/>
        <v>303.34761392967511</v>
      </c>
      <c r="F103" s="13">
        <f ca="1"/>
        <v>300.2410515976124</v>
      </c>
      <c r="G103" s="13">
        <f ca="1"/>
        <v>308.45236558188958</v>
      </c>
      <c r="H103" s="13">
        <f ca="1"/>
        <v>305.71526092046389</v>
      </c>
      <c r="I103" s="13">
        <f ca="1"/>
        <v>294.7668422747609</v>
      </c>
      <c r="J103" s="13">
        <f ca="1"/>
        <v>292.02973761333521</v>
      </c>
      <c r="K103" s="13">
        <f ca="1"/>
        <v>0</v>
      </c>
      <c r="L103" s="13">
        <f ca="1"/>
        <v>1</v>
      </c>
      <c r="M103" s="13">
        <f ca="1"/>
        <v>0</v>
      </c>
      <c r="N103" s="13">
        <f ca="1"/>
        <v>0</v>
      </c>
      <c r="P103" s="13">
        <f ca="1"/>
        <v>11.658291457286433</v>
      </c>
      <c r="Q103" s="13">
        <f ca="1"/>
        <v>1.8112322094788458E-2</v>
      </c>
      <c r="R103" s="13">
        <f ca="1"/>
        <v>5.7836935265099948E-2</v>
      </c>
      <c r="S103" s="13">
        <f ca="1"/>
        <v>0.18052760265209855</v>
      </c>
    </row>
    <row r="104" spans="1:19">
      <c r="A104" s="44">
        <f ca="1"/>
        <v>11.859296482412061</v>
      </c>
      <c r="B104" s="44">
        <f ca="1"/>
        <v>303.27079394826177</v>
      </c>
      <c r="D104" s="13">
        <f ca="1"/>
        <v>11.859296482412061</v>
      </c>
      <c r="E104" s="13">
        <f ca="1"/>
        <v>303.27079394826177</v>
      </c>
      <c r="F104" s="13">
        <f ca="1"/>
        <v>300.2410515976124</v>
      </c>
      <c r="G104" s="13">
        <f ca="1"/>
        <v>308.45236558188958</v>
      </c>
      <c r="H104" s="13">
        <f ca="1"/>
        <v>305.71526092046389</v>
      </c>
      <c r="I104" s="13">
        <f ca="1"/>
        <v>294.7668422747609</v>
      </c>
      <c r="J104" s="13">
        <f ca="1"/>
        <v>292.02973761333521</v>
      </c>
      <c r="K104" s="13">
        <f ca="1"/>
        <v>0</v>
      </c>
      <c r="L104" s="13">
        <f ca="1"/>
        <v>1</v>
      </c>
      <c r="M104" s="13">
        <f ca="1"/>
        <v>0</v>
      </c>
      <c r="N104" s="13">
        <f ca="1"/>
        <v>0</v>
      </c>
      <c r="P104" s="13">
        <f ca="1"/>
        <v>11.859296482412061</v>
      </c>
      <c r="Q104" s="13">
        <f ca="1"/>
        <v>9.7661647823757657E-3</v>
      </c>
      <c r="R104" s="13">
        <f ca="1"/>
        <v>5.7836935265099948E-2</v>
      </c>
      <c r="S104" s="13">
        <f ca="1"/>
        <v>0.18052760265209855</v>
      </c>
    </row>
    <row r="105" spans="1:19">
      <c r="A105" s="44">
        <f ca="1"/>
        <v>12.060301507537689</v>
      </c>
      <c r="B105" s="44">
        <f ca="1"/>
        <v>303.11390560604281</v>
      </c>
      <c r="D105" s="13">
        <f ca="1"/>
        <v>12.060301507537689</v>
      </c>
      <c r="E105" s="13">
        <f ca="1"/>
        <v>303.11390560604281</v>
      </c>
      <c r="F105" s="13">
        <f ca="1"/>
        <v>300.2410515976124</v>
      </c>
      <c r="G105" s="13">
        <f ca="1"/>
        <v>308.45236558188958</v>
      </c>
      <c r="H105" s="13">
        <f ca="1"/>
        <v>305.71526092046389</v>
      </c>
      <c r="I105" s="13">
        <f ca="1"/>
        <v>294.7668422747609</v>
      </c>
      <c r="J105" s="13">
        <f ca="1"/>
        <v>292.02973761333521</v>
      </c>
      <c r="K105" s="13">
        <f ca="1"/>
        <v>0</v>
      </c>
      <c r="L105" s="13">
        <f ca="1"/>
        <v>1</v>
      </c>
      <c r="M105" s="13">
        <f ca="1"/>
        <v>0</v>
      </c>
      <c r="N105" s="13">
        <f ca="1"/>
        <v>0</v>
      </c>
      <c r="P105" s="13">
        <f ca="1"/>
        <v>12.060301507537689</v>
      </c>
      <c r="Q105" s="13">
        <f ca="1"/>
        <v>1.9945297751375737E-2</v>
      </c>
      <c r="R105" s="13">
        <f ca="1"/>
        <v>5.7836935265099948E-2</v>
      </c>
      <c r="S105" s="13">
        <f ca="1"/>
        <v>0.18052760265209855</v>
      </c>
    </row>
    <row r="106" spans="1:19">
      <c r="A106" s="44">
        <f ca="1"/>
        <v>12.261306532663317</v>
      </c>
      <c r="B106" s="44">
        <f ca="1"/>
        <v>302.79814705892767</v>
      </c>
      <c r="D106" s="13">
        <f ca="1"/>
        <v>12.261306532663317</v>
      </c>
      <c r="E106" s="13">
        <f ca="1"/>
        <v>302.79814705892767</v>
      </c>
      <c r="F106" s="13">
        <f ca="1"/>
        <v>300.2410515976124</v>
      </c>
      <c r="G106" s="13">
        <f ca="1"/>
        <v>308.45236558188958</v>
      </c>
      <c r="H106" s="13">
        <f ca="1"/>
        <v>305.71526092046389</v>
      </c>
      <c r="I106" s="13">
        <f ca="1"/>
        <v>294.7668422747609</v>
      </c>
      <c r="J106" s="13">
        <f ca="1"/>
        <v>292.02973761333521</v>
      </c>
      <c r="K106" s="13">
        <f ca="1"/>
        <v>0</v>
      </c>
      <c r="L106" s="13">
        <f ca="1"/>
        <v>1</v>
      </c>
      <c r="M106" s="13">
        <f ca="1"/>
        <v>0</v>
      </c>
      <c r="N106" s="13">
        <f ca="1"/>
        <v>0</v>
      </c>
      <c r="P106" s="13">
        <f ca="1"/>
        <v>12.261306532663317</v>
      </c>
      <c r="Q106" s="13">
        <f ca="1"/>
        <v>4.0142550750925141E-2</v>
      </c>
      <c r="R106" s="13">
        <f ca="1"/>
        <v>5.7836935265099948E-2</v>
      </c>
      <c r="S106" s="13">
        <f ca="1"/>
        <v>0.18052760265209855</v>
      </c>
    </row>
    <row r="107" spans="1:19">
      <c r="A107" s="44">
        <f ca="1"/>
        <v>12.462311557788945</v>
      </c>
      <c r="B107" s="44">
        <f ca="1"/>
        <v>302.8634570048207</v>
      </c>
      <c r="D107" s="13">
        <f ca="1"/>
        <v>12.462311557788945</v>
      </c>
      <c r="E107" s="13">
        <f ca="1"/>
        <v>302.8634570048207</v>
      </c>
      <c r="F107" s="13">
        <f ca="1"/>
        <v>300.2410515976124</v>
      </c>
      <c r="G107" s="13">
        <f ca="1"/>
        <v>308.45236558188958</v>
      </c>
      <c r="H107" s="13">
        <f ca="1"/>
        <v>305.71526092046389</v>
      </c>
      <c r="I107" s="13">
        <f ca="1"/>
        <v>294.7668422747609</v>
      </c>
      <c r="J107" s="13">
        <f ca="1"/>
        <v>292.02973761333521</v>
      </c>
      <c r="K107" s="13">
        <f ca="1"/>
        <v>0</v>
      </c>
      <c r="L107" s="13">
        <f ca="1"/>
        <v>1</v>
      </c>
      <c r="M107" s="13">
        <f ca="1"/>
        <v>0</v>
      </c>
      <c r="N107" s="13">
        <f ca="1"/>
        <v>0</v>
      </c>
      <c r="P107" s="13">
        <f ca="1"/>
        <v>12.462311557788945</v>
      </c>
      <c r="Q107" s="13">
        <f ca="1"/>
        <v>8.3028878917260889E-3</v>
      </c>
      <c r="R107" s="13">
        <f ca="1"/>
        <v>5.7836935265099948E-2</v>
      </c>
      <c r="S107" s="13">
        <f ca="1"/>
        <v>0.18052760265209855</v>
      </c>
    </row>
    <row r="108" spans="1:19">
      <c r="A108" s="44">
        <f ca="1"/>
        <v>12.663316582914574</v>
      </c>
      <c r="B108" s="44">
        <f ca="1"/>
        <v>303.26192440078131</v>
      </c>
      <c r="D108" s="13">
        <f ca="1"/>
        <v>12.663316582914574</v>
      </c>
      <c r="E108" s="13">
        <f ca="1"/>
        <v>303.26192440078131</v>
      </c>
      <c r="F108" s="13">
        <f ca="1"/>
        <v>300.2410515976124</v>
      </c>
      <c r="G108" s="13">
        <f ca="1"/>
        <v>308.45236558188958</v>
      </c>
      <c r="H108" s="13">
        <f ca="1"/>
        <v>305.71526092046389</v>
      </c>
      <c r="I108" s="13">
        <f ca="1"/>
        <v>294.7668422747609</v>
      </c>
      <c r="J108" s="13">
        <f ca="1"/>
        <v>292.02973761333521</v>
      </c>
      <c r="K108" s="13">
        <f ca="1"/>
        <v>0</v>
      </c>
      <c r="L108" s="13">
        <f ca="1"/>
        <v>1</v>
      </c>
      <c r="M108" s="13">
        <f ca="1"/>
        <v>0</v>
      </c>
      <c r="N108" s="13">
        <f ca="1"/>
        <v>0</v>
      </c>
      <c r="P108" s="13">
        <f ca="1"/>
        <v>12.663316582914574</v>
      </c>
      <c r="Q108" s="13">
        <f ca="1"/>
        <v>5.0657370358070233E-2</v>
      </c>
      <c r="R108" s="13">
        <f ca="1"/>
        <v>5.7836935265099948E-2</v>
      </c>
      <c r="S108" s="13">
        <f ca="1"/>
        <v>0.18052760265209855</v>
      </c>
    </row>
    <row r="109" spans="1:19">
      <c r="A109" s="44">
        <f ca="1"/>
        <v>12.864321608040202</v>
      </c>
      <c r="B109" s="44">
        <f ca="1"/>
        <v>302.80473560282599</v>
      </c>
      <c r="D109" s="13">
        <f ca="1"/>
        <v>12.864321608040202</v>
      </c>
      <c r="E109" s="13">
        <f ca="1"/>
        <v>302.80473560282599</v>
      </c>
      <c r="F109" s="13">
        <f ca="1"/>
        <v>300.2410515976124</v>
      </c>
      <c r="G109" s="13">
        <f ca="1"/>
        <v>308.45236558188958</v>
      </c>
      <c r="H109" s="13">
        <f ca="1"/>
        <v>305.71526092046389</v>
      </c>
      <c r="I109" s="13">
        <f ca="1"/>
        <v>294.7668422747609</v>
      </c>
      <c r="J109" s="13">
        <f ca="1"/>
        <v>292.02973761333521</v>
      </c>
      <c r="K109" s="13">
        <f ca="1"/>
        <v>0</v>
      </c>
      <c r="L109" s="13">
        <f ca="1"/>
        <v>1</v>
      </c>
      <c r="M109" s="13">
        <f ca="1"/>
        <v>0</v>
      </c>
      <c r="N109" s="13">
        <f ca="1"/>
        <v>0</v>
      </c>
      <c r="P109" s="13">
        <f ca="1"/>
        <v>12.864321608040202</v>
      </c>
      <c r="Q109" s="13">
        <f ca="1"/>
        <v>5.8122653186594465E-2</v>
      </c>
      <c r="R109" s="13">
        <f ca="1"/>
        <v>5.7836935265099948E-2</v>
      </c>
      <c r="S109" s="13">
        <f ca="1"/>
        <v>0.18052760265209855</v>
      </c>
    </row>
    <row r="110" spans="1:19">
      <c r="A110" s="44">
        <f ca="1"/>
        <v>13.06532663316583</v>
      </c>
      <c r="B110" s="44">
        <f ca="1"/>
        <v>302.78054351518244</v>
      </c>
      <c r="D110" s="13">
        <f ca="1"/>
        <v>13.06532663316583</v>
      </c>
      <c r="E110" s="13">
        <f ca="1"/>
        <v>302.78054351518244</v>
      </c>
      <c r="F110" s="13">
        <f ca="1"/>
        <v>300.2410515976124</v>
      </c>
      <c r="G110" s="13">
        <f ca="1"/>
        <v>308.45236558188958</v>
      </c>
      <c r="H110" s="13">
        <f ca="1"/>
        <v>305.71526092046389</v>
      </c>
      <c r="I110" s="13">
        <f ca="1"/>
        <v>294.7668422747609</v>
      </c>
      <c r="J110" s="13">
        <f ca="1"/>
        <v>292.02973761333521</v>
      </c>
      <c r="K110" s="13">
        <f ca="1"/>
        <v>0</v>
      </c>
      <c r="L110" s="13">
        <f ca="1"/>
        <v>1</v>
      </c>
      <c r="M110" s="13">
        <f ca="1"/>
        <v>0</v>
      </c>
      <c r="N110" s="13">
        <f ca="1"/>
        <v>0</v>
      </c>
      <c r="P110" s="13">
        <f ca="1"/>
        <v>13.06532663316583</v>
      </c>
      <c r="Q110" s="13">
        <f ca="1"/>
        <v>3.0755528706166175E-3</v>
      </c>
      <c r="R110" s="13">
        <f ca="1"/>
        <v>5.7836935265099948E-2</v>
      </c>
      <c r="S110" s="13">
        <f ca="1"/>
        <v>0.18052760265209855</v>
      </c>
    </row>
    <row r="111" spans="1:19">
      <c r="A111" s="44">
        <f ca="1"/>
        <v>13.266331658291458</v>
      </c>
      <c r="B111" s="44">
        <f ca="1"/>
        <v>302.96044965349506</v>
      </c>
      <c r="D111" s="13">
        <f ca="1"/>
        <v>13.266331658291458</v>
      </c>
      <c r="E111" s="13">
        <f ca="1"/>
        <v>302.96044965349506</v>
      </c>
      <c r="F111" s="13">
        <f ca="1"/>
        <v>300.2410515976124</v>
      </c>
      <c r="G111" s="13">
        <f ca="1"/>
        <v>308.45236558188958</v>
      </c>
      <c r="H111" s="13">
        <f ca="1"/>
        <v>305.71526092046389</v>
      </c>
      <c r="I111" s="13">
        <f ca="1"/>
        <v>294.7668422747609</v>
      </c>
      <c r="J111" s="13">
        <f ca="1"/>
        <v>292.02973761333521</v>
      </c>
      <c r="K111" s="13">
        <f ca="1"/>
        <v>0</v>
      </c>
      <c r="L111" s="13">
        <f ca="1"/>
        <v>1</v>
      </c>
      <c r="M111" s="13">
        <f ca="1"/>
        <v>0</v>
      </c>
      <c r="N111" s="13">
        <f ca="1"/>
        <v>0</v>
      </c>
      <c r="P111" s="13">
        <f ca="1"/>
        <v>13.266331658291458</v>
      </c>
      <c r="Q111" s="13">
        <f ca="1"/>
        <v>2.2871562317468522E-2</v>
      </c>
      <c r="R111" s="13">
        <f ca="1"/>
        <v>5.7836935265099948E-2</v>
      </c>
      <c r="S111" s="13">
        <f ca="1"/>
        <v>0.18052760265209855</v>
      </c>
    </row>
    <row r="112" spans="1:19">
      <c r="A112" s="44">
        <f ca="1"/>
        <v>13.467336683417086</v>
      </c>
      <c r="B112" s="44">
        <f ca="1"/>
        <v>302.52258511702604</v>
      </c>
      <c r="D112" s="13">
        <f ca="1"/>
        <v>13.467336683417086</v>
      </c>
      <c r="E112" s="13">
        <f ca="1"/>
        <v>302.52258511702604</v>
      </c>
      <c r="F112" s="13">
        <f ca="1"/>
        <v>300.2410515976124</v>
      </c>
      <c r="G112" s="13">
        <f ca="1"/>
        <v>308.45236558188958</v>
      </c>
      <c r="H112" s="13">
        <f ca="1"/>
        <v>305.71526092046389</v>
      </c>
      <c r="I112" s="13">
        <f ca="1"/>
        <v>294.7668422747609</v>
      </c>
      <c r="J112" s="13">
        <f ca="1"/>
        <v>292.02973761333521</v>
      </c>
      <c r="K112" s="13">
        <f ca="1"/>
        <v>0</v>
      </c>
      <c r="L112" s="13">
        <f ca="1"/>
        <v>1</v>
      </c>
      <c r="M112" s="13">
        <f ca="1"/>
        <v>0</v>
      </c>
      <c r="N112" s="13">
        <f ca="1"/>
        <v>0</v>
      </c>
      <c r="P112" s="13">
        <f ca="1"/>
        <v>13.467336683417086</v>
      </c>
      <c r="Q112" s="13">
        <f ca="1"/>
        <v>5.5665949624567876E-2</v>
      </c>
      <c r="R112" s="13">
        <f ca="1"/>
        <v>5.7836935265099948E-2</v>
      </c>
      <c r="S112" s="13">
        <f ca="1"/>
        <v>0.18052760265209855</v>
      </c>
    </row>
    <row r="113" spans="1:19">
      <c r="A113" s="44">
        <f ca="1"/>
        <v>13.668341708542714</v>
      </c>
      <c r="B113" s="44">
        <f ca="1"/>
        <v>302.80614619325144</v>
      </c>
      <c r="D113" s="13">
        <f ca="1"/>
        <v>13.668341708542714</v>
      </c>
      <c r="E113" s="13">
        <f ca="1"/>
        <v>302.80614619325144</v>
      </c>
      <c r="F113" s="13">
        <f ca="1"/>
        <v>300.2410515976124</v>
      </c>
      <c r="G113" s="13">
        <f ca="1"/>
        <v>308.45236558188958</v>
      </c>
      <c r="H113" s="13">
        <f ca="1"/>
        <v>305.71526092046389</v>
      </c>
      <c r="I113" s="13">
        <f ca="1"/>
        <v>294.7668422747609</v>
      </c>
      <c r="J113" s="13">
        <f ca="1"/>
        <v>292.02973761333521</v>
      </c>
      <c r="K113" s="13">
        <f ca="1"/>
        <v>0</v>
      </c>
      <c r="L113" s="13">
        <f ca="1"/>
        <v>1</v>
      </c>
      <c r="M113" s="13">
        <f ca="1"/>
        <v>0</v>
      </c>
      <c r="N113" s="13">
        <f ca="1"/>
        <v>0</v>
      </c>
      <c r="P113" s="13">
        <f ca="1"/>
        <v>13.668341708542714</v>
      </c>
      <c r="Q113" s="13">
        <f ca="1"/>
        <v>3.6049269283007855E-2</v>
      </c>
      <c r="R113" s="13">
        <f ca="1"/>
        <v>5.7836935265099948E-2</v>
      </c>
      <c r="S113" s="13">
        <f ca="1"/>
        <v>0.18052760265209855</v>
      </c>
    </row>
    <row r="114" spans="1:19">
      <c r="A114" s="44">
        <f ca="1"/>
        <v>13.869346733668342</v>
      </c>
      <c r="B114" s="44">
        <f ca="1"/>
        <v>302.9681816514717</v>
      </c>
      <c r="D114" s="13">
        <f ca="1"/>
        <v>13.869346733668342</v>
      </c>
      <c r="E114" s="13">
        <f ca="1"/>
        <v>302.9681816514717</v>
      </c>
      <c r="F114" s="13">
        <f ca="1"/>
        <v>300.2410515976124</v>
      </c>
      <c r="G114" s="13">
        <f ca="1"/>
        <v>308.45236558188958</v>
      </c>
      <c r="H114" s="13">
        <f ca="1"/>
        <v>305.71526092046389</v>
      </c>
      <c r="I114" s="13">
        <f ca="1"/>
        <v>294.7668422747609</v>
      </c>
      <c r="J114" s="13">
        <f ca="1"/>
        <v>292.02973761333521</v>
      </c>
      <c r="K114" s="13">
        <f ca="1"/>
        <v>0</v>
      </c>
      <c r="L114" s="13">
        <f ca="1"/>
        <v>1</v>
      </c>
      <c r="M114" s="13">
        <f ca="1"/>
        <v>0</v>
      </c>
      <c r="N114" s="13">
        <f ca="1"/>
        <v>0</v>
      </c>
      <c r="P114" s="13">
        <f ca="1"/>
        <v>13.869346733668342</v>
      </c>
      <c r="Q114" s="13">
        <f ca="1"/>
        <v>2.0599653325249104E-2</v>
      </c>
      <c r="R114" s="13">
        <f ca="1"/>
        <v>5.7836935265099948E-2</v>
      </c>
      <c r="S114" s="13">
        <f ca="1"/>
        <v>0.18052760265209855</v>
      </c>
    </row>
    <row r="115" spans="1:19">
      <c r="A115" s="44">
        <f ca="1"/>
        <v>14.07035175879397</v>
      </c>
      <c r="B115" s="44">
        <f ca="1"/>
        <v>302.83519287914123</v>
      </c>
      <c r="D115" s="13">
        <f ca="1"/>
        <v>14.07035175879397</v>
      </c>
      <c r="E115" s="13">
        <f ca="1"/>
        <v>302.83519287914123</v>
      </c>
      <c r="F115" s="13">
        <f ca="1"/>
        <v>300.2410515976124</v>
      </c>
      <c r="G115" s="13">
        <f ca="1"/>
        <v>308.45236558188958</v>
      </c>
      <c r="H115" s="13">
        <f ca="1"/>
        <v>305.71526092046389</v>
      </c>
      <c r="I115" s="13">
        <f ca="1"/>
        <v>294.7668422747609</v>
      </c>
      <c r="J115" s="13">
        <f ca="1"/>
        <v>292.02973761333521</v>
      </c>
      <c r="K115" s="13">
        <f ca="1"/>
        <v>0</v>
      </c>
      <c r="L115" s="13">
        <f ca="1"/>
        <v>1</v>
      </c>
      <c r="M115" s="13">
        <f ca="1"/>
        <v>0</v>
      </c>
      <c r="N115" s="13">
        <f ca="1"/>
        <v>0</v>
      </c>
      <c r="P115" s="13">
        <f ca="1"/>
        <v>14.07035175879397</v>
      </c>
      <c r="Q115" s="13">
        <f ca="1"/>
        <v>1.6906932817347425E-2</v>
      </c>
      <c r="R115" s="13">
        <f ca="1"/>
        <v>5.7836935265099948E-2</v>
      </c>
      <c r="S115" s="13">
        <f ca="1"/>
        <v>0.18052760265209855</v>
      </c>
    </row>
    <row r="116" spans="1:19">
      <c r="A116" s="44">
        <f ca="1"/>
        <v>14.271356783919598</v>
      </c>
      <c r="B116" s="44">
        <f ca="1"/>
        <v>302.86018096789212</v>
      </c>
      <c r="D116" s="13">
        <f ca="1"/>
        <v>14.271356783919598</v>
      </c>
      <c r="E116" s="13">
        <f ca="1"/>
        <v>302.86018096789212</v>
      </c>
      <c r="F116" s="13">
        <f ca="1"/>
        <v>300.2410515976124</v>
      </c>
      <c r="G116" s="13">
        <f ca="1"/>
        <v>308.45236558188958</v>
      </c>
      <c r="H116" s="13">
        <f ca="1"/>
        <v>305.71526092046389</v>
      </c>
      <c r="I116" s="13">
        <f ca="1"/>
        <v>294.7668422747609</v>
      </c>
      <c r="J116" s="13">
        <f ca="1"/>
        <v>292.02973761333521</v>
      </c>
      <c r="K116" s="13">
        <f ca="1"/>
        <v>0</v>
      </c>
      <c r="L116" s="13">
        <f ca="1"/>
        <v>1</v>
      </c>
      <c r="M116" s="13">
        <f ca="1"/>
        <v>0</v>
      </c>
      <c r="N116" s="13">
        <f ca="1"/>
        <v>0</v>
      </c>
      <c r="P116" s="13">
        <f ca="1"/>
        <v>14.271356783919598</v>
      </c>
      <c r="Q116" s="13">
        <f ca="1"/>
        <v>3.1767489115199737E-3</v>
      </c>
      <c r="R116" s="13">
        <f ca="1"/>
        <v>5.7836935265099948E-2</v>
      </c>
      <c r="S116" s="13">
        <f ca="1"/>
        <v>0.18052760265209855</v>
      </c>
    </row>
    <row r="117" spans="1:19">
      <c r="A117" s="44">
        <f ca="1"/>
        <v>14.472361809045227</v>
      </c>
      <c r="B117" s="44">
        <f ca="1"/>
        <v>302.57416108805722</v>
      </c>
      <c r="D117" s="13">
        <f ca="1"/>
        <v>14.472361809045227</v>
      </c>
      <c r="E117" s="13">
        <f ca="1"/>
        <v>302.57416108805722</v>
      </c>
      <c r="F117" s="13">
        <f ca="1"/>
        <v>300.2410515976124</v>
      </c>
      <c r="G117" s="13">
        <f ca="1"/>
        <v>308.45236558188958</v>
      </c>
      <c r="H117" s="13">
        <f ca="1"/>
        <v>305.71526092046389</v>
      </c>
      <c r="I117" s="13">
        <f ca="1"/>
        <v>294.7668422747609</v>
      </c>
      <c r="J117" s="13">
        <f ca="1"/>
        <v>292.02973761333521</v>
      </c>
      <c r="K117" s="13">
        <f ca="1"/>
        <v>0</v>
      </c>
      <c r="L117" s="13">
        <f ca="1"/>
        <v>1</v>
      </c>
      <c r="M117" s="13">
        <f ca="1"/>
        <v>0</v>
      </c>
      <c r="N117" s="13">
        <f ca="1"/>
        <v>0</v>
      </c>
      <c r="P117" s="13">
        <f ca="1"/>
        <v>14.472361809045227</v>
      </c>
      <c r="Q117" s="13">
        <f ca="1"/>
        <v>3.636185828363088E-2</v>
      </c>
      <c r="R117" s="13">
        <f ca="1"/>
        <v>5.7836935265099948E-2</v>
      </c>
      <c r="S117" s="13">
        <f ca="1"/>
        <v>0.18052760265209855</v>
      </c>
    </row>
    <row r="118" spans="1:19">
      <c r="A118" s="44">
        <f ca="1"/>
        <v>14.673366834170855</v>
      </c>
      <c r="B118" s="44">
        <f ca="1"/>
        <v>302.58554014895162</v>
      </c>
      <c r="D118" s="13">
        <f ca="1"/>
        <v>14.673366834170855</v>
      </c>
      <c r="E118" s="13">
        <f ca="1"/>
        <v>302.58554014895162</v>
      </c>
      <c r="F118" s="13">
        <f ca="1"/>
        <v>300.2410515976124</v>
      </c>
      <c r="G118" s="13">
        <f ca="1"/>
        <v>308.45236558188958</v>
      </c>
      <c r="H118" s="13">
        <f ca="1"/>
        <v>305.71526092046389</v>
      </c>
      <c r="I118" s="13">
        <f ca="1"/>
        <v>294.7668422747609</v>
      </c>
      <c r="J118" s="13">
        <f ca="1"/>
        <v>292.02973761333521</v>
      </c>
      <c r="K118" s="13">
        <f ca="1"/>
        <v>0</v>
      </c>
      <c r="L118" s="13">
        <f ca="1"/>
        <v>1</v>
      </c>
      <c r="M118" s="13">
        <f ca="1"/>
        <v>0</v>
      </c>
      <c r="N118" s="13">
        <f ca="1"/>
        <v>0</v>
      </c>
      <c r="P118" s="13">
        <f ca="1"/>
        <v>14.673366834170855</v>
      </c>
      <c r="Q118" s="13">
        <f ca="1"/>
        <v>1.4466260173305919E-3</v>
      </c>
      <c r="R118" s="13">
        <f ca="1"/>
        <v>5.7836935265099948E-2</v>
      </c>
      <c r="S118" s="13">
        <f ca="1"/>
        <v>0.18052760265209855</v>
      </c>
    </row>
    <row r="119" spans="1:19">
      <c r="A119" s="44">
        <f ca="1"/>
        <v>14.874371859296483</v>
      </c>
      <c r="B119" s="44">
        <f ca="1"/>
        <v>302.91110040641178</v>
      </c>
      <c r="D119" s="13">
        <f ca="1"/>
        <v>14.874371859296483</v>
      </c>
      <c r="E119" s="13">
        <f ca="1"/>
        <v>302.91110040641178</v>
      </c>
      <c r="F119" s="13">
        <f ca="1"/>
        <v>300.2410515976124</v>
      </c>
      <c r="G119" s="13">
        <f ca="1"/>
        <v>308.45236558188958</v>
      </c>
      <c r="H119" s="13">
        <f ca="1"/>
        <v>305.71526092046389</v>
      </c>
      <c r="I119" s="13">
        <f ca="1"/>
        <v>294.7668422747609</v>
      </c>
      <c r="J119" s="13">
        <f ca="1"/>
        <v>292.02973761333521</v>
      </c>
      <c r="K119" s="13">
        <f ca="1"/>
        <v>0</v>
      </c>
      <c r="L119" s="13">
        <f ca="1"/>
        <v>1</v>
      </c>
      <c r="M119" s="13">
        <f ca="1"/>
        <v>0</v>
      </c>
      <c r="N119" s="13">
        <f ca="1"/>
        <v>0</v>
      </c>
      <c r="P119" s="13">
        <f ca="1"/>
        <v>14.874371859296483</v>
      </c>
      <c r="Q119" s="13">
        <f ca="1"/>
        <v>4.1388647360393015E-2</v>
      </c>
      <c r="R119" s="13">
        <f ca="1"/>
        <v>5.7836935265099948E-2</v>
      </c>
      <c r="S119" s="13">
        <f ca="1"/>
        <v>0.18052760265209855</v>
      </c>
    </row>
    <row r="120" spans="1:19">
      <c r="A120" s="44">
        <f ca="1"/>
        <v>15.075376884422111</v>
      </c>
      <c r="B120" s="44">
        <f ca="1"/>
        <v>297.05126360582341</v>
      </c>
      <c r="D120" s="13">
        <f ca="1"/>
        <v>15.075376884422111</v>
      </c>
      <c r="E120" s="13">
        <f ca="1"/>
        <v>297.05126360582341</v>
      </c>
      <c r="F120" s="13">
        <f ca="1"/>
        <v>300.2410515976124</v>
      </c>
      <c r="G120" s="13">
        <f ca="1"/>
        <v>308.45236558188958</v>
      </c>
      <c r="H120" s="13">
        <f ca="1"/>
        <v>305.71526092046389</v>
      </c>
      <c r="I120" s="13">
        <f ca="1"/>
        <v>294.7668422747609</v>
      </c>
      <c r="J120" s="13">
        <f ca="1"/>
        <v>292.02973761333521</v>
      </c>
      <c r="K120" s="13">
        <f ca="1"/>
        <v>0</v>
      </c>
      <c r="L120" s="13">
        <f ca="1"/>
        <v>0</v>
      </c>
      <c r="M120" s="13">
        <f ca="1"/>
        <v>0</v>
      </c>
      <c r="N120" s="13">
        <f ca="1"/>
        <v>0</v>
      </c>
      <c r="P120" s="13">
        <f ca="1"/>
        <v>15.075376884422111</v>
      </c>
      <c r="Q120" s="13">
        <f ca="1"/>
        <v>0.74496414525869925</v>
      </c>
      <c r="R120" s="13">
        <f ca="1"/>
        <v>5.7836935265099948E-2</v>
      </c>
      <c r="S120" s="13">
        <f ca="1"/>
        <v>0.18052760265209855</v>
      </c>
    </row>
    <row r="121" spans="1:19">
      <c r="A121" s="44">
        <f ca="1"/>
        <v>15.276381909547739</v>
      </c>
      <c r="B121" s="44">
        <f ca="1"/>
        <v>297.38013018324483</v>
      </c>
      <c r="D121" s="13">
        <f ca="1"/>
        <v>15.276381909547739</v>
      </c>
      <c r="E121" s="13">
        <f ca="1"/>
        <v>297.38013018324483</v>
      </c>
      <c r="F121" s="13">
        <f ca="1"/>
        <v>300.2410515976124</v>
      </c>
      <c r="G121" s="13">
        <f ca="1"/>
        <v>308.45236558188958</v>
      </c>
      <c r="H121" s="13">
        <f ca="1"/>
        <v>305.71526092046389</v>
      </c>
      <c r="I121" s="13">
        <f ca="1"/>
        <v>294.7668422747609</v>
      </c>
      <c r="J121" s="13">
        <f ca="1"/>
        <v>292.02973761333521</v>
      </c>
      <c r="K121" s="13">
        <f ca="1"/>
        <v>0</v>
      </c>
      <c r="L121" s="13">
        <f ca="1"/>
        <v>0</v>
      </c>
      <c r="M121" s="13">
        <f ca="1"/>
        <v>0</v>
      </c>
      <c r="N121" s="13">
        <f ca="1"/>
        <v>0</v>
      </c>
      <c r="P121" s="13">
        <f ca="1"/>
        <v>15.276381909547739</v>
      </c>
      <c r="Q121" s="13">
        <f ca="1"/>
        <v>4.180898156213235E-2</v>
      </c>
      <c r="R121" s="13">
        <f ca="1"/>
        <v>5.7836935265099948E-2</v>
      </c>
      <c r="S121" s="13">
        <f ca="1"/>
        <v>0.18052760265209855</v>
      </c>
    </row>
    <row r="122" spans="1:19">
      <c r="A122" s="44">
        <f ca="1"/>
        <v>15.477386934673367</v>
      </c>
      <c r="B122" s="44">
        <f ca="1"/>
        <v>297.19522783582897</v>
      </c>
      <c r="D122" s="13">
        <f ca="1"/>
        <v>15.477386934673367</v>
      </c>
      <c r="E122" s="13">
        <f ca="1"/>
        <v>297.19522783582897</v>
      </c>
      <c r="F122" s="13">
        <f ca="1"/>
        <v>300.2410515976124</v>
      </c>
      <c r="G122" s="13">
        <f ca="1"/>
        <v>308.45236558188958</v>
      </c>
      <c r="H122" s="13">
        <f ca="1"/>
        <v>305.71526092046389</v>
      </c>
      <c r="I122" s="13">
        <f ca="1"/>
        <v>294.7668422747609</v>
      </c>
      <c r="J122" s="13">
        <f ca="1"/>
        <v>292.02973761333521</v>
      </c>
      <c r="K122" s="13">
        <f ca="1"/>
        <v>0</v>
      </c>
      <c r="L122" s="13">
        <f ca="1"/>
        <v>0</v>
      </c>
      <c r="M122" s="13">
        <f ca="1"/>
        <v>0</v>
      </c>
      <c r="N122" s="13">
        <f ca="1"/>
        <v>0</v>
      </c>
      <c r="P122" s="13">
        <f ca="1"/>
        <v>15.477386934673367</v>
      </c>
      <c r="Q122" s="13">
        <f ca="1"/>
        <v>2.3506733017743843E-2</v>
      </c>
      <c r="R122" s="13">
        <f ca="1"/>
        <v>5.7836935265099948E-2</v>
      </c>
      <c r="S122" s="13">
        <f ca="1"/>
        <v>0.18052760265209855</v>
      </c>
    </row>
    <row r="123" spans="1:19">
      <c r="A123" s="44">
        <f ca="1"/>
        <v>15.678391959798995</v>
      </c>
      <c r="B123" s="44">
        <f ca="1"/>
        <v>297.13036116914435</v>
      </c>
      <c r="D123" s="13">
        <f ca="1"/>
        <v>15.678391959798995</v>
      </c>
      <c r="E123" s="13">
        <f ca="1"/>
        <v>297.13036116914435</v>
      </c>
      <c r="F123" s="13">
        <f ca="1"/>
        <v>300.2410515976124</v>
      </c>
      <c r="G123" s="13">
        <f ca="1"/>
        <v>308.45236558188958</v>
      </c>
      <c r="H123" s="13">
        <f ca="1"/>
        <v>305.71526092046389</v>
      </c>
      <c r="I123" s="13">
        <f ca="1"/>
        <v>294.7668422747609</v>
      </c>
      <c r="J123" s="13">
        <f ca="1"/>
        <v>292.02973761333521</v>
      </c>
      <c r="K123" s="13">
        <f ca="1"/>
        <v>0</v>
      </c>
      <c r="L123" s="13">
        <f ca="1"/>
        <v>0</v>
      </c>
      <c r="M123" s="13">
        <f ca="1"/>
        <v>0</v>
      </c>
      <c r="N123" s="13">
        <f ca="1"/>
        <v>0</v>
      </c>
      <c r="P123" s="13">
        <f ca="1"/>
        <v>15.678391959798995</v>
      </c>
      <c r="Q123" s="13">
        <f ca="1"/>
        <v>8.2465335719996043E-3</v>
      </c>
      <c r="R123" s="13">
        <f ca="1"/>
        <v>5.7836935265099948E-2</v>
      </c>
      <c r="S123" s="13">
        <f ca="1"/>
        <v>0.18052760265209855</v>
      </c>
    </row>
    <row r="124" spans="1:19">
      <c r="A124" s="44">
        <f ca="1"/>
        <v>15.879396984924623</v>
      </c>
      <c r="B124" s="44">
        <f ca="1"/>
        <v>297.44530028211102</v>
      </c>
      <c r="D124" s="13">
        <f ca="1"/>
        <v>15.879396984924623</v>
      </c>
      <c r="E124" s="13">
        <f ca="1"/>
        <v>297.44530028211102</v>
      </c>
      <c r="F124" s="13">
        <f ca="1"/>
        <v>300.2410515976124</v>
      </c>
      <c r="G124" s="13">
        <f ca="1"/>
        <v>308.45236558188958</v>
      </c>
      <c r="H124" s="13">
        <f ca="1"/>
        <v>305.71526092046389</v>
      </c>
      <c r="I124" s="13">
        <f ca="1"/>
        <v>294.7668422747609</v>
      </c>
      <c r="J124" s="13">
        <f ca="1"/>
        <v>292.02973761333521</v>
      </c>
      <c r="K124" s="13">
        <f ca="1"/>
        <v>0</v>
      </c>
      <c r="L124" s="13">
        <f ca="1"/>
        <v>0</v>
      </c>
      <c r="M124" s="13">
        <f ca="1"/>
        <v>0</v>
      </c>
      <c r="N124" s="13">
        <f ca="1"/>
        <v>0</v>
      </c>
      <c r="P124" s="13">
        <f ca="1"/>
        <v>15.879396984924623</v>
      </c>
      <c r="Q124" s="13">
        <f ca="1"/>
        <v>4.0038375655136106E-2</v>
      </c>
      <c r="R124" s="13">
        <f ca="1"/>
        <v>5.7836935265099948E-2</v>
      </c>
      <c r="S124" s="13">
        <f ca="1"/>
        <v>0.18052760265209855</v>
      </c>
    </row>
    <row r="125" spans="1:19">
      <c r="A125" s="44">
        <f ca="1"/>
        <v>16.080402010050253</v>
      </c>
      <c r="B125" s="44">
        <f ca="1"/>
        <v>297.35933738294068</v>
      </c>
      <c r="D125" s="13">
        <f ca="1"/>
        <v>16.080402010050253</v>
      </c>
      <c r="E125" s="13">
        <f ca="1"/>
        <v>297.35933738294068</v>
      </c>
      <c r="F125" s="13">
        <f ca="1"/>
        <v>300.2410515976124</v>
      </c>
      <c r="G125" s="13">
        <f ca="1"/>
        <v>308.45236558188958</v>
      </c>
      <c r="H125" s="13">
        <f ca="1"/>
        <v>305.71526092046389</v>
      </c>
      <c r="I125" s="13">
        <f ca="1"/>
        <v>294.7668422747609</v>
      </c>
      <c r="J125" s="13">
        <f ca="1"/>
        <v>292.02973761333521</v>
      </c>
      <c r="K125" s="13">
        <f ca="1"/>
        <v>0</v>
      </c>
      <c r="L125" s="13">
        <f ca="1"/>
        <v>0</v>
      </c>
      <c r="M125" s="13">
        <f ca="1"/>
        <v>0</v>
      </c>
      <c r="N125" s="13">
        <f ca="1"/>
        <v>0</v>
      </c>
      <c r="P125" s="13">
        <f ca="1"/>
        <v>16.080402010050253</v>
      </c>
      <c r="Q125" s="13">
        <f ca="1"/>
        <v>1.0928508742421343E-2</v>
      </c>
      <c r="R125" s="13">
        <f ca="1"/>
        <v>5.7836935265099948E-2</v>
      </c>
      <c r="S125" s="13">
        <f ca="1"/>
        <v>0.18052760265209855</v>
      </c>
    </row>
    <row r="126" spans="1:19">
      <c r="A126" s="44">
        <f ca="1"/>
        <v>16.281407035175882</v>
      </c>
      <c r="B126" s="44">
        <f ca="1"/>
        <v>297.90266991792282</v>
      </c>
      <c r="D126" s="13">
        <f ca="1"/>
        <v>16.281407035175882</v>
      </c>
      <c r="E126" s="13">
        <f ca="1"/>
        <v>297.90266991792282</v>
      </c>
      <c r="F126" s="13">
        <f ca="1"/>
        <v>300.2410515976124</v>
      </c>
      <c r="G126" s="13">
        <f ca="1"/>
        <v>308.45236558188958</v>
      </c>
      <c r="H126" s="13">
        <f ca="1"/>
        <v>305.71526092046389</v>
      </c>
      <c r="I126" s="13">
        <f ca="1"/>
        <v>294.7668422747609</v>
      </c>
      <c r="J126" s="13">
        <f ca="1"/>
        <v>292.02973761333521</v>
      </c>
      <c r="K126" s="13">
        <f ca="1"/>
        <v>0</v>
      </c>
      <c r="L126" s="13">
        <f ca="1"/>
        <v>0</v>
      </c>
      <c r="M126" s="13">
        <f ca="1"/>
        <v>0</v>
      </c>
      <c r="N126" s="13">
        <f ca="1"/>
        <v>0</v>
      </c>
      <c r="P126" s="13">
        <f ca="1"/>
        <v>16.281407035175882</v>
      </c>
      <c r="Q126" s="13">
        <f ca="1"/>
        <v>6.9074151941155154E-2</v>
      </c>
      <c r="R126" s="13">
        <f ca="1"/>
        <v>5.7836935265099948E-2</v>
      </c>
      <c r="S126" s="13">
        <f ca="1"/>
        <v>0.18052760265209855</v>
      </c>
    </row>
    <row r="127" spans="1:19">
      <c r="A127" s="44">
        <f ca="1"/>
        <v>16.48241206030151</v>
      </c>
      <c r="B127" s="44">
        <f ca="1"/>
        <v>297.7961408901221</v>
      </c>
      <c r="D127" s="13">
        <f ca="1"/>
        <v>16.48241206030151</v>
      </c>
      <c r="E127" s="13">
        <f ca="1"/>
        <v>297.7961408901221</v>
      </c>
      <c r="F127" s="13">
        <f ca="1"/>
        <v>300.2410515976124</v>
      </c>
      <c r="G127" s="13">
        <f ca="1"/>
        <v>308.45236558188958</v>
      </c>
      <c r="H127" s="13">
        <f ca="1"/>
        <v>305.71526092046389</v>
      </c>
      <c r="I127" s="13">
        <f ca="1"/>
        <v>294.7668422747609</v>
      </c>
      <c r="J127" s="13">
        <f ca="1"/>
        <v>292.02973761333521</v>
      </c>
      <c r="K127" s="13">
        <f ca="1"/>
        <v>0</v>
      </c>
      <c r="L127" s="13">
        <f ca="1"/>
        <v>1</v>
      </c>
      <c r="M127" s="13">
        <f ca="1"/>
        <v>0</v>
      </c>
      <c r="N127" s="13">
        <f ca="1"/>
        <v>0</v>
      </c>
      <c r="P127" s="13">
        <f ca="1"/>
        <v>16.48241206030151</v>
      </c>
      <c r="Q127" s="13">
        <f ca="1"/>
        <v>1.3543091529926903E-2</v>
      </c>
      <c r="R127" s="13">
        <f ca="1"/>
        <v>5.7836935265099948E-2</v>
      </c>
      <c r="S127" s="13">
        <f ca="1"/>
        <v>0.18052760265209855</v>
      </c>
    </row>
    <row r="128" spans="1:19">
      <c r="A128" s="44">
        <f ca="1"/>
        <v>16.683417085427138</v>
      </c>
      <c r="B128" s="44">
        <f ca="1"/>
        <v>297.60749709482172</v>
      </c>
      <c r="D128" s="13">
        <f ca="1"/>
        <v>16.683417085427138</v>
      </c>
      <c r="E128" s="13">
        <f ca="1"/>
        <v>297.60749709482172</v>
      </c>
      <c r="F128" s="13">
        <f ca="1"/>
        <v>300.2410515976124</v>
      </c>
      <c r="G128" s="13">
        <f ca="1"/>
        <v>308.45236558188958</v>
      </c>
      <c r="H128" s="13">
        <f ca="1"/>
        <v>305.71526092046389</v>
      </c>
      <c r="I128" s="13">
        <f ca="1"/>
        <v>294.7668422747609</v>
      </c>
      <c r="J128" s="13">
        <f ca="1"/>
        <v>292.02973761333521</v>
      </c>
      <c r="K128" s="13">
        <f ca="1"/>
        <v>0</v>
      </c>
      <c r="L128" s="13">
        <f ca="1"/>
        <v>1</v>
      </c>
      <c r="M128" s="13">
        <f ca="1"/>
        <v>0</v>
      </c>
      <c r="N128" s="13">
        <f ca="1"/>
        <v>0</v>
      </c>
      <c r="P128" s="13">
        <f ca="1"/>
        <v>16.683417085427138</v>
      </c>
      <c r="Q128" s="13">
        <f ca="1"/>
        <v>2.398238526202531E-2</v>
      </c>
      <c r="R128" s="13">
        <f ca="1"/>
        <v>5.7836935265099948E-2</v>
      </c>
      <c r="S128" s="13">
        <f ca="1"/>
        <v>0.18052760265209855</v>
      </c>
    </row>
    <row r="129" spans="1:19">
      <c r="A129" s="44">
        <f ca="1"/>
        <v>16.884422110552766</v>
      </c>
      <c r="B129" s="44">
        <f ca="1"/>
        <v>297.75191583419138</v>
      </c>
      <c r="D129" s="13">
        <f ca="1"/>
        <v>16.884422110552766</v>
      </c>
      <c r="E129" s="13">
        <f ca="1"/>
        <v>297.75191583419138</v>
      </c>
      <c r="F129" s="13">
        <f ca="1"/>
        <v>300.2410515976124</v>
      </c>
      <c r="G129" s="13">
        <f ca="1"/>
        <v>308.45236558188958</v>
      </c>
      <c r="H129" s="13">
        <f ca="1"/>
        <v>305.71526092046389</v>
      </c>
      <c r="I129" s="13">
        <f ca="1"/>
        <v>294.7668422747609</v>
      </c>
      <c r="J129" s="13">
        <f ca="1"/>
        <v>292.02973761333521</v>
      </c>
      <c r="K129" s="13">
        <f ca="1"/>
        <v>0</v>
      </c>
      <c r="L129" s="13">
        <f ca="1"/>
        <v>1</v>
      </c>
      <c r="M129" s="13">
        <f ca="1"/>
        <v>0</v>
      </c>
      <c r="N129" s="13">
        <f ca="1"/>
        <v>0</v>
      </c>
      <c r="P129" s="13">
        <f ca="1"/>
        <v>16.884422110552766</v>
      </c>
      <c r="Q129" s="13">
        <f ca="1"/>
        <v>1.8360030559733606E-2</v>
      </c>
      <c r="R129" s="13">
        <f ca="1"/>
        <v>5.7836935265099948E-2</v>
      </c>
      <c r="S129" s="13">
        <f ca="1"/>
        <v>0.18052760265209855</v>
      </c>
    </row>
    <row r="130" spans="1:19">
      <c r="A130" s="44">
        <f ca="1"/>
        <v>17.085427135678394</v>
      </c>
      <c r="B130" s="44">
        <f ca="1"/>
        <v>297.27800720258517</v>
      </c>
      <c r="D130" s="13">
        <f ca="1"/>
        <v>17.085427135678394</v>
      </c>
      <c r="E130" s="13">
        <f ca="1"/>
        <v>297.27800720258517</v>
      </c>
      <c r="F130" s="13">
        <f ca="1"/>
        <v>300.2410515976124</v>
      </c>
      <c r="G130" s="13">
        <f ca="1"/>
        <v>308.45236558188958</v>
      </c>
      <c r="H130" s="13">
        <f ca="1"/>
        <v>305.71526092046389</v>
      </c>
      <c r="I130" s="13">
        <f ca="1"/>
        <v>294.7668422747609</v>
      </c>
      <c r="J130" s="13">
        <f ca="1"/>
        <v>292.02973761333521</v>
      </c>
      <c r="K130" s="13">
        <f ca="1"/>
        <v>0</v>
      </c>
      <c r="L130" s="13">
        <f ca="1"/>
        <v>1</v>
      </c>
      <c r="M130" s="13">
        <f ca="1"/>
        <v>0</v>
      </c>
      <c r="N130" s="13">
        <f ca="1"/>
        <v>0</v>
      </c>
      <c r="P130" s="13">
        <f ca="1"/>
        <v>17.085427135678394</v>
      </c>
      <c r="Q130" s="13">
        <f ca="1"/>
        <v>6.0248254463296604E-2</v>
      </c>
      <c r="R130" s="13">
        <f ca="1"/>
        <v>5.7836935265099948E-2</v>
      </c>
      <c r="S130" s="13">
        <f ca="1"/>
        <v>0.18052760265209855</v>
      </c>
    </row>
    <row r="131" spans="1:19">
      <c r="A131" s="44">
        <f ca="1"/>
        <v>17.286432160804022</v>
      </c>
      <c r="B131" s="44">
        <f ca="1"/>
        <v>297.36955423469959</v>
      </c>
      <c r="D131" s="13">
        <f ca="1"/>
        <v>17.286432160804022</v>
      </c>
      <c r="E131" s="13">
        <f ca="1"/>
        <v>297.36955423469959</v>
      </c>
      <c r="F131" s="13">
        <f ca="1"/>
        <v>300.2410515976124</v>
      </c>
      <c r="G131" s="13">
        <f ca="1"/>
        <v>308.45236558188958</v>
      </c>
      <c r="H131" s="13">
        <f ca="1"/>
        <v>305.71526092046389</v>
      </c>
      <c r="I131" s="13">
        <f ca="1"/>
        <v>294.7668422747609</v>
      </c>
      <c r="J131" s="13">
        <f ca="1"/>
        <v>292.02973761333521</v>
      </c>
      <c r="K131" s="13">
        <f ca="1"/>
        <v>0</v>
      </c>
      <c r="L131" s="13">
        <f ca="1"/>
        <v>1</v>
      </c>
      <c r="M131" s="13">
        <f ca="1"/>
        <v>0</v>
      </c>
      <c r="N131" s="13">
        <f ca="1"/>
        <v>0</v>
      </c>
      <c r="P131" s="13">
        <f ca="1"/>
        <v>17.286432160804022</v>
      </c>
      <c r="Q131" s="13">
        <f ca="1"/>
        <v>1.1638422510886615E-2</v>
      </c>
      <c r="R131" s="13">
        <f ca="1"/>
        <v>5.7836935265099948E-2</v>
      </c>
      <c r="S131" s="13">
        <f ca="1"/>
        <v>0.18052760265209855</v>
      </c>
    </row>
    <row r="132" spans="1:19">
      <c r="A132" s="44">
        <f ca="1"/>
        <v>17.48743718592965</v>
      </c>
      <c r="B132" s="44">
        <f ca="1"/>
        <v>297.55065774493369</v>
      </c>
      <c r="D132" s="13">
        <f ca="1"/>
        <v>17.48743718592965</v>
      </c>
      <c r="E132" s="13">
        <f ca="1"/>
        <v>297.55065774493369</v>
      </c>
      <c r="F132" s="13">
        <f ca="1"/>
        <v>300.2410515976124</v>
      </c>
      <c r="G132" s="13">
        <f ca="1"/>
        <v>308.45236558188958</v>
      </c>
      <c r="H132" s="13">
        <f ca="1"/>
        <v>305.71526092046389</v>
      </c>
      <c r="I132" s="13">
        <f ca="1"/>
        <v>294.7668422747609</v>
      </c>
      <c r="J132" s="13">
        <f ca="1"/>
        <v>292.02973761333521</v>
      </c>
      <c r="K132" s="13">
        <f ca="1"/>
        <v>0</v>
      </c>
      <c r="L132" s="13">
        <f ca="1"/>
        <v>1</v>
      </c>
      <c r="M132" s="13">
        <f ca="1"/>
        <v>0</v>
      </c>
      <c r="N132" s="13">
        <f ca="1"/>
        <v>0</v>
      </c>
      <c r="P132" s="13">
        <f ca="1"/>
        <v>17.48743718592965</v>
      </c>
      <c r="Q132" s="13">
        <f ca="1"/>
        <v>2.3023784841814429E-2</v>
      </c>
      <c r="R132" s="13">
        <f ca="1"/>
        <v>5.7836935265099948E-2</v>
      </c>
      <c r="S132" s="13">
        <f ca="1"/>
        <v>0.18052760265209855</v>
      </c>
    </row>
    <row r="133" spans="1:19">
      <c r="A133" s="44">
        <f ca="1"/>
        <v>17.688442211055278</v>
      </c>
      <c r="B133" s="44">
        <f ca="1"/>
        <v>296.74239236648793</v>
      </c>
      <c r="D133" s="13">
        <f ca="1"/>
        <v>17.688442211055278</v>
      </c>
      <c r="E133" s="13">
        <f ca="1"/>
        <v>296.74239236648793</v>
      </c>
      <c r="F133" s="13">
        <f ca="1"/>
        <v>300.2410515976124</v>
      </c>
      <c r="G133" s="13">
        <f ca="1"/>
        <v>308.45236558188958</v>
      </c>
      <c r="H133" s="13">
        <f ca="1"/>
        <v>305.71526092046389</v>
      </c>
      <c r="I133" s="13">
        <f ca="1"/>
        <v>294.7668422747609</v>
      </c>
      <c r="J133" s="13">
        <f ca="1"/>
        <v>292.02973761333521</v>
      </c>
      <c r="K133" s="13">
        <f ca="1"/>
        <v>0</v>
      </c>
      <c r="L133" s="13">
        <f ca="1"/>
        <v>1</v>
      </c>
      <c r="M133" s="13">
        <f ca="1"/>
        <v>0</v>
      </c>
      <c r="N133" s="13">
        <f ca="1"/>
        <v>0</v>
      </c>
      <c r="P133" s="13">
        <f ca="1"/>
        <v>17.688442211055278</v>
      </c>
      <c r="Q133" s="13">
        <f ca="1"/>
        <v>0.10275520416124589</v>
      </c>
      <c r="R133" s="13">
        <f ca="1"/>
        <v>5.7836935265099948E-2</v>
      </c>
      <c r="S133" s="13">
        <f ca="1"/>
        <v>0.18052760265209855</v>
      </c>
    </row>
    <row r="134" spans="1:19">
      <c r="A134" s="44">
        <f ca="1"/>
        <v>17.889447236180906</v>
      </c>
      <c r="B134" s="44">
        <f ca="1"/>
        <v>297.28378604433368</v>
      </c>
      <c r="D134" s="13">
        <f ca="1"/>
        <v>17.889447236180906</v>
      </c>
      <c r="E134" s="13">
        <f ca="1"/>
        <v>297.28378604433368</v>
      </c>
      <c r="F134" s="13">
        <f ca="1"/>
        <v>300.2410515976124</v>
      </c>
      <c r="G134" s="13">
        <f ca="1"/>
        <v>308.45236558188958</v>
      </c>
      <c r="H134" s="13">
        <f ca="1"/>
        <v>305.71526092046389</v>
      </c>
      <c r="I134" s="13">
        <f ca="1"/>
        <v>294.7668422747609</v>
      </c>
      <c r="J134" s="13">
        <f ca="1"/>
        <v>292.02973761333521</v>
      </c>
      <c r="K134" s="13">
        <f ca="1"/>
        <v>0</v>
      </c>
      <c r="L134" s="13">
        <f ca="1"/>
        <v>1</v>
      </c>
      <c r="M134" s="13">
        <f ca="1"/>
        <v>0</v>
      </c>
      <c r="N134" s="13">
        <f ca="1"/>
        <v>0</v>
      </c>
      <c r="P134" s="13">
        <f ca="1"/>
        <v>17.889447236180906</v>
      </c>
      <c r="Q134" s="13">
        <f ca="1"/>
        <v>6.8827664010083764E-2</v>
      </c>
      <c r="R134" s="13">
        <f ca="1"/>
        <v>5.7836935265099948E-2</v>
      </c>
      <c r="S134" s="13">
        <f ca="1"/>
        <v>0.18052760265209855</v>
      </c>
    </row>
    <row r="135" spans="1:19">
      <c r="A135" s="44">
        <f ca="1"/>
        <v>18.090452261306535</v>
      </c>
      <c r="B135" s="44">
        <f ca="1"/>
        <v>297.42780766254106</v>
      </c>
      <c r="D135" s="13">
        <f ca="1"/>
        <v>18.090452261306535</v>
      </c>
      <c r="E135" s="13">
        <f ca="1"/>
        <v>297.42780766254106</v>
      </c>
      <c r="F135" s="13">
        <f ca="1"/>
        <v>300.2410515976124</v>
      </c>
      <c r="G135" s="13">
        <f ca="1"/>
        <v>308.45236558188958</v>
      </c>
      <c r="H135" s="13">
        <f ca="1"/>
        <v>305.71526092046389</v>
      </c>
      <c r="I135" s="13">
        <f ca="1"/>
        <v>294.7668422747609</v>
      </c>
      <c r="J135" s="13">
        <f ca="1"/>
        <v>292.02973761333521</v>
      </c>
      <c r="K135" s="13">
        <f ca="1"/>
        <v>0</v>
      </c>
      <c r="L135" s="13">
        <f ca="1"/>
        <v>1</v>
      </c>
      <c r="M135" s="13">
        <f ca="1"/>
        <v>0</v>
      </c>
      <c r="N135" s="13">
        <f ca="1"/>
        <v>0</v>
      </c>
      <c r="P135" s="13">
        <f ca="1"/>
        <v>18.090452261306535</v>
      </c>
      <c r="Q135" s="13">
        <f ca="1"/>
        <v>1.8309544336773922E-2</v>
      </c>
      <c r="R135" s="13">
        <f ca="1"/>
        <v>5.7836935265099948E-2</v>
      </c>
      <c r="S135" s="13">
        <f ca="1"/>
        <v>0.18052760265209855</v>
      </c>
    </row>
    <row r="136" spans="1:19">
      <c r="A136" s="44">
        <f ca="1"/>
        <v>18.291457286432163</v>
      </c>
      <c r="B136" s="44">
        <f ca="1"/>
        <v>297.85014659356909</v>
      </c>
      <c r="D136" s="13">
        <f ca="1"/>
        <v>18.291457286432163</v>
      </c>
      <c r="E136" s="13">
        <f ca="1"/>
        <v>297.85014659356909</v>
      </c>
      <c r="F136" s="13">
        <f ca="1"/>
        <v>300.2410515976124</v>
      </c>
      <c r="G136" s="13">
        <f ca="1"/>
        <v>308.45236558188958</v>
      </c>
      <c r="H136" s="13">
        <f ca="1"/>
        <v>305.71526092046389</v>
      </c>
      <c r="I136" s="13">
        <f ca="1"/>
        <v>294.7668422747609</v>
      </c>
      <c r="J136" s="13">
        <f ca="1"/>
        <v>292.02973761333521</v>
      </c>
      <c r="K136" s="13">
        <f ca="1"/>
        <v>0</v>
      </c>
      <c r="L136" s="13">
        <f ca="1"/>
        <v>1</v>
      </c>
      <c r="M136" s="13">
        <f ca="1"/>
        <v>0</v>
      </c>
      <c r="N136" s="13">
        <f ca="1"/>
        <v>0</v>
      </c>
      <c r="P136" s="13">
        <f ca="1"/>
        <v>18.291457286432163</v>
      </c>
      <c r="Q136" s="13">
        <f ca="1"/>
        <v>5.3692171210499136E-2</v>
      </c>
      <c r="R136" s="13">
        <f ca="1"/>
        <v>5.7836935265099948E-2</v>
      </c>
      <c r="S136" s="13">
        <f ca="1"/>
        <v>0.18052760265209855</v>
      </c>
    </row>
    <row r="137" spans="1:19">
      <c r="A137" s="44">
        <f ca="1"/>
        <v>18.492462311557791</v>
      </c>
      <c r="B137" s="44">
        <f ca="1"/>
        <v>297.25849845576414</v>
      </c>
      <c r="D137" s="13">
        <f ca="1"/>
        <v>18.492462311557791</v>
      </c>
      <c r="E137" s="13">
        <f ca="1"/>
        <v>297.25849845576414</v>
      </c>
      <c r="F137" s="13">
        <f ca="1"/>
        <v>300.2410515976124</v>
      </c>
      <c r="G137" s="13">
        <f ca="1"/>
        <v>308.45236558188958</v>
      </c>
      <c r="H137" s="13">
        <f ca="1"/>
        <v>305.71526092046389</v>
      </c>
      <c r="I137" s="13">
        <f ca="1"/>
        <v>294.7668422747609</v>
      </c>
      <c r="J137" s="13">
        <f ca="1"/>
        <v>292.02973761333521</v>
      </c>
      <c r="K137" s="13">
        <f ca="1"/>
        <v>0</v>
      </c>
      <c r="L137" s="13">
        <f ca="1"/>
        <v>1</v>
      </c>
      <c r="M137" s="13">
        <f ca="1"/>
        <v>0</v>
      </c>
      <c r="N137" s="13">
        <f ca="1"/>
        <v>0</v>
      </c>
      <c r="P137" s="13">
        <f ca="1"/>
        <v>18.492462311557791</v>
      </c>
      <c r="Q137" s="13">
        <f ca="1"/>
        <v>7.5216540028813172E-2</v>
      </c>
      <c r="R137" s="13">
        <f ca="1"/>
        <v>5.7836935265099948E-2</v>
      </c>
      <c r="S137" s="13">
        <f ca="1"/>
        <v>0.18052760265209855</v>
      </c>
    </row>
    <row r="138" spans="1:19">
      <c r="A138" s="44">
        <f ca="1"/>
        <v>18.693467336683419</v>
      </c>
      <c r="B138" s="44">
        <f ca="1"/>
        <v>298.02087873526631</v>
      </c>
      <c r="D138" s="13">
        <f ca="1"/>
        <v>18.693467336683419</v>
      </c>
      <c r="E138" s="13">
        <f ca="1"/>
        <v>298.02087873526631</v>
      </c>
      <c r="F138" s="13">
        <f ca="1"/>
        <v>300.2410515976124</v>
      </c>
      <c r="G138" s="13">
        <f ca="1"/>
        <v>308.45236558188958</v>
      </c>
      <c r="H138" s="13">
        <f ca="1"/>
        <v>305.71526092046389</v>
      </c>
      <c r="I138" s="13">
        <f ca="1"/>
        <v>294.7668422747609</v>
      </c>
      <c r="J138" s="13">
        <f ca="1"/>
        <v>292.02973761333521</v>
      </c>
      <c r="K138" s="13">
        <f ca="1"/>
        <v>0</v>
      </c>
      <c r="L138" s="13">
        <f ca="1"/>
        <v>1</v>
      </c>
      <c r="M138" s="13">
        <f ca="1"/>
        <v>0</v>
      </c>
      <c r="N138" s="13">
        <f ca="1"/>
        <v>0</v>
      </c>
      <c r="P138" s="13">
        <f ca="1"/>
        <v>18.693467336683419</v>
      </c>
      <c r="Q138" s="13">
        <f ca="1"/>
        <v>9.6921807314564581E-2</v>
      </c>
      <c r="R138" s="13">
        <f ca="1"/>
        <v>5.7836935265099948E-2</v>
      </c>
      <c r="S138" s="13">
        <f ca="1"/>
        <v>0.18052760265209855</v>
      </c>
    </row>
    <row r="139" spans="1:19">
      <c r="A139" s="44">
        <f ca="1"/>
        <v>18.894472361809047</v>
      </c>
      <c r="B139" s="44">
        <f ca="1"/>
        <v>297.83556918497101</v>
      </c>
      <c r="D139" s="13">
        <f ca="1"/>
        <v>18.894472361809047</v>
      </c>
      <c r="E139" s="13">
        <f ca="1"/>
        <v>297.83556918497101</v>
      </c>
      <c r="F139" s="13">
        <f ca="1"/>
        <v>300.2410515976124</v>
      </c>
      <c r="G139" s="13">
        <f ca="1"/>
        <v>308.45236558188958</v>
      </c>
      <c r="H139" s="13">
        <f ca="1"/>
        <v>305.71526092046389</v>
      </c>
      <c r="I139" s="13">
        <f ca="1"/>
        <v>294.7668422747609</v>
      </c>
      <c r="J139" s="13">
        <f ca="1"/>
        <v>292.02973761333521</v>
      </c>
      <c r="K139" s="13">
        <f ca="1"/>
        <v>0</v>
      </c>
      <c r="L139" s="13">
        <f ca="1"/>
        <v>1</v>
      </c>
      <c r="M139" s="13">
        <f ca="1"/>
        <v>0</v>
      </c>
      <c r="N139" s="13">
        <f ca="1"/>
        <v>0</v>
      </c>
      <c r="P139" s="13">
        <f ca="1"/>
        <v>18.894472361809047</v>
      </c>
      <c r="Q139" s="13">
        <f ca="1"/>
        <v>2.3558500934727705E-2</v>
      </c>
      <c r="R139" s="13">
        <f ca="1"/>
        <v>5.7836935265099948E-2</v>
      </c>
      <c r="S139" s="13">
        <f ca="1"/>
        <v>0.18052760265209855</v>
      </c>
    </row>
    <row r="140" spans="1:19">
      <c r="A140" s="44">
        <f ca="1"/>
        <v>19.095477386934675</v>
      </c>
      <c r="B140" s="44">
        <f ca="1"/>
        <v>297.24292256203404</v>
      </c>
      <c r="D140" s="13">
        <f ca="1"/>
        <v>19.095477386934675</v>
      </c>
      <c r="E140" s="13">
        <f ca="1"/>
        <v>297.24292256203404</v>
      </c>
      <c r="F140" s="13">
        <f ca="1"/>
        <v>300.2410515976124</v>
      </c>
      <c r="G140" s="13">
        <f ca="1"/>
        <v>308.45236558188958</v>
      </c>
      <c r="H140" s="13">
        <f ca="1"/>
        <v>305.71526092046389</v>
      </c>
      <c r="I140" s="13">
        <f ca="1"/>
        <v>294.7668422747609</v>
      </c>
      <c r="J140" s="13">
        <f ca="1"/>
        <v>292.02973761333521</v>
      </c>
      <c r="K140" s="13">
        <f ca="1"/>
        <v>0</v>
      </c>
      <c r="L140" s="13">
        <f ca="1"/>
        <v>1</v>
      </c>
      <c r="M140" s="13">
        <f ca="1"/>
        <v>0</v>
      </c>
      <c r="N140" s="13">
        <f ca="1"/>
        <v>0</v>
      </c>
      <c r="P140" s="13">
        <f ca="1"/>
        <v>19.095477386934675</v>
      </c>
      <c r="Q140" s="13">
        <f ca="1"/>
        <v>7.5343477970643016E-2</v>
      </c>
      <c r="R140" s="13">
        <f ca="1"/>
        <v>5.7836935265099948E-2</v>
      </c>
      <c r="S140" s="13">
        <f ca="1"/>
        <v>0.18052760265209855</v>
      </c>
    </row>
    <row r="141" spans="1:19">
      <c r="A141" s="44">
        <f ca="1"/>
        <v>19.296482412060303</v>
      </c>
      <c r="B141" s="44">
        <f ca="1"/>
        <v>297.57816122287016</v>
      </c>
      <c r="D141" s="13">
        <f ca="1"/>
        <v>19.296482412060303</v>
      </c>
      <c r="E141" s="13">
        <f ca="1"/>
        <v>297.57816122287016</v>
      </c>
      <c r="F141" s="13">
        <f ca="1"/>
        <v>300.2410515976124</v>
      </c>
      <c r="G141" s="13">
        <f ca="1"/>
        <v>308.45236558188958</v>
      </c>
      <c r="H141" s="13">
        <f ca="1"/>
        <v>305.71526092046389</v>
      </c>
      <c r="I141" s="13">
        <f ca="1"/>
        <v>294.7668422747609</v>
      </c>
      <c r="J141" s="13">
        <f ca="1"/>
        <v>292.02973761333521</v>
      </c>
      <c r="K141" s="13">
        <f ca="1"/>
        <v>0</v>
      </c>
      <c r="L141" s="13">
        <f ca="1"/>
        <v>1</v>
      </c>
      <c r="M141" s="13">
        <f ca="1"/>
        <v>0</v>
      </c>
      <c r="N141" s="13">
        <f ca="1"/>
        <v>0</v>
      </c>
      <c r="P141" s="13">
        <f ca="1"/>
        <v>19.296482412060303</v>
      </c>
      <c r="Q141" s="13">
        <f ca="1"/>
        <v>4.2619067889805337E-2</v>
      </c>
      <c r="R141" s="13">
        <f ca="1"/>
        <v>5.7836935265099948E-2</v>
      </c>
      <c r="S141" s="13">
        <f ca="1"/>
        <v>0.18052760265209855</v>
      </c>
    </row>
    <row r="142" spans="1:19">
      <c r="A142" s="44">
        <f ca="1"/>
        <v>19.497487437185931</v>
      </c>
      <c r="B142" s="44">
        <f ca="1"/>
        <v>297.80030984705843</v>
      </c>
      <c r="D142" s="13">
        <f ca="1"/>
        <v>19.497487437185931</v>
      </c>
      <c r="E142" s="13">
        <f ca="1"/>
        <v>297.80030984705843</v>
      </c>
      <c r="F142" s="13">
        <f ca="1"/>
        <v>300.2410515976124</v>
      </c>
      <c r="G142" s="13">
        <f ca="1"/>
        <v>308.45236558188958</v>
      </c>
      <c r="H142" s="13">
        <f ca="1"/>
        <v>305.71526092046389</v>
      </c>
      <c r="I142" s="13">
        <f ca="1"/>
        <v>294.7668422747609</v>
      </c>
      <c r="J142" s="13">
        <f ca="1"/>
        <v>292.02973761333521</v>
      </c>
      <c r="K142" s="13">
        <f ca="1"/>
        <v>0</v>
      </c>
      <c r="L142" s="13">
        <f ca="1"/>
        <v>1</v>
      </c>
      <c r="M142" s="13">
        <f ca="1"/>
        <v>0</v>
      </c>
      <c r="N142" s="13">
        <f ca="1"/>
        <v>0</v>
      </c>
      <c r="P142" s="13">
        <f ca="1"/>
        <v>19.497487437185931</v>
      </c>
      <c r="Q142" s="13">
        <f ca="1"/>
        <v>2.8241871842265263E-2</v>
      </c>
      <c r="R142" s="13">
        <f ca="1"/>
        <v>5.7836935265099948E-2</v>
      </c>
      <c r="S142" s="13">
        <f ca="1"/>
        <v>0.18052760265209855</v>
      </c>
    </row>
    <row r="143" spans="1:19">
      <c r="A143" s="44">
        <f ca="1"/>
        <v>19.69849246231156</v>
      </c>
      <c r="B143" s="44">
        <f ca="1"/>
        <v>298.04007920542898</v>
      </c>
      <c r="D143" s="13">
        <f ca="1"/>
        <v>19.69849246231156</v>
      </c>
      <c r="E143" s="13">
        <f ca="1"/>
        <v>298.04007920542898</v>
      </c>
      <c r="F143" s="13">
        <f ca="1"/>
        <v>300.2410515976124</v>
      </c>
      <c r="G143" s="13">
        <f ca="1"/>
        <v>308.45236558188958</v>
      </c>
      <c r="H143" s="13">
        <f ca="1"/>
        <v>305.71526092046389</v>
      </c>
      <c r="I143" s="13">
        <f ca="1"/>
        <v>294.7668422747609</v>
      </c>
      <c r="J143" s="13">
        <f ca="1"/>
        <v>292.02973761333521</v>
      </c>
      <c r="K143" s="13">
        <f ca="1"/>
        <v>0</v>
      </c>
      <c r="L143" s="13">
        <f ca="1"/>
        <v>1</v>
      </c>
      <c r="M143" s="13">
        <f ca="1"/>
        <v>0</v>
      </c>
      <c r="N143" s="13">
        <f ca="1"/>
        <v>0</v>
      </c>
      <c r="P143" s="13">
        <f ca="1"/>
        <v>19.69849246231156</v>
      </c>
      <c r="Q143" s="13">
        <f ca="1"/>
        <v>3.0482005079016914E-2</v>
      </c>
      <c r="R143" s="13">
        <f ca="1"/>
        <v>5.7836935265099948E-2</v>
      </c>
      <c r="S143" s="13">
        <f ca="1"/>
        <v>0.18052760265209855</v>
      </c>
    </row>
    <row r="144" spans="1:19">
      <c r="A144" s="44">
        <f ca="1"/>
        <v>19.899497487437188</v>
      </c>
      <c r="B144" s="44">
        <f ca="1"/>
        <v>297.6563850417117</v>
      </c>
      <c r="D144" s="13">
        <f ca="1"/>
        <v>19.899497487437188</v>
      </c>
      <c r="E144" s="13">
        <f ca="1"/>
        <v>297.6563850417117</v>
      </c>
      <c r="F144" s="13">
        <f ca="1"/>
        <v>300.2410515976124</v>
      </c>
      <c r="G144" s="13">
        <f ca="1"/>
        <v>308.45236558188958</v>
      </c>
      <c r="H144" s="13">
        <f ca="1"/>
        <v>305.71526092046389</v>
      </c>
      <c r="I144" s="13">
        <f ca="1"/>
        <v>294.7668422747609</v>
      </c>
      <c r="J144" s="13">
        <f ca="1"/>
        <v>292.02973761333521</v>
      </c>
      <c r="K144" s="13">
        <f ca="1"/>
        <v>0</v>
      </c>
      <c r="L144" s="13">
        <f ca="1"/>
        <v>1</v>
      </c>
      <c r="M144" s="13">
        <f ca="1"/>
        <v>0</v>
      </c>
      <c r="N144" s="13">
        <f ca="1"/>
        <v>0</v>
      </c>
      <c r="P144" s="13">
        <f ca="1"/>
        <v>19.899497487437188</v>
      </c>
      <c r="Q144" s="13">
        <f ca="1"/>
        <v>4.8779241545719276E-2</v>
      </c>
      <c r="R144" s="13">
        <f ca="1"/>
        <v>5.7836935265099948E-2</v>
      </c>
      <c r="S144" s="13">
        <f ca="1"/>
        <v>0.18052760265209855</v>
      </c>
    </row>
    <row r="145" spans="1:19">
      <c r="A145" s="44">
        <f ca="1"/>
        <v>20.100502512562816</v>
      </c>
      <c r="B145" s="44">
        <f ca="1"/>
        <v>302.01008304747728</v>
      </c>
      <c r="D145" s="13">
        <f ca="1"/>
        <v>20.100502512562816</v>
      </c>
      <c r="E145" s="13">
        <f ca="1"/>
        <v>302.01008304747728</v>
      </c>
      <c r="F145" s="13">
        <f ca="1"/>
        <v>300.2410515976124</v>
      </c>
      <c r="G145" s="13">
        <f ca="1"/>
        <v>308.45236558188958</v>
      </c>
      <c r="H145" s="13">
        <f ca="1"/>
        <v>305.71526092046389</v>
      </c>
      <c r="I145" s="13">
        <f ca="1"/>
        <v>294.7668422747609</v>
      </c>
      <c r="J145" s="13">
        <f ca="1"/>
        <v>292.02973761333521</v>
      </c>
      <c r="K145" s="13">
        <f ca="1"/>
        <v>0</v>
      </c>
      <c r="L145" s="13">
        <f ca="1"/>
        <v>0</v>
      </c>
      <c r="M145" s="13">
        <f ca="1"/>
        <v>0</v>
      </c>
      <c r="N145" s="13">
        <f ca="1"/>
        <v>0</v>
      </c>
      <c r="P145" s="13">
        <f ca="1"/>
        <v>20.100502512562816</v>
      </c>
      <c r="Q145" s="13">
        <f ca="1"/>
        <v>0.55348792533846736</v>
      </c>
      <c r="R145" s="13">
        <f ca="1"/>
        <v>5.7836935265099948E-2</v>
      </c>
      <c r="S145" s="13">
        <f ca="1"/>
        <v>0.18052760265209855</v>
      </c>
    </row>
    <row r="146" spans="1:19">
      <c r="A146" s="44">
        <f ca="1"/>
        <v>20.301507537688444</v>
      </c>
      <c r="B146" s="44">
        <f ca="1"/>
        <v>302.29950649549482</v>
      </c>
      <c r="D146" s="13">
        <f ca="1"/>
        <v>20.301507537688444</v>
      </c>
      <c r="E146" s="13">
        <f ca="1"/>
        <v>302.29950649549482</v>
      </c>
      <c r="F146" s="13">
        <f ca="1"/>
        <v>300.2410515976124</v>
      </c>
      <c r="G146" s="13">
        <f ca="1"/>
        <v>308.45236558188958</v>
      </c>
      <c r="H146" s="13">
        <f ca="1"/>
        <v>305.71526092046389</v>
      </c>
      <c r="I146" s="13">
        <f ca="1"/>
        <v>294.7668422747609</v>
      </c>
      <c r="J146" s="13">
        <f ca="1"/>
        <v>292.02973761333521</v>
      </c>
      <c r="K146" s="13">
        <f ca="1"/>
        <v>0</v>
      </c>
      <c r="L146" s="13">
        <f ca="1"/>
        <v>0</v>
      </c>
      <c r="M146" s="13">
        <f ca="1"/>
        <v>0</v>
      </c>
      <c r="N146" s="13">
        <f ca="1"/>
        <v>0</v>
      </c>
      <c r="P146" s="13">
        <f ca="1"/>
        <v>20.301507537688444</v>
      </c>
      <c r="Q146" s="13">
        <f ca="1"/>
        <v>3.6794555703081461E-2</v>
      </c>
      <c r="R146" s="13">
        <f ca="1"/>
        <v>5.7836935265099948E-2</v>
      </c>
      <c r="S146" s="13">
        <f ca="1"/>
        <v>0.18052760265209855</v>
      </c>
    </row>
    <row r="147" spans="1:19">
      <c r="A147" s="44">
        <f ca="1"/>
        <v>20.502512562814072</v>
      </c>
      <c r="B147" s="44">
        <f ca="1"/>
        <v>302.22037443775827</v>
      </c>
      <c r="D147" s="13">
        <f ca="1"/>
        <v>20.502512562814072</v>
      </c>
      <c r="E147" s="13">
        <f ca="1"/>
        <v>302.22037443775827</v>
      </c>
      <c r="F147" s="13">
        <f ca="1"/>
        <v>300.2410515976124</v>
      </c>
      <c r="G147" s="13">
        <f ca="1"/>
        <v>308.45236558188958</v>
      </c>
      <c r="H147" s="13">
        <f ca="1"/>
        <v>305.71526092046389</v>
      </c>
      <c r="I147" s="13">
        <f ca="1"/>
        <v>294.7668422747609</v>
      </c>
      <c r="J147" s="13">
        <f ca="1"/>
        <v>292.02973761333521</v>
      </c>
      <c r="K147" s="13">
        <f ca="1"/>
        <v>0</v>
      </c>
      <c r="L147" s="13">
        <f ca="1"/>
        <v>0</v>
      </c>
      <c r="M147" s="13">
        <f ca="1"/>
        <v>0</v>
      </c>
      <c r="N147" s="13">
        <f ca="1"/>
        <v>0</v>
      </c>
      <c r="P147" s="13">
        <f ca="1"/>
        <v>20.502512562814072</v>
      </c>
      <c r="Q147" s="13">
        <f ca="1"/>
        <v>1.0060100265652119E-2</v>
      </c>
      <c r="R147" s="13">
        <f ca="1"/>
        <v>5.7836935265099948E-2</v>
      </c>
      <c r="S147" s="13">
        <f ca="1"/>
        <v>0.18052760265209855</v>
      </c>
    </row>
    <row r="148" spans="1:19">
      <c r="A148" s="44">
        <f ca="1"/>
        <v>20.7035175879397</v>
      </c>
      <c r="B148" s="44">
        <f ca="1"/>
        <v>302.39999074583147</v>
      </c>
      <c r="D148" s="13">
        <f ca="1"/>
        <v>20.7035175879397</v>
      </c>
      <c r="E148" s="13">
        <f ca="1"/>
        <v>302.39999074583147</v>
      </c>
      <c r="F148" s="13">
        <f ca="1"/>
        <v>300.2410515976124</v>
      </c>
      <c r="G148" s="13">
        <f ca="1"/>
        <v>308.45236558188958</v>
      </c>
      <c r="H148" s="13">
        <f ca="1"/>
        <v>305.71526092046389</v>
      </c>
      <c r="I148" s="13">
        <f ca="1"/>
        <v>294.7668422747609</v>
      </c>
      <c r="J148" s="13">
        <f ca="1"/>
        <v>292.02973761333521</v>
      </c>
      <c r="K148" s="13">
        <f ca="1"/>
        <v>0</v>
      </c>
      <c r="L148" s="13">
        <f ca="1"/>
        <v>0</v>
      </c>
      <c r="M148" s="13">
        <f ca="1"/>
        <v>0</v>
      </c>
      <c r="N148" s="13">
        <f ca="1"/>
        <v>0</v>
      </c>
      <c r="P148" s="13">
        <f ca="1"/>
        <v>20.7035175879397</v>
      </c>
      <c r="Q148" s="13">
        <f ca="1"/>
        <v>2.2834716046161004E-2</v>
      </c>
      <c r="R148" s="13">
        <f ca="1"/>
        <v>5.7836935265099948E-2</v>
      </c>
      <c r="S148" s="13">
        <f ca="1"/>
        <v>0.18052760265209855</v>
      </c>
    </row>
    <row r="149" spans="1:19">
      <c r="A149" s="44">
        <f ca="1"/>
        <v>20.904522613065328</v>
      </c>
      <c r="B149" s="44">
        <f ca="1"/>
        <v>302.0837152877167</v>
      </c>
      <c r="D149" s="13">
        <f ca="1"/>
        <v>20.904522613065328</v>
      </c>
      <c r="E149" s="13">
        <f ca="1"/>
        <v>302.0837152877167</v>
      </c>
      <c r="F149" s="13">
        <f ca="1"/>
        <v>300.2410515976124</v>
      </c>
      <c r="G149" s="13">
        <f ca="1"/>
        <v>308.45236558188958</v>
      </c>
      <c r="H149" s="13">
        <f ca="1"/>
        <v>305.71526092046389</v>
      </c>
      <c r="I149" s="13">
        <f ca="1"/>
        <v>294.7668422747609</v>
      </c>
      <c r="J149" s="13">
        <f ca="1"/>
        <v>292.02973761333521</v>
      </c>
      <c r="K149" s="13">
        <f ca="1"/>
        <v>0</v>
      </c>
      <c r="L149" s="13">
        <f ca="1"/>
        <v>0</v>
      </c>
      <c r="M149" s="13">
        <f ca="1"/>
        <v>0</v>
      </c>
      <c r="N149" s="13">
        <f ca="1"/>
        <v>0</v>
      </c>
      <c r="P149" s="13">
        <f ca="1"/>
        <v>20.904522613065328</v>
      </c>
      <c r="Q149" s="13">
        <f ca="1"/>
        <v>4.0208265919132541E-2</v>
      </c>
      <c r="R149" s="13">
        <f ca="1"/>
        <v>5.7836935265099948E-2</v>
      </c>
      <c r="S149" s="13">
        <f ca="1"/>
        <v>0.18052760265209855</v>
      </c>
    </row>
    <row r="150" spans="1:19">
      <c r="A150" s="44">
        <f ca="1"/>
        <v>21.105527638190956</v>
      </c>
      <c r="B150" s="44">
        <f ca="1"/>
        <v>302.12348916138734</v>
      </c>
      <c r="D150" s="13">
        <f ca="1"/>
        <v>21.105527638190956</v>
      </c>
      <c r="E150" s="13">
        <f ca="1"/>
        <v>302.12348916138734</v>
      </c>
      <c r="F150" s="13">
        <f ca="1"/>
        <v>300.2410515976124</v>
      </c>
      <c r="G150" s="13">
        <f ca="1"/>
        <v>308.45236558188958</v>
      </c>
      <c r="H150" s="13">
        <f ca="1"/>
        <v>305.71526092046389</v>
      </c>
      <c r="I150" s="13">
        <f ca="1"/>
        <v>294.7668422747609</v>
      </c>
      <c r="J150" s="13">
        <f ca="1"/>
        <v>292.02973761333521</v>
      </c>
      <c r="K150" s="13">
        <f ca="1"/>
        <v>0</v>
      </c>
      <c r="L150" s="13">
        <f ca="1"/>
        <v>0</v>
      </c>
      <c r="M150" s="13">
        <f ca="1"/>
        <v>0</v>
      </c>
      <c r="N150" s="13">
        <f ca="1"/>
        <v>0</v>
      </c>
      <c r="P150" s="13">
        <f ca="1"/>
        <v>21.105527638190956</v>
      </c>
      <c r="Q150" s="13">
        <f ca="1"/>
        <v>5.0564735522499234E-3</v>
      </c>
      <c r="R150" s="13">
        <f ca="1"/>
        <v>5.7836935265099948E-2</v>
      </c>
      <c r="S150" s="13">
        <f ca="1"/>
        <v>0.18052760265209855</v>
      </c>
    </row>
    <row r="151" spans="1:19">
      <c r="A151" s="44">
        <f ca="1"/>
        <v>21.306532663316585</v>
      </c>
      <c r="B151" s="44">
        <f ca="1"/>
        <v>302.40581223628067</v>
      </c>
      <c r="D151" s="13">
        <f ca="1"/>
        <v>21.306532663316585</v>
      </c>
      <c r="E151" s="13">
        <f ca="1"/>
        <v>302.40581223628067</v>
      </c>
      <c r="F151" s="13">
        <f ca="1"/>
        <v>300.2410515976124</v>
      </c>
      <c r="G151" s="13">
        <f ca="1"/>
        <v>308.45236558188958</v>
      </c>
      <c r="H151" s="13">
        <f ca="1"/>
        <v>305.71526092046389</v>
      </c>
      <c r="I151" s="13">
        <f ca="1"/>
        <v>294.7668422747609</v>
      </c>
      <c r="J151" s="13">
        <f ca="1"/>
        <v>292.02973761333521</v>
      </c>
      <c r="K151" s="13">
        <f ca="1"/>
        <v>0</v>
      </c>
      <c r="L151" s="13">
        <f ca="1"/>
        <v>0</v>
      </c>
      <c r="M151" s="13">
        <f ca="1"/>
        <v>0</v>
      </c>
      <c r="N151" s="13">
        <f ca="1"/>
        <v>0</v>
      </c>
      <c r="P151" s="13">
        <f ca="1"/>
        <v>21.306532663316585</v>
      </c>
      <c r="Q151" s="13">
        <f ca="1"/>
        <v>3.5891881520249407E-2</v>
      </c>
      <c r="R151" s="13">
        <f ca="1"/>
        <v>5.7836935265099948E-2</v>
      </c>
      <c r="S151" s="13">
        <f ca="1"/>
        <v>0.18052760265209855</v>
      </c>
    </row>
    <row r="152" spans="1:19">
      <c r="A152" s="44">
        <f ca="1"/>
        <v>21.507537688442213</v>
      </c>
      <c r="B152" s="44">
        <f ca="1"/>
        <v>302.12191392507515</v>
      </c>
      <c r="D152" s="13">
        <f ca="1"/>
        <v>21.507537688442213</v>
      </c>
      <c r="E152" s="13">
        <f ca="1"/>
        <v>302.12191392507515</v>
      </c>
      <c r="F152" s="13">
        <f ca="1"/>
        <v>300.2410515976124</v>
      </c>
      <c r="G152" s="13">
        <f ca="1"/>
        <v>308.45236558188958</v>
      </c>
      <c r="H152" s="13">
        <f ca="1"/>
        <v>305.71526092046389</v>
      </c>
      <c r="I152" s="13">
        <f ca="1"/>
        <v>294.7668422747609</v>
      </c>
      <c r="J152" s="13">
        <f ca="1"/>
        <v>292.02973761333521</v>
      </c>
      <c r="K152" s="13">
        <f ca="1"/>
        <v>0</v>
      </c>
      <c r="L152" s="13">
        <f ca="1"/>
        <v>1</v>
      </c>
      <c r="M152" s="13">
        <f ca="1"/>
        <v>0</v>
      </c>
      <c r="N152" s="13">
        <f ca="1"/>
        <v>0</v>
      </c>
      <c r="P152" s="13">
        <f ca="1"/>
        <v>21.507537688442213</v>
      </c>
      <c r="Q152" s="13">
        <f ca="1"/>
        <v>3.6092142144022184E-2</v>
      </c>
      <c r="R152" s="13">
        <f ca="1"/>
        <v>5.7836935265099948E-2</v>
      </c>
      <c r="S152" s="13">
        <f ca="1"/>
        <v>0.18052760265209855</v>
      </c>
    </row>
    <row r="153" spans="1:19">
      <c r="A153" s="44">
        <f ca="1"/>
        <v>21.708542713567841</v>
      </c>
      <c r="B153" s="44">
        <f ca="1"/>
        <v>301.90814429407334</v>
      </c>
      <c r="D153" s="13">
        <f ca="1"/>
        <v>21.708542713567841</v>
      </c>
      <c r="E153" s="13">
        <f ca="1"/>
        <v>301.90814429407334</v>
      </c>
      <c r="F153" s="13">
        <f ca="1"/>
        <v>300.2410515976124</v>
      </c>
      <c r="G153" s="13">
        <f ca="1"/>
        <v>308.45236558188958</v>
      </c>
      <c r="H153" s="13">
        <f ca="1"/>
        <v>305.71526092046389</v>
      </c>
      <c r="I153" s="13">
        <f ca="1"/>
        <v>294.7668422747609</v>
      </c>
      <c r="J153" s="13">
        <f ca="1"/>
        <v>292.02973761333521</v>
      </c>
      <c r="K153" s="13">
        <f ca="1"/>
        <v>0</v>
      </c>
      <c r="L153" s="13">
        <f ca="1"/>
        <v>1</v>
      </c>
      <c r="M153" s="13">
        <f ca="1"/>
        <v>0</v>
      </c>
      <c r="N153" s="13">
        <f ca="1"/>
        <v>0</v>
      </c>
      <c r="P153" s="13">
        <f ca="1"/>
        <v>21.708542713567841</v>
      </c>
      <c r="Q153" s="13">
        <f ca="1"/>
        <v>2.7176646016070116E-2</v>
      </c>
      <c r="R153" s="13">
        <f ca="1"/>
        <v>5.7836935265099948E-2</v>
      </c>
      <c r="S153" s="13">
        <f ca="1"/>
        <v>0.18052760265209855</v>
      </c>
    </row>
    <row r="154" spans="1:19">
      <c r="A154" s="44">
        <f ca="1"/>
        <v>21.909547738693469</v>
      </c>
      <c r="B154" s="44">
        <f ca="1"/>
        <v>302.22647781748168</v>
      </c>
      <c r="D154" s="13">
        <f ca="1"/>
        <v>21.909547738693469</v>
      </c>
      <c r="E154" s="13">
        <f ca="1"/>
        <v>302.22647781748168</v>
      </c>
      <c r="F154" s="13">
        <f ca="1"/>
        <v>300.2410515976124</v>
      </c>
      <c r="G154" s="13">
        <f ca="1"/>
        <v>308.45236558188958</v>
      </c>
      <c r="H154" s="13">
        <f ca="1"/>
        <v>305.71526092046389</v>
      </c>
      <c r="I154" s="13">
        <f ca="1"/>
        <v>294.7668422747609</v>
      </c>
      <c r="J154" s="13">
        <f ca="1"/>
        <v>292.02973761333521</v>
      </c>
      <c r="K154" s="13">
        <f ca="1"/>
        <v>0</v>
      </c>
      <c r="L154" s="13">
        <f ca="1"/>
        <v>1</v>
      </c>
      <c r="M154" s="13">
        <f ca="1"/>
        <v>0</v>
      </c>
      <c r="N154" s="13">
        <f ca="1"/>
        <v>0</v>
      </c>
      <c r="P154" s="13">
        <f ca="1"/>
        <v>21.909547738693469</v>
      </c>
      <c r="Q154" s="13">
        <f ca="1"/>
        <v>4.046990884614296E-2</v>
      </c>
      <c r="R154" s="13">
        <f ca="1"/>
        <v>5.7836935265099948E-2</v>
      </c>
      <c r="S154" s="13">
        <f ca="1"/>
        <v>0.18052760265209855</v>
      </c>
    </row>
    <row r="155" spans="1:19">
      <c r="A155" s="44">
        <f ca="1"/>
        <v>22.110552763819097</v>
      </c>
      <c r="B155" s="44">
        <f ca="1"/>
        <v>302.30067148142615</v>
      </c>
      <c r="D155" s="13">
        <f ca="1"/>
        <v>22.110552763819097</v>
      </c>
      <c r="E155" s="13">
        <f ca="1"/>
        <v>302.30067148142615</v>
      </c>
      <c r="F155" s="13">
        <f ca="1"/>
        <v>300.2410515976124</v>
      </c>
      <c r="G155" s="13">
        <f ca="1"/>
        <v>308.45236558188958</v>
      </c>
      <c r="H155" s="13">
        <f ca="1"/>
        <v>305.71526092046389</v>
      </c>
      <c r="I155" s="13">
        <f ca="1"/>
        <v>294.7668422747609</v>
      </c>
      <c r="J155" s="13">
        <f ca="1"/>
        <v>292.02973761333521</v>
      </c>
      <c r="K155" s="13">
        <f ca="1"/>
        <v>0</v>
      </c>
      <c r="L155" s="13">
        <f ca="1"/>
        <v>1</v>
      </c>
      <c r="M155" s="13">
        <f ca="1"/>
        <v>0</v>
      </c>
      <c r="N155" s="13">
        <f ca="1"/>
        <v>0</v>
      </c>
      <c r="P155" s="13">
        <f ca="1"/>
        <v>22.110552763819097</v>
      </c>
      <c r="Q155" s="13">
        <f ca="1"/>
        <v>9.4322796563982448E-3</v>
      </c>
      <c r="R155" s="13">
        <f ca="1"/>
        <v>5.7836935265099948E-2</v>
      </c>
      <c r="S155" s="13">
        <f ca="1"/>
        <v>0.18052760265209855</v>
      </c>
    </row>
    <row r="156" spans="1:19">
      <c r="A156" s="44">
        <f ca="1"/>
        <v>22.311557788944725</v>
      </c>
      <c r="B156" s="44">
        <f ca="1"/>
        <v>301.73597318040055</v>
      </c>
      <c r="D156" s="13">
        <f ca="1"/>
        <v>22.311557788944725</v>
      </c>
      <c r="E156" s="13">
        <f ca="1"/>
        <v>301.73597318040055</v>
      </c>
      <c r="F156" s="13">
        <f ca="1"/>
        <v>300.2410515976124</v>
      </c>
      <c r="G156" s="13">
        <f ca="1"/>
        <v>308.45236558188958</v>
      </c>
      <c r="H156" s="13">
        <f ca="1"/>
        <v>305.71526092046389</v>
      </c>
      <c r="I156" s="13">
        <f ca="1"/>
        <v>294.7668422747609</v>
      </c>
      <c r="J156" s="13">
        <f ca="1"/>
        <v>292.02973761333521</v>
      </c>
      <c r="K156" s="13">
        <f ca="1"/>
        <v>0</v>
      </c>
      <c r="L156" s="13">
        <f ca="1"/>
        <v>1</v>
      </c>
      <c r="M156" s="13">
        <f ca="1"/>
        <v>0</v>
      </c>
      <c r="N156" s="13">
        <f ca="1"/>
        <v>0</v>
      </c>
      <c r="P156" s="13">
        <f ca="1"/>
        <v>22.311557788944725</v>
      </c>
      <c r="Q156" s="13">
        <f ca="1"/>
        <v>7.1790393055031348E-2</v>
      </c>
      <c r="R156" s="13">
        <f ca="1"/>
        <v>5.7836935265099948E-2</v>
      </c>
      <c r="S156" s="13">
        <f ca="1"/>
        <v>0.18052760265209855</v>
      </c>
    </row>
    <row r="157" spans="1:19">
      <c r="A157" s="44">
        <f ca="1"/>
        <v>22.512562814070353</v>
      </c>
      <c r="B157" s="44">
        <f ca="1"/>
        <v>301.79943706919858</v>
      </c>
      <c r="D157" s="13">
        <f ca="1"/>
        <v>22.512562814070353</v>
      </c>
      <c r="E157" s="13">
        <f ca="1"/>
        <v>301.79943706919858</v>
      </c>
      <c r="F157" s="13">
        <f ca="1"/>
        <v>300.2410515976124</v>
      </c>
      <c r="G157" s="13">
        <f ca="1"/>
        <v>308.45236558188958</v>
      </c>
      <c r="H157" s="13">
        <f ca="1"/>
        <v>305.71526092046389</v>
      </c>
      <c r="I157" s="13">
        <f ca="1"/>
        <v>294.7668422747609</v>
      </c>
      <c r="J157" s="13">
        <f ca="1"/>
        <v>292.02973761333521</v>
      </c>
      <c r="K157" s="13">
        <f ca="1"/>
        <v>0</v>
      </c>
      <c r="L157" s="13">
        <f ca="1"/>
        <v>1</v>
      </c>
      <c r="M157" s="13">
        <f ca="1"/>
        <v>0</v>
      </c>
      <c r="N157" s="13">
        <f ca="1"/>
        <v>0</v>
      </c>
      <c r="P157" s="13">
        <f ca="1"/>
        <v>22.512562814070353</v>
      </c>
      <c r="Q157" s="13">
        <f ca="1"/>
        <v>8.068197678895668E-3</v>
      </c>
      <c r="R157" s="13">
        <f ca="1"/>
        <v>5.7836935265099948E-2</v>
      </c>
      <c r="S157" s="13">
        <f ca="1"/>
        <v>0.18052760265209855</v>
      </c>
    </row>
    <row r="158" spans="1:19">
      <c r="A158" s="44">
        <f ca="1"/>
        <v>22.713567839195981</v>
      </c>
      <c r="B158" s="44">
        <f ca="1"/>
        <v>301.88864393475467</v>
      </c>
      <c r="D158" s="13">
        <f ca="1"/>
        <v>22.713567839195981</v>
      </c>
      <c r="E158" s="13">
        <f ca="1"/>
        <v>301.88864393475467</v>
      </c>
      <c r="F158" s="13">
        <f ca="1"/>
        <v>300.2410515976124</v>
      </c>
      <c r="G158" s="13">
        <f ca="1"/>
        <v>308.45236558188958</v>
      </c>
      <c r="H158" s="13">
        <f ca="1"/>
        <v>305.71526092046389</v>
      </c>
      <c r="I158" s="13">
        <f ca="1"/>
        <v>294.7668422747609</v>
      </c>
      <c r="J158" s="13">
        <f ca="1"/>
        <v>292.02973761333521</v>
      </c>
      <c r="K158" s="13">
        <f ca="1"/>
        <v>0</v>
      </c>
      <c r="L158" s="13">
        <f ca="1"/>
        <v>1</v>
      </c>
      <c r="M158" s="13">
        <f ca="1"/>
        <v>0</v>
      </c>
      <c r="N158" s="13">
        <f ca="1"/>
        <v>0</v>
      </c>
      <c r="P158" s="13">
        <f ca="1"/>
        <v>22.713567839195981</v>
      </c>
      <c r="Q158" s="13">
        <f ca="1"/>
        <v>1.1340915901195431E-2</v>
      </c>
      <c r="R158" s="13">
        <f ca="1"/>
        <v>5.7836935265099948E-2</v>
      </c>
      <c r="S158" s="13">
        <f ca="1"/>
        <v>0.18052760265209855</v>
      </c>
    </row>
    <row r="159" spans="1:19">
      <c r="A159" s="44">
        <f ca="1"/>
        <v>22.91457286432161</v>
      </c>
      <c r="B159" s="44">
        <f ca="1"/>
        <v>302.1705144564238</v>
      </c>
      <c r="D159" s="13">
        <f ca="1"/>
        <v>22.91457286432161</v>
      </c>
      <c r="E159" s="13">
        <f ca="1"/>
        <v>302.1705144564238</v>
      </c>
      <c r="F159" s="13">
        <f ca="1"/>
        <v>300.2410515976124</v>
      </c>
      <c r="G159" s="13">
        <f ca="1"/>
        <v>308.45236558188958</v>
      </c>
      <c r="H159" s="13">
        <f ca="1"/>
        <v>305.71526092046389</v>
      </c>
      <c r="I159" s="13">
        <f ca="1"/>
        <v>294.7668422747609</v>
      </c>
      <c r="J159" s="13">
        <f ca="1"/>
        <v>292.02973761333521</v>
      </c>
      <c r="K159" s="13">
        <f ca="1"/>
        <v>0</v>
      </c>
      <c r="L159" s="13">
        <f ca="1"/>
        <v>1</v>
      </c>
      <c r="M159" s="13">
        <f ca="1"/>
        <v>0</v>
      </c>
      <c r="N159" s="13">
        <f ca="1"/>
        <v>0</v>
      </c>
      <c r="P159" s="13">
        <f ca="1"/>
        <v>22.91457286432161</v>
      </c>
      <c r="Q159" s="13">
        <f ca="1"/>
        <v>3.5834348190001877E-2</v>
      </c>
      <c r="R159" s="13">
        <f ca="1"/>
        <v>5.7836935265099948E-2</v>
      </c>
      <c r="S159" s="13">
        <f ca="1"/>
        <v>0.18052760265209855</v>
      </c>
    </row>
    <row r="160" spans="1:19">
      <c r="A160" s="44">
        <f ca="1"/>
        <v>23.115577889447238</v>
      </c>
      <c r="B160" s="44">
        <f ca="1"/>
        <v>302.16486001369685</v>
      </c>
      <c r="D160" s="13">
        <f ca="1"/>
        <v>23.115577889447238</v>
      </c>
      <c r="E160" s="13">
        <f ca="1"/>
        <v>302.16486001369685</v>
      </c>
      <c r="F160" s="13">
        <f ca="1"/>
        <v>300.2410515976124</v>
      </c>
      <c r="G160" s="13">
        <f ca="1"/>
        <v>308.45236558188958</v>
      </c>
      <c r="H160" s="13">
        <f ca="1"/>
        <v>305.71526092046389</v>
      </c>
      <c r="I160" s="13">
        <f ca="1"/>
        <v>294.7668422747609</v>
      </c>
      <c r="J160" s="13">
        <f ca="1"/>
        <v>292.02973761333521</v>
      </c>
      <c r="K160" s="13">
        <f ca="1"/>
        <v>0</v>
      </c>
      <c r="L160" s="13">
        <f ca="1"/>
        <v>1</v>
      </c>
      <c r="M160" s="13">
        <f ca="1"/>
        <v>0</v>
      </c>
      <c r="N160" s="13">
        <f ca="1"/>
        <v>0</v>
      </c>
      <c r="P160" s="13">
        <f ca="1"/>
        <v>23.115577889447238</v>
      </c>
      <c r="Q160" s="13">
        <f ca="1"/>
        <v>7.1885228827083599E-4</v>
      </c>
      <c r="R160" s="13">
        <f ca="1"/>
        <v>5.7836935265099948E-2</v>
      </c>
      <c r="S160" s="13">
        <f ca="1"/>
        <v>0.18052760265209855</v>
      </c>
    </row>
    <row r="161" spans="1:19">
      <c r="A161" s="44">
        <f ca="1"/>
        <v>23.316582914572866</v>
      </c>
      <c r="B161" s="44">
        <f ca="1"/>
        <v>302.03813386911304</v>
      </c>
      <c r="D161" s="13">
        <f ca="1"/>
        <v>23.316582914572866</v>
      </c>
      <c r="E161" s="13">
        <f ca="1"/>
        <v>302.03813386911304</v>
      </c>
      <c r="F161" s="13">
        <f ca="1"/>
        <v>300.2410515976124</v>
      </c>
      <c r="G161" s="13">
        <f ca="1"/>
        <v>308.45236558188958</v>
      </c>
      <c r="H161" s="13">
        <f ca="1"/>
        <v>305.71526092046389</v>
      </c>
      <c r="I161" s="13">
        <f ca="1"/>
        <v>294.7668422747609</v>
      </c>
      <c r="J161" s="13">
        <f ca="1"/>
        <v>292.02973761333521</v>
      </c>
      <c r="K161" s="13">
        <f ca="1"/>
        <v>0</v>
      </c>
      <c r="L161" s="13">
        <f ca="1"/>
        <v>1</v>
      </c>
      <c r="M161" s="13">
        <f ca="1"/>
        <v>0</v>
      </c>
      <c r="N161" s="13">
        <f ca="1"/>
        <v>0</v>
      </c>
      <c r="P161" s="13">
        <f ca="1"/>
        <v>23.316582914572866</v>
      </c>
      <c r="Q161" s="13">
        <f ca="1"/>
        <v>1.6110761646524276E-2</v>
      </c>
      <c r="R161" s="13">
        <f ca="1"/>
        <v>5.7836935265099948E-2</v>
      </c>
      <c r="S161" s="13">
        <f ca="1"/>
        <v>0.18052760265209855</v>
      </c>
    </row>
    <row r="162" spans="1:19">
      <c r="A162" s="44">
        <f ca="1"/>
        <v>23.517587939698494</v>
      </c>
      <c r="B162" s="44">
        <f ca="1"/>
        <v>302.05667337012585</v>
      </c>
      <c r="D162" s="13">
        <f ca="1"/>
        <v>23.517587939698494</v>
      </c>
      <c r="E162" s="13">
        <f ca="1"/>
        <v>302.05667337012585</v>
      </c>
      <c r="F162" s="13">
        <f ca="1"/>
        <v>300.2410515976124</v>
      </c>
      <c r="G162" s="13">
        <f ca="1"/>
        <v>308.45236558188958</v>
      </c>
      <c r="H162" s="13">
        <f ca="1"/>
        <v>305.71526092046389</v>
      </c>
      <c r="I162" s="13">
        <f ca="1"/>
        <v>294.7668422747609</v>
      </c>
      <c r="J162" s="13">
        <f ca="1"/>
        <v>292.02973761333521</v>
      </c>
      <c r="K162" s="13">
        <f ca="1"/>
        <v>0</v>
      </c>
      <c r="L162" s="13">
        <f ca="1"/>
        <v>1</v>
      </c>
      <c r="M162" s="13">
        <f ca="1"/>
        <v>0</v>
      </c>
      <c r="N162" s="13">
        <f ca="1"/>
        <v>0</v>
      </c>
      <c r="P162" s="13">
        <f ca="1"/>
        <v>23.517587939698494</v>
      </c>
      <c r="Q162" s="13">
        <f ca="1"/>
        <v>2.3569365488377366E-3</v>
      </c>
      <c r="R162" s="13">
        <f ca="1"/>
        <v>5.7836935265099948E-2</v>
      </c>
      <c r="S162" s="13">
        <f ca="1"/>
        <v>0.18052760265209855</v>
      </c>
    </row>
    <row r="163" spans="1:19">
      <c r="A163" s="44">
        <f ca="1"/>
        <v>23.718592964824122</v>
      </c>
      <c r="B163" s="44">
        <f ca="1"/>
        <v>301.85838113106814</v>
      </c>
      <c r="D163" s="13">
        <f ca="1"/>
        <v>23.718592964824122</v>
      </c>
      <c r="E163" s="13">
        <f ca="1"/>
        <v>301.85838113106814</v>
      </c>
      <c r="F163" s="13">
        <f ca="1"/>
        <v>300.2410515976124</v>
      </c>
      <c r="G163" s="13">
        <f ca="1"/>
        <v>308.45236558188958</v>
      </c>
      <c r="H163" s="13">
        <f ca="1"/>
        <v>305.71526092046389</v>
      </c>
      <c r="I163" s="13">
        <f ca="1"/>
        <v>294.7668422747609</v>
      </c>
      <c r="J163" s="13">
        <f ca="1"/>
        <v>292.02973761333521</v>
      </c>
      <c r="K163" s="13">
        <f ca="1"/>
        <v>0</v>
      </c>
      <c r="L163" s="13">
        <f ca="1"/>
        <v>1</v>
      </c>
      <c r="M163" s="13">
        <f ca="1"/>
        <v>0</v>
      </c>
      <c r="N163" s="13">
        <f ca="1"/>
        <v>0</v>
      </c>
      <c r="P163" s="13">
        <f ca="1"/>
        <v>23.718592964824122</v>
      </c>
      <c r="Q163" s="13">
        <f ca="1"/>
        <v>2.5208997009306882E-2</v>
      </c>
      <c r="R163" s="13">
        <f ca="1"/>
        <v>5.7836935265099948E-2</v>
      </c>
      <c r="S163" s="13">
        <f ca="1"/>
        <v>0.18052760265209855</v>
      </c>
    </row>
    <row r="164" spans="1:19">
      <c r="A164" s="44">
        <f ca="1"/>
        <v>23.91959798994975</v>
      </c>
      <c r="B164" s="44">
        <f ca="1"/>
        <v>301.60572357894</v>
      </c>
      <c r="D164" s="13">
        <f ca="1"/>
        <v>23.91959798994975</v>
      </c>
      <c r="E164" s="13">
        <f ca="1"/>
        <v>301.60572357894</v>
      </c>
      <c r="F164" s="13">
        <f ca="1"/>
        <v>300.2410515976124</v>
      </c>
      <c r="G164" s="13">
        <f ca="1"/>
        <v>308.45236558188958</v>
      </c>
      <c r="H164" s="13">
        <f ca="1"/>
        <v>305.71526092046389</v>
      </c>
      <c r="I164" s="13">
        <f ca="1"/>
        <v>294.7668422747609</v>
      </c>
      <c r="J164" s="13">
        <f ca="1"/>
        <v>292.02973761333521</v>
      </c>
      <c r="K164" s="13">
        <f ca="1"/>
        <v>0</v>
      </c>
      <c r="L164" s="13">
        <f ca="1"/>
        <v>1</v>
      </c>
      <c r="M164" s="13">
        <f ca="1"/>
        <v>0</v>
      </c>
      <c r="N164" s="13">
        <f ca="1"/>
        <v>0</v>
      </c>
      <c r="P164" s="13">
        <f ca="1"/>
        <v>23.91959798994975</v>
      </c>
      <c r="Q164" s="13">
        <f ca="1"/>
        <v>3.2120487953759658E-2</v>
      </c>
      <c r="R164" s="13">
        <f ca="1"/>
        <v>5.7836935265099948E-2</v>
      </c>
      <c r="S164" s="13">
        <f ca="1"/>
        <v>0.18052760265209855</v>
      </c>
    </row>
    <row r="165" spans="1:19">
      <c r="A165" s="44">
        <f ca="1"/>
        <v>24.120603015075378</v>
      </c>
      <c r="B165" s="44">
        <f ca="1"/>
        <v>301.15882996052233</v>
      </c>
      <c r="D165" s="13">
        <f ca="1"/>
        <v>24.120603015075378</v>
      </c>
      <c r="E165" s="13">
        <f ca="1"/>
        <v>301.15882996052233</v>
      </c>
      <c r="F165" s="13">
        <f ca="1"/>
        <v>300.2410515976124</v>
      </c>
      <c r="G165" s="13">
        <f ca="1"/>
        <v>308.45236558188958</v>
      </c>
      <c r="H165" s="13">
        <f ca="1"/>
        <v>305.71526092046389</v>
      </c>
      <c r="I165" s="13">
        <f ca="1"/>
        <v>294.7668422747609</v>
      </c>
      <c r="J165" s="13">
        <f ca="1"/>
        <v>292.02973761333521</v>
      </c>
      <c r="K165" s="13">
        <f ca="1"/>
        <v>0</v>
      </c>
      <c r="L165" s="13">
        <f ca="1"/>
        <v>1</v>
      </c>
      <c r="M165" s="13">
        <f ca="1"/>
        <v>0</v>
      </c>
      <c r="N165" s="13">
        <f ca="1"/>
        <v>0</v>
      </c>
      <c r="P165" s="13">
        <f ca="1"/>
        <v>24.120603015075378</v>
      </c>
      <c r="Q165" s="13">
        <f ca="1"/>
        <v>5.6813821578215878E-2</v>
      </c>
      <c r="R165" s="13">
        <f ca="1"/>
        <v>5.7836935265099948E-2</v>
      </c>
      <c r="S165" s="13">
        <f ca="1"/>
        <v>0.18052760265209855</v>
      </c>
    </row>
    <row r="166" spans="1:19">
      <c r="A166" s="44">
        <f ca="1"/>
        <v>24.321608040201006</v>
      </c>
      <c r="B166" s="44">
        <f ca="1"/>
        <v>302.09119238497021</v>
      </c>
      <c r="D166" s="13">
        <f ca="1"/>
        <v>24.321608040201006</v>
      </c>
      <c r="E166" s="13">
        <f ca="1"/>
        <v>302.09119238497021</v>
      </c>
      <c r="F166" s="13">
        <f ca="1"/>
        <v>300.2410515976124</v>
      </c>
      <c r="G166" s="13">
        <f ca="1"/>
        <v>308.45236558188958</v>
      </c>
      <c r="H166" s="13">
        <f ca="1"/>
        <v>305.71526092046389</v>
      </c>
      <c r="I166" s="13">
        <f ca="1"/>
        <v>294.7668422747609</v>
      </c>
      <c r="J166" s="13">
        <f ca="1"/>
        <v>292.02973761333521</v>
      </c>
      <c r="K166" s="13">
        <f ca="1"/>
        <v>0</v>
      </c>
      <c r="L166" s="13">
        <f ca="1"/>
        <v>1</v>
      </c>
      <c r="M166" s="13">
        <f ca="1"/>
        <v>0</v>
      </c>
      <c r="N166" s="13">
        <f ca="1"/>
        <v>0</v>
      </c>
      <c r="P166" s="13">
        <f ca="1"/>
        <v>24.321608040201006</v>
      </c>
      <c r="Q166" s="13">
        <f ca="1"/>
        <v>0.118531727117453</v>
      </c>
      <c r="R166" s="13">
        <f ca="1"/>
        <v>5.7836935265099948E-2</v>
      </c>
      <c r="S166" s="13">
        <f ca="1"/>
        <v>0.18052760265209855</v>
      </c>
    </row>
    <row r="167" spans="1:19">
      <c r="A167" s="44">
        <f ca="1"/>
        <v>24.522613065326635</v>
      </c>
      <c r="B167" s="44">
        <f ca="1"/>
        <v>301.26774904337111</v>
      </c>
      <c r="D167" s="13">
        <f ca="1"/>
        <v>24.522613065326635</v>
      </c>
      <c r="E167" s="13">
        <f ca="1"/>
        <v>301.26774904337111</v>
      </c>
      <c r="F167" s="13">
        <f ca="1"/>
        <v>300.2410515976124</v>
      </c>
      <c r="G167" s="13">
        <f ca="1"/>
        <v>308.45236558188958</v>
      </c>
      <c r="H167" s="13">
        <f ca="1"/>
        <v>305.71526092046389</v>
      </c>
      <c r="I167" s="13">
        <f ca="1"/>
        <v>294.7668422747609</v>
      </c>
      <c r="J167" s="13">
        <f ca="1"/>
        <v>292.02973761333521</v>
      </c>
      <c r="K167" s="13">
        <f ca="1"/>
        <v>0</v>
      </c>
      <c r="L167" s="13">
        <f ca="1"/>
        <v>1</v>
      </c>
      <c r="M167" s="13">
        <f ca="1"/>
        <v>0</v>
      </c>
      <c r="N167" s="13">
        <f ca="1"/>
        <v>0</v>
      </c>
      <c r="P167" s="13">
        <f ca="1"/>
        <v>24.522613065326635</v>
      </c>
      <c r="Q167" s="13">
        <f ca="1"/>
        <v>0.10468478662780317</v>
      </c>
      <c r="R167" s="13">
        <f ca="1"/>
        <v>5.7836935265099948E-2</v>
      </c>
      <c r="S167" s="13">
        <f ca="1"/>
        <v>0.18052760265209855</v>
      </c>
    </row>
    <row r="168" spans="1:19">
      <c r="A168" s="44">
        <f ca="1"/>
        <v>24.723618090452263</v>
      </c>
      <c r="B168" s="44">
        <f ca="1"/>
        <v>302.30753245393657</v>
      </c>
      <c r="D168" s="13">
        <f ca="1"/>
        <v>24.723618090452263</v>
      </c>
      <c r="E168" s="13">
        <f ca="1"/>
        <v>302.30753245393657</v>
      </c>
      <c r="F168" s="13">
        <f ca="1"/>
        <v>300.2410515976124</v>
      </c>
      <c r="G168" s="13">
        <f ca="1"/>
        <v>308.45236558188958</v>
      </c>
      <c r="H168" s="13">
        <f ca="1"/>
        <v>305.71526092046389</v>
      </c>
      <c r="I168" s="13">
        <f ca="1"/>
        <v>294.7668422747609</v>
      </c>
      <c r="J168" s="13">
        <f ca="1"/>
        <v>292.02973761333521</v>
      </c>
      <c r="K168" s="13">
        <f ca="1"/>
        <v>0</v>
      </c>
      <c r="L168" s="13">
        <f ca="1"/>
        <v>1</v>
      </c>
      <c r="M168" s="13">
        <f ca="1"/>
        <v>0</v>
      </c>
      <c r="N168" s="13">
        <f ca="1"/>
        <v>0</v>
      </c>
      <c r="P168" s="13">
        <f ca="1"/>
        <v>24.723618090452263</v>
      </c>
      <c r="Q168" s="13">
        <f ca="1"/>
        <v>0.13218821377897411</v>
      </c>
      <c r="R168" s="13">
        <f ca="1"/>
        <v>5.7836935265099948E-2</v>
      </c>
      <c r="S168" s="13">
        <f ca="1"/>
        <v>0.18052760265209855</v>
      </c>
    </row>
    <row r="169" spans="1:19">
      <c r="A169" s="44">
        <f ca="1"/>
        <v>24.924623115577891</v>
      </c>
      <c r="B169" s="44">
        <f ca="1"/>
        <v>301.85819438643676</v>
      </c>
      <c r="D169" s="13">
        <f ca="1"/>
        <v>24.924623115577891</v>
      </c>
      <c r="E169" s="13">
        <f ca="1"/>
        <v>301.85819438643676</v>
      </c>
      <c r="F169" s="13">
        <f ca="1"/>
        <v>300.2410515976124</v>
      </c>
      <c r="G169" s="13">
        <f ca="1"/>
        <v>308.45236558188958</v>
      </c>
      <c r="H169" s="13">
        <f ca="1"/>
        <v>305.71526092046389</v>
      </c>
      <c r="I169" s="13">
        <f ca="1"/>
        <v>294.7668422747609</v>
      </c>
      <c r="J169" s="13">
        <f ca="1"/>
        <v>292.02973761333521</v>
      </c>
      <c r="K169" s="13">
        <f ca="1"/>
        <v>0</v>
      </c>
      <c r="L169" s="13">
        <f ca="1"/>
        <v>1</v>
      </c>
      <c r="M169" s="13">
        <f ca="1"/>
        <v>0</v>
      </c>
      <c r="N169" s="13">
        <f ca="1"/>
        <v>0</v>
      </c>
      <c r="P169" s="13">
        <f ca="1"/>
        <v>24.924623115577891</v>
      </c>
      <c r="Q169" s="13">
        <f ca="1"/>
        <v>5.7124585680198611E-2</v>
      </c>
      <c r="R169" s="13">
        <f ca="1"/>
        <v>5.7836935265099948E-2</v>
      </c>
      <c r="S169" s="13">
        <f ca="1"/>
        <v>0.18052760265209855</v>
      </c>
    </row>
    <row r="170" spans="1:19">
      <c r="A170" s="44">
        <f ca="1"/>
        <v>25.125628140703519</v>
      </c>
      <c r="B170" s="44">
        <f ca="1"/>
        <v>298.28735829951097</v>
      </c>
      <c r="D170" s="13">
        <f ca="1"/>
        <v>25.125628140703519</v>
      </c>
      <c r="E170" s="13">
        <f ca="1"/>
        <v>298.28735829951097</v>
      </c>
      <c r="F170" s="13">
        <f ca="1"/>
        <v>300.2410515976124</v>
      </c>
      <c r="G170" s="13">
        <f ca="1"/>
        <v>308.45236558188958</v>
      </c>
      <c r="H170" s="13">
        <f ca="1"/>
        <v>305.71526092046389</v>
      </c>
      <c r="I170" s="13">
        <f ca="1"/>
        <v>294.7668422747609</v>
      </c>
      <c r="J170" s="13">
        <f ca="1"/>
        <v>292.02973761333521</v>
      </c>
      <c r="K170" s="13">
        <f ca="1"/>
        <v>0</v>
      </c>
      <c r="L170" s="13">
        <f ca="1"/>
        <v>0</v>
      </c>
      <c r="M170" s="13">
        <f ca="1"/>
        <v>0</v>
      </c>
      <c r="N170" s="13">
        <f ca="1"/>
        <v>0</v>
      </c>
      <c r="P170" s="13">
        <f ca="1"/>
        <v>25.125628140703519</v>
      </c>
      <c r="Q170" s="13">
        <f ca="1"/>
        <v>0.45396227640477899</v>
      </c>
      <c r="R170" s="13">
        <f ca="1"/>
        <v>5.7836935265099948E-2</v>
      </c>
      <c r="S170" s="13">
        <f ca="1"/>
        <v>0.18052760265209855</v>
      </c>
    </row>
    <row r="171" spans="1:19">
      <c r="A171" s="44">
        <f ca="1"/>
        <v>25.326633165829147</v>
      </c>
      <c r="B171" s="44">
        <f ca="1"/>
        <v>298.28846553013807</v>
      </c>
      <c r="D171" s="13">
        <f ca="1"/>
        <v>25.326633165829147</v>
      </c>
      <c r="E171" s="13">
        <f ca="1"/>
        <v>298.28846553013807</v>
      </c>
      <c r="F171" s="13">
        <f ca="1"/>
        <v>300.2410515976124</v>
      </c>
      <c r="G171" s="13">
        <f ca="1"/>
        <v>308.45236558188958</v>
      </c>
      <c r="H171" s="13">
        <f ca="1"/>
        <v>305.71526092046389</v>
      </c>
      <c r="I171" s="13">
        <f ca="1"/>
        <v>294.7668422747609</v>
      </c>
      <c r="J171" s="13">
        <f ca="1"/>
        <v>292.02973761333521</v>
      </c>
      <c r="K171" s="13">
        <f ca="1"/>
        <v>0</v>
      </c>
      <c r="L171" s="13">
        <f ca="1"/>
        <v>0</v>
      </c>
      <c r="M171" s="13">
        <f ca="1"/>
        <v>0</v>
      </c>
      <c r="N171" s="13">
        <f ca="1"/>
        <v>0</v>
      </c>
      <c r="P171" s="13">
        <f ca="1"/>
        <v>25.326633165829147</v>
      </c>
      <c r="Q171" s="13">
        <f ca="1"/>
        <v>1.4076281401526357E-4</v>
      </c>
      <c r="R171" s="13">
        <f ca="1"/>
        <v>5.7836935265099948E-2</v>
      </c>
      <c r="S171" s="13">
        <f ca="1"/>
        <v>0.18052760265209855</v>
      </c>
    </row>
    <row r="172" spans="1:19">
      <c r="A172" s="44">
        <f ca="1"/>
        <v>25.527638190954775</v>
      </c>
      <c r="B172" s="44">
        <f ca="1"/>
        <v>297.85443963104012</v>
      </c>
      <c r="D172" s="13">
        <f ca="1"/>
        <v>25.527638190954775</v>
      </c>
      <c r="E172" s="13">
        <f ca="1"/>
        <v>297.85443963104012</v>
      </c>
      <c r="F172" s="13">
        <f ca="1"/>
        <v>300.2410515976124</v>
      </c>
      <c r="G172" s="13">
        <f ca="1"/>
        <v>308.45236558188958</v>
      </c>
      <c r="H172" s="13">
        <f ca="1"/>
        <v>305.71526092046389</v>
      </c>
      <c r="I172" s="13">
        <f ca="1"/>
        <v>294.7668422747609</v>
      </c>
      <c r="J172" s="13">
        <f ca="1"/>
        <v>292.02973761333521</v>
      </c>
      <c r="K172" s="13">
        <f ca="1"/>
        <v>0</v>
      </c>
      <c r="L172" s="13">
        <f ca="1"/>
        <v>0</v>
      </c>
      <c r="M172" s="13">
        <f ca="1"/>
        <v>0</v>
      </c>
      <c r="N172" s="13">
        <f ca="1"/>
        <v>0</v>
      </c>
      <c r="P172" s="13">
        <f ca="1"/>
        <v>25.527638190954775</v>
      </c>
      <c r="Q172" s="13">
        <f ca="1"/>
        <v>5.5177941629564693E-2</v>
      </c>
      <c r="R172" s="13">
        <f ca="1"/>
        <v>5.7836935265099948E-2</v>
      </c>
      <c r="S172" s="13">
        <f ca="1"/>
        <v>0.18052760265209855</v>
      </c>
    </row>
    <row r="173" spans="1:19">
      <c r="A173" s="44">
        <f ca="1"/>
        <v>25.728643216080403</v>
      </c>
      <c r="B173" s="44">
        <f ca="1"/>
        <v>298.34423636472991</v>
      </c>
      <c r="D173" s="13">
        <f ca="1"/>
        <v>25.728643216080403</v>
      </c>
      <c r="E173" s="13">
        <f ca="1"/>
        <v>298.34423636472991</v>
      </c>
      <c r="F173" s="13">
        <f ca="1"/>
        <v>300.2410515976124</v>
      </c>
      <c r="G173" s="13">
        <f ca="1"/>
        <v>308.45236558188958</v>
      </c>
      <c r="H173" s="13">
        <f ca="1"/>
        <v>305.71526092046389</v>
      </c>
      <c r="I173" s="13">
        <f ca="1"/>
        <v>294.7668422747609</v>
      </c>
      <c r="J173" s="13">
        <f ca="1"/>
        <v>292.02973761333521</v>
      </c>
      <c r="K173" s="13">
        <f ca="1"/>
        <v>0</v>
      </c>
      <c r="L173" s="13">
        <f ca="1"/>
        <v>0</v>
      </c>
      <c r="M173" s="13">
        <f ca="1"/>
        <v>0</v>
      </c>
      <c r="N173" s="13">
        <f ca="1"/>
        <v>0</v>
      </c>
      <c r="P173" s="13">
        <f ca="1"/>
        <v>25.728643216080403</v>
      </c>
      <c r="Q173" s="13">
        <f ca="1"/>
        <v>6.2268117266862766E-2</v>
      </c>
      <c r="R173" s="13">
        <f ca="1"/>
        <v>5.7836935265099948E-2</v>
      </c>
      <c r="S173" s="13">
        <f ca="1"/>
        <v>0.18052760265209855</v>
      </c>
    </row>
    <row r="174" spans="1:19">
      <c r="A174" s="44">
        <f ca="1"/>
        <v>25.929648241206031</v>
      </c>
      <c r="B174" s="44">
        <f ca="1"/>
        <v>298.23177670496744</v>
      </c>
      <c r="D174" s="13">
        <f ca="1"/>
        <v>25.929648241206031</v>
      </c>
      <c r="E174" s="13">
        <f ca="1"/>
        <v>298.23177670496744</v>
      </c>
      <c r="F174" s="13">
        <f ca="1"/>
        <v>300.2410515976124</v>
      </c>
      <c r="G174" s="13">
        <f ca="1"/>
        <v>308.45236558188958</v>
      </c>
      <c r="H174" s="13">
        <f ca="1"/>
        <v>305.71526092046389</v>
      </c>
      <c r="I174" s="13">
        <f ca="1"/>
        <v>294.7668422747609</v>
      </c>
      <c r="J174" s="13">
        <f ca="1"/>
        <v>292.02973761333521</v>
      </c>
      <c r="K174" s="13">
        <f ca="1"/>
        <v>0</v>
      </c>
      <c r="L174" s="13">
        <f ca="1"/>
        <v>0</v>
      </c>
      <c r="M174" s="13">
        <f ca="1"/>
        <v>0</v>
      </c>
      <c r="N174" s="13">
        <f ca="1"/>
        <v>0</v>
      </c>
      <c r="P174" s="13">
        <f ca="1"/>
        <v>25.929648241206031</v>
      </c>
      <c r="Q174" s="13">
        <f ca="1"/>
        <v>1.4297055901389025E-2</v>
      </c>
      <c r="R174" s="13">
        <f ca="1"/>
        <v>5.7836935265099948E-2</v>
      </c>
      <c r="S174" s="13">
        <f ca="1"/>
        <v>0.18052760265209855</v>
      </c>
    </row>
    <row r="175" spans="1:19">
      <c r="A175" s="44">
        <f ca="1"/>
        <v>26.13065326633166</v>
      </c>
      <c r="B175" s="44">
        <f ca="1"/>
        <v>298.43854934891874</v>
      </c>
      <c r="D175" s="13">
        <f ca="1"/>
        <v>26.13065326633166</v>
      </c>
      <c r="E175" s="13">
        <f ca="1"/>
        <v>298.43854934891874</v>
      </c>
      <c r="F175" s="13">
        <f ca="1"/>
        <v>300.2410515976124</v>
      </c>
      <c r="G175" s="13">
        <f ca="1"/>
        <v>308.45236558188958</v>
      </c>
      <c r="H175" s="13">
        <f ca="1"/>
        <v>305.71526092046389</v>
      </c>
      <c r="I175" s="13">
        <f ca="1"/>
        <v>294.7668422747609</v>
      </c>
      <c r="J175" s="13">
        <f ca="1"/>
        <v>292.02973761333521</v>
      </c>
      <c r="K175" s="13">
        <f ca="1"/>
        <v>0</v>
      </c>
      <c r="L175" s="13">
        <f ca="1"/>
        <v>0</v>
      </c>
      <c r="M175" s="13">
        <f ca="1"/>
        <v>0</v>
      </c>
      <c r="N175" s="13">
        <f ca="1"/>
        <v>0</v>
      </c>
      <c r="P175" s="13">
        <f ca="1"/>
        <v>26.13065326633166</v>
      </c>
      <c r="Q175" s="13">
        <f ca="1"/>
        <v>2.6287115359354817E-2</v>
      </c>
      <c r="R175" s="13">
        <f ca="1"/>
        <v>5.7836935265099948E-2</v>
      </c>
      <c r="S175" s="13">
        <f ca="1"/>
        <v>0.18052760265209855</v>
      </c>
    </row>
    <row r="176" spans="1:19">
      <c r="A176" s="44">
        <f ca="1"/>
        <v>26.331658291457288</v>
      </c>
      <c r="B176" s="44">
        <f ca="1"/>
        <v>298.27684958813194</v>
      </c>
      <c r="D176" s="13">
        <f ca="1"/>
        <v>26.331658291457288</v>
      </c>
      <c r="E176" s="13">
        <f ca="1"/>
        <v>298.27684958813194</v>
      </c>
      <c r="F176" s="13">
        <f ca="1"/>
        <v>300.2410515976124</v>
      </c>
      <c r="G176" s="13">
        <f ca="1"/>
        <v>308.45236558188958</v>
      </c>
      <c r="H176" s="13">
        <f ca="1"/>
        <v>305.71526092046389</v>
      </c>
      <c r="I176" s="13">
        <f ca="1"/>
        <v>294.7668422747609</v>
      </c>
      <c r="J176" s="13">
        <f ca="1"/>
        <v>292.02973761333521</v>
      </c>
      <c r="K176" s="13">
        <f ca="1"/>
        <v>0</v>
      </c>
      <c r="L176" s="13">
        <f ca="1"/>
        <v>0</v>
      </c>
      <c r="M176" s="13">
        <f ca="1"/>
        <v>0</v>
      </c>
      <c r="N176" s="13">
        <f ca="1"/>
        <v>0</v>
      </c>
      <c r="P176" s="13">
        <f ca="1"/>
        <v>26.331658291457288</v>
      </c>
      <c r="Q176" s="13">
        <f ca="1"/>
        <v>2.0556975933353931E-2</v>
      </c>
      <c r="R176" s="13">
        <f ca="1"/>
        <v>5.7836935265099948E-2</v>
      </c>
      <c r="S176" s="13">
        <f ca="1"/>
        <v>0.18052760265209855</v>
      </c>
    </row>
    <row r="177" spans="1:19">
      <c r="A177" s="44">
        <f ca="1"/>
        <v>26.532663316582916</v>
      </c>
      <c r="B177" s="44">
        <f ca="1"/>
        <v>298.31356108903844</v>
      </c>
      <c r="D177" s="13">
        <f ca="1"/>
        <v>26.532663316582916</v>
      </c>
      <c r="E177" s="13">
        <f ca="1"/>
        <v>298.31356108903844</v>
      </c>
      <c r="F177" s="13">
        <f ca="1"/>
        <v>300.2410515976124</v>
      </c>
      <c r="G177" s="13">
        <f ca="1"/>
        <v>308.45236558188958</v>
      </c>
      <c r="H177" s="13">
        <f ca="1"/>
        <v>305.71526092046389</v>
      </c>
      <c r="I177" s="13">
        <f ca="1"/>
        <v>294.7668422747609</v>
      </c>
      <c r="J177" s="13">
        <f ca="1"/>
        <v>292.02973761333521</v>
      </c>
      <c r="K177" s="13">
        <f ca="1"/>
        <v>0</v>
      </c>
      <c r="L177" s="13">
        <f ca="1"/>
        <v>1</v>
      </c>
      <c r="M177" s="13">
        <f ca="1"/>
        <v>0</v>
      </c>
      <c r="N177" s="13">
        <f ca="1"/>
        <v>0</v>
      </c>
      <c r="P177" s="13">
        <f ca="1"/>
        <v>26.532663316582916</v>
      </c>
      <c r="Q177" s="13">
        <f ca="1"/>
        <v>4.667152486436686E-3</v>
      </c>
      <c r="R177" s="13">
        <f ca="1"/>
        <v>5.7836935265099948E-2</v>
      </c>
      <c r="S177" s="13">
        <f ca="1"/>
        <v>0.18052760265209855</v>
      </c>
    </row>
    <row r="178" spans="1:19">
      <c r="A178" s="44">
        <f ca="1"/>
        <v>26.733668341708544</v>
      </c>
      <c r="B178" s="44">
        <f ca="1"/>
        <v>298.32678270972548</v>
      </c>
      <c r="D178" s="13">
        <f ca="1"/>
        <v>26.733668341708544</v>
      </c>
      <c r="E178" s="13">
        <f ca="1"/>
        <v>298.32678270972548</v>
      </c>
      <c r="F178" s="13">
        <f ca="1"/>
        <v>300.2410515976124</v>
      </c>
      <c r="G178" s="13">
        <f ca="1"/>
        <v>308.45236558188958</v>
      </c>
      <c r="H178" s="13">
        <f ca="1"/>
        <v>305.71526092046389</v>
      </c>
      <c r="I178" s="13">
        <f ca="1"/>
        <v>294.7668422747609</v>
      </c>
      <c r="J178" s="13">
        <f ca="1"/>
        <v>292.02973761333521</v>
      </c>
      <c r="K178" s="13">
        <f ca="1"/>
        <v>0</v>
      </c>
      <c r="L178" s="13">
        <f ca="1"/>
        <v>1</v>
      </c>
      <c r="M178" s="13">
        <f ca="1"/>
        <v>0</v>
      </c>
      <c r="N178" s="13">
        <f ca="1"/>
        <v>0</v>
      </c>
      <c r="P178" s="13">
        <f ca="1"/>
        <v>26.733668341708544</v>
      </c>
      <c r="Q178" s="13">
        <f ca="1"/>
        <v>1.6808716162644646E-3</v>
      </c>
      <c r="R178" s="13">
        <f ca="1"/>
        <v>5.7836935265099948E-2</v>
      </c>
      <c r="S178" s="13">
        <f ca="1"/>
        <v>0.18052760265209855</v>
      </c>
    </row>
    <row r="179" spans="1:19">
      <c r="A179" s="44">
        <f ca="1"/>
        <v>26.934673366834172</v>
      </c>
      <c r="B179" s="44">
        <f ca="1"/>
        <v>298.19371218217378</v>
      </c>
      <c r="D179" s="13">
        <f ca="1"/>
        <v>26.934673366834172</v>
      </c>
      <c r="E179" s="13">
        <f ca="1"/>
        <v>298.19371218217378</v>
      </c>
      <c r="F179" s="13">
        <f ca="1"/>
        <v>300.2410515976124</v>
      </c>
      <c r="G179" s="13">
        <f ca="1"/>
        <v>308.45236558188958</v>
      </c>
      <c r="H179" s="13">
        <f ca="1"/>
        <v>305.71526092046389</v>
      </c>
      <c r="I179" s="13">
        <f ca="1"/>
        <v>294.7668422747609</v>
      </c>
      <c r="J179" s="13">
        <f ca="1"/>
        <v>292.02973761333521</v>
      </c>
      <c r="K179" s="13">
        <f ca="1"/>
        <v>0</v>
      </c>
      <c r="L179" s="13">
        <f ca="1"/>
        <v>1</v>
      </c>
      <c r="M179" s="13">
        <f ca="1"/>
        <v>0</v>
      </c>
      <c r="N179" s="13">
        <f ca="1"/>
        <v>0</v>
      </c>
      <c r="P179" s="13">
        <f ca="1"/>
        <v>26.934673366834172</v>
      </c>
      <c r="Q179" s="13">
        <f ca="1"/>
        <v>1.6917326401772636E-2</v>
      </c>
      <c r="R179" s="13">
        <f ca="1"/>
        <v>5.7836935265099948E-2</v>
      </c>
      <c r="S179" s="13">
        <f ca="1"/>
        <v>0.18052760265209855</v>
      </c>
    </row>
    <row r="180" spans="1:19">
      <c r="A180" s="44">
        <f ca="1"/>
        <v>27.1356783919598</v>
      </c>
      <c r="B180" s="44">
        <f ca="1"/>
        <v>298.53779576401041</v>
      </c>
      <c r="D180" s="13">
        <f ca="1"/>
        <v>27.1356783919598</v>
      </c>
      <c r="E180" s="13">
        <f ca="1"/>
        <v>298.53779576401041</v>
      </c>
      <c r="F180" s="13">
        <f ca="1"/>
        <v>300.2410515976124</v>
      </c>
      <c r="G180" s="13">
        <f ca="1"/>
        <v>308.45236558188958</v>
      </c>
      <c r="H180" s="13">
        <f ca="1"/>
        <v>305.71526092046389</v>
      </c>
      <c r="I180" s="13">
        <f ca="1"/>
        <v>294.7668422747609</v>
      </c>
      <c r="J180" s="13">
        <f ca="1"/>
        <v>292.02973761333521</v>
      </c>
      <c r="K180" s="13">
        <f ca="1"/>
        <v>0</v>
      </c>
      <c r="L180" s="13">
        <f ca="1"/>
        <v>1</v>
      </c>
      <c r="M180" s="13">
        <f ca="1"/>
        <v>0</v>
      </c>
      <c r="N180" s="13">
        <f ca="1"/>
        <v>0</v>
      </c>
      <c r="P180" s="13">
        <f ca="1"/>
        <v>27.1356783919598</v>
      </c>
      <c r="Q180" s="13">
        <f ca="1"/>
        <v>4.3743527364915359E-2</v>
      </c>
      <c r="R180" s="13">
        <f ca="1"/>
        <v>5.7836935265099948E-2</v>
      </c>
      <c r="S180" s="13">
        <f ca="1"/>
        <v>0.18052760265209855</v>
      </c>
    </row>
    <row r="181" spans="1:19">
      <c r="A181" s="44">
        <f ca="1"/>
        <v>27.336683417085428</v>
      </c>
      <c r="B181" s="44">
        <f ca="1"/>
        <v>298.50340956877938</v>
      </c>
      <c r="D181" s="13">
        <f ca="1"/>
        <v>27.336683417085428</v>
      </c>
      <c r="E181" s="13">
        <f ca="1"/>
        <v>298.50340956877938</v>
      </c>
      <c r="F181" s="13">
        <f ca="1"/>
        <v>300.2410515976124</v>
      </c>
      <c r="G181" s="13">
        <f ca="1"/>
        <v>308.45236558188958</v>
      </c>
      <c r="H181" s="13">
        <f ca="1"/>
        <v>305.71526092046389</v>
      </c>
      <c r="I181" s="13">
        <f ca="1"/>
        <v>294.7668422747609</v>
      </c>
      <c r="J181" s="13">
        <f ca="1"/>
        <v>292.02973761333521</v>
      </c>
      <c r="K181" s="13">
        <f ca="1"/>
        <v>0</v>
      </c>
      <c r="L181" s="13">
        <f ca="1"/>
        <v>1</v>
      </c>
      <c r="M181" s="13">
        <f ca="1"/>
        <v>0</v>
      </c>
      <c r="N181" s="13">
        <f ca="1"/>
        <v>0</v>
      </c>
      <c r="P181" s="13">
        <f ca="1"/>
        <v>27.336683417085428</v>
      </c>
      <c r="Q181" s="13">
        <f ca="1"/>
        <v>4.3715351486265982E-3</v>
      </c>
      <c r="R181" s="13">
        <f ca="1"/>
        <v>5.7836935265099948E-2</v>
      </c>
      <c r="S181" s="13">
        <f ca="1"/>
        <v>0.18052760265209855</v>
      </c>
    </row>
    <row r="182" spans="1:19">
      <c r="A182" s="44">
        <f ca="1"/>
        <v>27.537688442211056</v>
      </c>
      <c r="B182" s="44">
        <f ca="1"/>
        <v>298.26077618644194</v>
      </c>
      <c r="D182" s="13">
        <f ca="1"/>
        <v>27.537688442211056</v>
      </c>
      <c r="E182" s="13">
        <f ca="1"/>
        <v>298.26077618644194</v>
      </c>
      <c r="F182" s="13">
        <f ca="1"/>
        <v>300.2410515976124</v>
      </c>
      <c r="G182" s="13">
        <f ca="1"/>
        <v>308.45236558188958</v>
      </c>
      <c r="H182" s="13">
        <f ca="1"/>
        <v>305.71526092046389</v>
      </c>
      <c r="I182" s="13">
        <f ca="1"/>
        <v>294.7668422747609</v>
      </c>
      <c r="J182" s="13">
        <f ca="1"/>
        <v>292.02973761333521</v>
      </c>
      <c r="K182" s="13">
        <f ca="1"/>
        <v>0</v>
      </c>
      <c r="L182" s="13">
        <f ca="1"/>
        <v>1</v>
      </c>
      <c r="M182" s="13">
        <f ca="1"/>
        <v>0</v>
      </c>
      <c r="N182" s="13">
        <f ca="1"/>
        <v>0</v>
      </c>
      <c r="P182" s="13">
        <f ca="1"/>
        <v>27.537688442211056</v>
      </c>
      <c r="Q182" s="13">
        <f ca="1"/>
        <v>3.0846109957547344E-2</v>
      </c>
      <c r="R182" s="13">
        <f ca="1"/>
        <v>5.7836935265099948E-2</v>
      </c>
      <c r="S182" s="13">
        <f ca="1"/>
        <v>0.18052760265209855</v>
      </c>
    </row>
    <row r="183" spans="1:19">
      <c r="A183" s="44">
        <f ca="1"/>
        <v>27.738693467336685</v>
      </c>
      <c r="B183" s="44">
        <f ca="1"/>
        <v>298.55864471130127</v>
      </c>
      <c r="D183" s="13">
        <f ca="1"/>
        <v>27.738693467336685</v>
      </c>
      <c r="E183" s="13">
        <f ca="1"/>
        <v>298.55864471130127</v>
      </c>
      <c r="F183" s="13">
        <f ca="1"/>
        <v>300.2410515976124</v>
      </c>
      <c r="G183" s="13">
        <f ca="1"/>
        <v>308.45236558188958</v>
      </c>
      <c r="H183" s="13">
        <f ca="1"/>
        <v>305.71526092046389</v>
      </c>
      <c r="I183" s="13">
        <f ca="1"/>
        <v>294.7668422747609</v>
      </c>
      <c r="J183" s="13">
        <f ca="1"/>
        <v>292.02973761333521</v>
      </c>
      <c r="K183" s="13">
        <f ca="1"/>
        <v>0</v>
      </c>
      <c r="L183" s="13">
        <f ca="1"/>
        <v>1</v>
      </c>
      <c r="M183" s="13">
        <f ca="1"/>
        <v>0</v>
      </c>
      <c r="N183" s="13">
        <f ca="1"/>
        <v>0</v>
      </c>
      <c r="P183" s="13">
        <f ca="1"/>
        <v>27.738693467336685</v>
      </c>
      <c r="Q183" s="13">
        <f ca="1"/>
        <v>3.7868182779256979E-2</v>
      </c>
      <c r="R183" s="13">
        <f ca="1"/>
        <v>5.7836935265099948E-2</v>
      </c>
      <c r="S183" s="13">
        <f ca="1"/>
        <v>0.18052760265209855</v>
      </c>
    </row>
    <row r="184" spans="1:19">
      <c r="A184" s="44">
        <f ca="1"/>
        <v>27.939698492462313</v>
      </c>
      <c r="B184" s="44">
        <f ca="1"/>
        <v>298.0661211507832</v>
      </c>
      <c r="D184" s="13">
        <f ca="1"/>
        <v>27.939698492462313</v>
      </c>
      <c r="E184" s="13">
        <f ca="1"/>
        <v>298.0661211507832</v>
      </c>
      <c r="F184" s="13">
        <f ca="1"/>
        <v>300.2410515976124</v>
      </c>
      <c r="G184" s="13">
        <f ca="1"/>
        <v>308.45236558188958</v>
      </c>
      <c r="H184" s="13">
        <f ca="1"/>
        <v>305.71526092046389</v>
      </c>
      <c r="I184" s="13">
        <f ca="1"/>
        <v>294.7668422747609</v>
      </c>
      <c r="J184" s="13">
        <f ca="1"/>
        <v>292.02973761333521</v>
      </c>
      <c r="K184" s="13">
        <f ca="1"/>
        <v>0</v>
      </c>
      <c r="L184" s="13">
        <f ca="1"/>
        <v>1</v>
      </c>
      <c r="M184" s="13">
        <f ca="1"/>
        <v>0</v>
      </c>
      <c r="N184" s="13">
        <f ca="1"/>
        <v>0</v>
      </c>
      <c r="P184" s="13">
        <f ca="1"/>
        <v>27.939698492462313</v>
      </c>
      <c r="Q184" s="13">
        <f ca="1"/>
        <v>6.2614780200750939E-2</v>
      </c>
      <c r="R184" s="13">
        <f ca="1"/>
        <v>5.7836935265099948E-2</v>
      </c>
      <c r="S184" s="13">
        <f ca="1"/>
        <v>0.18052760265209855</v>
      </c>
    </row>
    <row r="185" spans="1:19">
      <c r="A185" s="44">
        <f ca="1"/>
        <v>28.140703517587941</v>
      </c>
      <c r="B185" s="44">
        <f ca="1"/>
        <v>298.30779711335197</v>
      </c>
      <c r="D185" s="13">
        <f ca="1"/>
        <v>28.140703517587941</v>
      </c>
      <c r="E185" s="13">
        <f ca="1"/>
        <v>298.30779711335197</v>
      </c>
      <c r="F185" s="13">
        <f ca="1"/>
        <v>300.2410515976124</v>
      </c>
      <c r="G185" s="13">
        <f ca="1"/>
        <v>308.45236558188958</v>
      </c>
      <c r="H185" s="13">
        <f ca="1"/>
        <v>305.71526092046389</v>
      </c>
      <c r="I185" s="13">
        <f ca="1"/>
        <v>294.7668422747609</v>
      </c>
      <c r="J185" s="13">
        <f ca="1"/>
        <v>292.02973761333521</v>
      </c>
      <c r="K185" s="13">
        <f ca="1"/>
        <v>0</v>
      </c>
      <c r="L185" s="13">
        <f ca="1"/>
        <v>1</v>
      </c>
      <c r="M185" s="13">
        <f ca="1"/>
        <v>0</v>
      </c>
      <c r="N185" s="13">
        <f ca="1"/>
        <v>0</v>
      </c>
      <c r="P185" s="13">
        <f ca="1"/>
        <v>28.140703517587941</v>
      </c>
      <c r="Q185" s="13">
        <f ca="1"/>
        <v>3.0724392677034081E-2</v>
      </c>
      <c r="R185" s="13">
        <f ca="1"/>
        <v>5.7836935265099948E-2</v>
      </c>
      <c r="S185" s="13">
        <f ca="1"/>
        <v>0.18052760265209855</v>
      </c>
    </row>
    <row r="186" spans="1:19">
      <c r="A186" s="44">
        <f ca="1"/>
        <v>28.341708542713569</v>
      </c>
      <c r="B186" s="44">
        <f ca="1"/>
        <v>298.11221237637074</v>
      </c>
      <c r="D186" s="13">
        <f ca="1"/>
        <v>28.341708542713569</v>
      </c>
      <c r="E186" s="13">
        <f ca="1"/>
        <v>298.11221237637074</v>
      </c>
      <c r="F186" s="13">
        <f ca="1"/>
        <v>300.2410515976124</v>
      </c>
      <c r="G186" s="13">
        <f ca="1"/>
        <v>308.45236558188958</v>
      </c>
      <c r="H186" s="13">
        <f ca="1"/>
        <v>305.71526092046389</v>
      </c>
      <c r="I186" s="13">
        <f ca="1"/>
        <v>294.7668422747609</v>
      </c>
      <c r="J186" s="13">
        <f ca="1"/>
        <v>292.02973761333521</v>
      </c>
      <c r="K186" s="13">
        <f ca="1"/>
        <v>0</v>
      </c>
      <c r="L186" s="13">
        <f ca="1"/>
        <v>1</v>
      </c>
      <c r="M186" s="13">
        <f ca="1"/>
        <v>0</v>
      </c>
      <c r="N186" s="13">
        <f ca="1"/>
        <v>0</v>
      </c>
      <c r="P186" s="13">
        <f ca="1"/>
        <v>28.341708542713569</v>
      </c>
      <c r="Q186" s="13">
        <f ca="1"/>
        <v>2.4864790841315102E-2</v>
      </c>
      <c r="R186" s="13">
        <f ca="1"/>
        <v>5.7836935265099948E-2</v>
      </c>
      <c r="S186" s="13">
        <f ca="1"/>
        <v>0.18052760265209855</v>
      </c>
    </row>
    <row r="187" spans="1:19">
      <c r="A187" s="44">
        <f ca="1"/>
        <v>28.542713567839197</v>
      </c>
      <c r="B187" s="44">
        <f ca="1"/>
        <v>298.35343368532779</v>
      </c>
      <c r="D187" s="13">
        <f ca="1"/>
        <v>28.542713567839197</v>
      </c>
      <c r="E187" s="13">
        <f ca="1"/>
        <v>298.35343368532779</v>
      </c>
      <c r="F187" s="13">
        <f ca="1"/>
        <v>300.2410515976124</v>
      </c>
      <c r="G187" s="13">
        <f ca="1"/>
        <v>308.45236558188958</v>
      </c>
      <c r="H187" s="13">
        <f ca="1"/>
        <v>305.71526092046389</v>
      </c>
      <c r="I187" s="13">
        <f ca="1"/>
        <v>294.7668422747609</v>
      </c>
      <c r="J187" s="13">
        <f ca="1"/>
        <v>292.02973761333521</v>
      </c>
      <c r="K187" s="13">
        <f ca="1"/>
        <v>0</v>
      </c>
      <c r="L187" s="13">
        <f ca="1"/>
        <v>1</v>
      </c>
      <c r="M187" s="13">
        <f ca="1"/>
        <v>0</v>
      </c>
      <c r="N187" s="13">
        <f ca="1"/>
        <v>0</v>
      </c>
      <c r="P187" s="13">
        <f ca="1"/>
        <v>28.542713567839197</v>
      </c>
      <c r="Q187" s="13">
        <f ca="1"/>
        <v>3.0666592323412685E-2</v>
      </c>
      <c r="R187" s="13">
        <f ca="1"/>
        <v>5.7836935265099948E-2</v>
      </c>
      <c r="S187" s="13">
        <f ca="1"/>
        <v>0.18052760265209855</v>
      </c>
    </row>
    <row r="188" spans="1:19">
      <c r="A188" s="44">
        <f ca="1"/>
        <v>28.743718592964825</v>
      </c>
      <c r="B188" s="44">
        <f ca="1"/>
        <v>298.76009715907816</v>
      </c>
      <c r="D188" s="13">
        <f ca="1"/>
        <v>28.743718592964825</v>
      </c>
      <c r="E188" s="13">
        <f ca="1"/>
        <v>298.76009715907816</v>
      </c>
      <c r="F188" s="13">
        <f ca="1"/>
        <v>300.2410515976124</v>
      </c>
      <c r="G188" s="13">
        <f ca="1"/>
        <v>308.45236558188958</v>
      </c>
      <c r="H188" s="13">
        <f ca="1"/>
        <v>305.71526092046389</v>
      </c>
      <c r="I188" s="13">
        <f ca="1"/>
        <v>294.7668422747609</v>
      </c>
      <c r="J188" s="13">
        <f ca="1"/>
        <v>292.02973761333521</v>
      </c>
      <c r="K188" s="13">
        <f ca="1"/>
        <v>0</v>
      </c>
      <c r="L188" s="13">
        <f ca="1"/>
        <v>1</v>
      </c>
      <c r="M188" s="13">
        <f ca="1"/>
        <v>0</v>
      </c>
      <c r="N188" s="13">
        <f ca="1"/>
        <v>0</v>
      </c>
      <c r="P188" s="13">
        <f ca="1"/>
        <v>28.743718592964825</v>
      </c>
      <c r="Q188" s="13">
        <f ca="1"/>
        <v>5.1699342053341819E-2</v>
      </c>
      <c r="R188" s="13">
        <f ca="1"/>
        <v>5.7836935265099948E-2</v>
      </c>
      <c r="S188" s="13">
        <f ca="1"/>
        <v>0.18052760265209855</v>
      </c>
    </row>
    <row r="189" spans="1:19">
      <c r="A189" s="44">
        <f ca="1"/>
        <v>28.944723618090453</v>
      </c>
      <c r="B189" s="44">
        <f ca="1"/>
        <v>298.64209252936536</v>
      </c>
      <c r="D189" s="13">
        <f ca="1"/>
        <v>28.944723618090453</v>
      </c>
      <c r="E189" s="13">
        <f ca="1"/>
        <v>298.64209252936536</v>
      </c>
      <c r="F189" s="13">
        <f ca="1"/>
        <v>300.2410515976124</v>
      </c>
      <c r="G189" s="13">
        <f ca="1"/>
        <v>308.45236558188958</v>
      </c>
      <c r="H189" s="13">
        <f ca="1"/>
        <v>305.71526092046389</v>
      </c>
      <c r="I189" s="13">
        <f ca="1"/>
        <v>294.7668422747609</v>
      </c>
      <c r="J189" s="13">
        <f ca="1"/>
        <v>292.02973761333521</v>
      </c>
      <c r="K189" s="13">
        <f ca="1"/>
        <v>0</v>
      </c>
      <c r="L189" s="13">
        <f ca="1"/>
        <v>1</v>
      </c>
      <c r="M189" s="13">
        <f ca="1"/>
        <v>0</v>
      </c>
      <c r="N189" s="13">
        <f ca="1"/>
        <v>0</v>
      </c>
      <c r="P189" s="13">
        <f ca="1"/>
        <v>28.944723618090453</v>
      </c>
      <c r="Q189" s="13">
        <f ca="1"/>
        <v>1.5001990857789546E-2</v>
      </c>
      <c r="R189" s="13">
        <f ca="1"/>
        <v>5.7836935265099948E-2</v>
      </c>
      <c r="S189" s="13">
        <f ca="1"/>
        <v>0.18052760265209855</v>
      </c>
    </row>
    <row r="190" spans="1:19">
      <c r="A190" s="44">
        <f ca="1"/>
        <v>29.145728643216081</v>
      </c>
      <c r="B190" s="44">
        <f ca="1"/>
        <v>298.39756204828518</v>
      </c>
      <c r="D190" s="13">
        <f ca="1"/>
        <v>29.145728643216081</v>
      </c>
      <c r="E190" s="13">
        <f ca="1"/>
        <v>298.39756204828518</v>
      </c>
      <c r="F190" s="13">
        <f ca="1"/>
        <v>300.2410515976124</v>
      </c>
      <c r="G190" s="13">
        <f ca="1"/>
        <v>308.45236558188958</v>
      </c>
      <c r="H190" s="13">
        <f ca="1"/>
        <v>305.71526092046389</v>
      </c>
      <c r="I190" s="13">
        <f ca="1"/>
        <v>294.7668422747609</v>
      </c>
      <c r="J190" s="13">
        <f ca="1"/>
        <v>292.02973761333521</v>
      </c>
      <c r="K190" s="13">
        <f ca="1"/>
        <v>0</v>
      </c>
      <c r="L190" s="13">
        <f ca="1"/>
        <v>1</v>
      </c>
      <c r="M190" s="13">
        <f ca="1"/>
        <v>0</v>
      </c>
      <c r="N190" s="13">
        <f ca="1"/>
        <v>0</v>
      </c>
      <c r="P190" s="13">
        <f ca="1"/>
        <v>29.145728643216081</v>
      </c>
      <c r="Q190" s="13">
        <f ca="1"/>
        <v>3.1087289121994138E-2</v>
      </c>
      <c r="R190" s="13">
        <f ca="1"/>
        <v>5.7836935265099948E-2</v>
      </c>
      <c r="S190" s="13">
        <f ca="1"/>
        <v>0.18052760265209855</v>
      </c>
    </row>
    <row r="191" spans="1:19">
      <c r="A191" s="44">
        <f ca="1"/>
        <v>29.346733668341709</v>
      </c>
      <c r="B191" s="44">
        <f ca="1"/>
        <v>298.66310335424475</v>
      </c>
      <c r="D191" s="13">
        <f ca="1"/>
        <v>29.346733668341709</v>
      </c>
      <c r="E191" s="13">
        <f ca="1"/>
        <v>298.66310335424475</v>
      </c>
      <c r="F191" s="13">
        <f ca="1"/>
        <v>300.2410515976124</v>
      </c>
      <c r="G191" s="13">
        <f ca="1"/>
        <v>308.45236558188958</v>
      </c>
      <c r="H191" s="13">
        <f ca="1"/>
        <v>305.71526092046389</v>
      </c>
      <c r="I191" s="13">
        <f ca="1"/>
        <v>294.7668422747609</v>
      </c>
      <c r="J191" s="13">
        <f ca="1"/>
        <v>292.02973761333521</v>
      </c>
      <c r="K191" s="13">
        <f ca="1"/>
        <v>0</v>
      </c>
      <c r="L191" s="13">
        <f ca="1"/>
        <v>1</v>
      </c>
      <c r="M191" s="13">
        <f ca="1"/>
        <v>0</v>
      </c>
      <c r="N191" s="13">
        <f ca="1"/>
        <v>0</v>
      </c>
      <c r="P191" s="13">
        <f ca="1"/>
        <v>29.346733668341709</v>
      </c>
      <c r="Q191" s="13">
        <f ca="1"/>
        <v>3.3758406378346525E-2</v>
      </c>
      <c r="R191" s="13">
        <f ca="1"/>
        <v>5.7836935265099948E-2</v>
      </c>
      <c r="S191" s="13">
        <f ca="1"/>
        <v>0.18052760265209855</v>
      </c>
    </row>
    <row r="192" spans="1:19">
      <c r="A192" s="44">
        <f ca="1"/>
        <v>29.547738693467338</v>
      </c>
      <c r="B192" s="44">
        <f ca="1"/>
        <v>298.80835525610996</v>
      </c>
      <c r="D192" s="13">
        <f ca="1"/>
        <v>29.547738693467338</v>
      </c>
      <c r="E192" s="13">
        <f ca="1"/>
        <v>298.80835525610996</v>
      </c>
      <c r="F192" s="13">
        <f ca="1"/>
        <v>300.2410515976124</v>
      </c>
      <c r="G192" s="13">
        <f ca="1"/>
        <v>308.45236558188958</v>
      </c>
      <c r="H192" s="13">
        <f ca="1"/>
        <v>305.71526092046389</v>
      </c>
      <c r="I192" s="13">
        <f ca="1"/>
        <v>294.7668422747609</v>
      </c>
      <c r="J192" s="13">
        <f ca="1"/>
        <v>292.02973761333521</v>
      </c>
      <c r="K192" s="13">
        <f ca="1"/>
        <v>0</v>
      </c>
      <c r="L192" s="13">
        <f ca="1"/>
        <v>1</v>
      </c>
      <c r="M192" s="13">
        <f ca="1"/>
        <v>0</v>
      </c>
      <c r="N192" s="13">
        <f ca="1"/>
        <v>0</v>
      </c>
      <c r="P192" s="13">
        <f ca="1"/>
        <v>29.547738693467338</v>
      </c>
      <c r="Q192" s="13">
        <f ca="1"/>
        <v>1.8465950947533314E-2</v>
      </c>
      <c r="R192" s="13">
        <f ca="1"/>
        <v>5.7836935265099948E-2</v>
      </c>
      <c r="S192" s="13">
        <f ca="1"/>
        <v>0.18052760265209855</v>
      </c>
    </row>
    <row r="193" spans="1:19">
      <c r="A193" s="44">
        <f ca="1"/>
        <v>29.748743718592966</v>
      </c>
      <c r="B193" s="44">
        <f ca="1"/>
        <v>298.38856030431941</v>
      </c>
      <c r="D193" s="13">
        <f ca="1"/>
        <v>29.748743718592966</v>
      </c>
      <c r="E193" s="13">
        <f ca="1"/>
        <v>298.38856030431941</v>
      </c>
      <c r="F193" s="13">
        <f ca="1"/>
        <v>300.2410515976124</v>
      </c>
      <c r="G193" s="13">
        <f ca="1"/>
        <v>308.45236558188958</v>
      </c>
      <c r="H193" s="13">
        <f ca="1"/>
        <v>305.71526092046389</v>
      </c>
      <c r="I193" s="13">
        <f ca="1"/>
        <v>294.7668422747609</v>
      </c>
      <c r="J193" s="13">
        <f ca="1"/>
        <v>292.02973761333521</v>
      </c>
      <c r="K193" s="13">
        <f ca="1"/>
        <v>0</v>
      </c>
      <c r="L193" s="13">
        <f ca="1"/>
        <v>1</v>
      </c>
      <c r="M193" s="13">
        <f ca="1"/>
        <v>0</v>
      </c>
      <c r="N193" s="13">
        <f ca="1"/>
        <v>0</v>
      </c>
      <c r="P193" s="13">
        <f ca="1"/>
        <v>29.748743718592966</v>
      </c>
      <c r="Q193" s="13">
        <f ca="1"/>
        <v>5.3368753787334723E-2</v>
      </c>
      <c r="R193" s="13">
        <f ca="1"/>
        <v>5.7836935265099948E-2</v>
      </c>
      <c r="S193" s="13">
        <f ca="1"/>
        <v>0.18052760265209855</v>
      </c>
    </row>
    <row r="194" spans="1:19">
      <c r="A194" s="44">
        <f ca="1"/>
        <v>29.949748743718594</v>
      </c>
      <c r="B194" s="44">
        <f ca="1"/>
        <v>298.45142077429176</v>
      </c>
      <c r="D194" s="13">
        <f ca="1"/>
        <v>29.949748743718594</v>
      </c>
      <c r="E194" s="13">
        <f ca="1"/>
        <v>298.45142077429176</v>
      </c>
      <c r="F194" s="13">
        <f ca="1"/>
        <v>300.2410515976124</v>
      </c>
      <c r="G194" s="13">
        <f ca="1"/>
        <v>308.45236558188958</v>
      </c>
      <c r="H194" s="13">
        <f ca="1"/>
        <v>305.71526092046389</v>
      </c>
      <c r="I194" s="13">
        <f ca="1"/>
        <v>294.7668422747609</v>
      </c>
      <c r="J194" s="13">
        <f ca="1"/>
        <v>292.02973761333521</v>
      </c>
      <c r="K194" s="13">
        <f ca="1"/>
        <v>0</v>
      </c>
      <c r="L194" s="13">
        <f ca="1"/>
        <v>1</v>
      </c>
      <c r="M194" s="13">
        <f ca="1"/>
        <v>0</v>
      </c>
      <c r="N194" s="13">
        <f ca="1"/>
        <v>0</v>
      </c>
      <c r="P194" s="13">
        <f ca="1"/>
        <v>29.949748743718594</v>
      </c>
      <c r="Q194" s="13">
        <f ca="1"/>
        <v>7.9914847251052502E-3</v>
      </c>
      <c r="R194" s="13">
        <f ca="1"/>
        <v>5.7836935265099948E-2</v>
      </c>
      <c r="S194" s="13">
        <f ca="1"/>
        <v>0.18052760265209855</v>
      </c>
    </row>
    <row r="195" spans="1:19">
      <c r="A195" s="44">
        <f ca="1"/>
        <v>30.150753768844222</v>
      </c>
      <c r="B195" s="44">
        <f ca="1"/>
        <v>301.51481501166796</v>
      </c>
      <c r="D195" s="13">
        <f ca="1"/>
        <v>30.150753768844222</v>
      </c>
      <c r="E195" s="13">
        <f ca="1"/>
        <v>301.51481501166796</v>
      </c>
      <c r="F195" s="13">
        <f ca="1"/>
        <v>300.2410515976124</v>
      </c>
      <c r="G195" s="13">
        <f ca="1"/>
        <v>308.45236558188958</v>
      </c>
      <c r="H195" s="13">
        <f ca="1"/>
        <v>305.71526092046389</v>
      </c>
      <c r="I195" s="13">
        <f ca="1"/>
        <v>294.7668422747609</v>
      </c>
      <c r="J195" s="13">
        <f ca="1"/>
        <v>292.02973761333521</v>
      </c>
      <c r="K195" s="13">
        <f ca="1"/>
        <v>0</v>
      </c>
      <c r="L195" s="13">
        <f ca="1"/>
        <v>0</v>
      </c>
      <c r="M195" s="13">
        <f ca="1"/>
        <v>0</v>
      </c>
      <c r="N195" s="13">
        <f ca="1"/>
        <v>0</v>
      </c>
      <c r="P195" s="13">
        <f ca="1"/>
        <v>30.150753768844222</v>
      </c>
      <c r="Q195" s="13">
        <f ca="1"/>
        <v>0.38945092624563293</v>
      </c>
      <c r="R195" s="13">
        <f ca="1"/>
        <v>5.7836935265099948E-2</v>
      </c>
      <c r="S195" s="13">
        <f ca="1"/>
        <v>0.18052760265209855</v>
      </c>
    </row>
    <row r="196" spans="1:19">
      <c r="A196" s="44">
        <f ca="1"/>
        <v>30.35175879396985</v>
      </c>
      <c r="B196" s="44">
        <f ca="1"/>
        <v>300.99761042647037</v>
      </c>
      <c r="D196" s="13">
        <f ca="1"/>
        <v>30.35175879396985</v>
      </c>
      <c r="E196" s="13">
        <f ca="1"/>
        <v>300.99761042647037</v>
      </c>
      <c r="F196" s="13">
        <f ca="1"/>
        <v>300.2410515976124</v>
      </c>
      <c r="G196" s="13">
        <f ca="1"/>
        <v>308.45236558188958</v>
      </c>
      <c r="H196" s="13">
        <f ca="1"/>
        <v>305.71526092046389</v>
      </c>
      <c r="I196" s="13">
        <f ca="1"/>
        <v>294.7668422747609</v>
      </c>
      <c r="J196" s="13">
        <f ca="1"/>
        <v>292.02973761333521</v>
      </c>
      <c r="K196" s="13">
        <f ca="1"/>
        <v>0</v>
      </c>
      <c r="L196" s="13">
        <f ca="1"/>
        <v>0</v>
      </c>
      <c r="M196" s="13">
        <f ca="1"/>
        <v>0</v>
      </c>
      <c r="N196" s="13">
        <f ca="1"/>
        <v>0</v>
      </c>
      <c r="P196" s="13">
        <f ca="1"/>
        <v>30.35175879396985</v>
      </c>
      <c r="Q196" s="13">
        <f ca="1"/>
        <v>6.5752491894811069E-2</v>
      </c>
      <c r="R196" s="13">
        <f ca="1"/>
        <v>5.7836935265099948E-2</v>
      </c>
      <c r="S196" s="13">
        <f ca="1"/>
        <v>0.18052760265209855</v>
      </c>
    </row>
    <row r="197" spans="1:19">
      <c r="A197" s="44">
        <f ca="1"/>
        <v>30.552763819095478</v>
      </c>
      <c r="B197" s="44">
        <f ca="1"/>
        <v>301.82204547985418</v>
      </c>
      <c r="D197" s="13">
        <f ca="1"/>
        <v>30.552763819095478</v>
      </c>
      <c r="E197" s="13">
        <f ca="1"/>
        <v>301.82204547985418</v>
      </c>
      <c r="F197" s="13">
        <f ca="1"/>
        <v>300.2410515976124</v>
      </c>
      <c r="G197" s="13">
        <f ca="1"/>
        <v>308.45236558188958</v>
      </c>
      <c r="H197" s="13">
        <f ca="1"/>
        <v>305.71526092046389</v>
      </c>
      <c r="I197" s="13">
        <f ca="1"/>
        <v>294.7668422747609</v>
      </c>
      <c r="J197" s="13">
        <f ca="1"/>
        <v>292.02973761333521</v>
      </c>
      <c r="K197" s="13">
        <f ca="1"/>
        <v>0</v>
      </c>
      <c r="L197" s="13">
        <f ca="1"/>
        <v>0</v>
      </c>
      <c r="M197" s="13">
        <f ca="1"/>
        <v>0</v>
      </c>
      <c r="N197" s="13">
        <f ca="1"/>
        <v>0</v>
      </c>
      <c r="P197" s="13">
        <f ca="1"/>
        <v>30.552763819095478</v>
      </c>
      <c r="Q197" s="13">
        <f ca="1"/>
        <v>0.1048108634704147</v>
      </c>
      <c r="R197" s="13">
        <f ca="1"/>
        <v>5.7836935265099948E-2</v>
      </c>
      <c r="S197" s="13">
        <f ca="1"/>
        <v>0.18052760265209855</v>
      </c>
    </row>
    <row r="198" spans="1:19">
      <c r="A198" s="44">
        <f ca="1"/>
        <v>30.753768844221106</v>
      </c>
      <c r="B198" s="44">
        <f ca="1"/>
        <v>301.18795505217321</v>
      </c>
      <c r="D198" s="13">
        <f ca="1"/>
        <v>30.753768844221106</v>
      </c>
      <c r="E198" s="13">
        <f ca="1"/>
        <v>301.18795505217321</v>
      </c>
      <c r="F198" s="13">
        <f ca="1"/>
        <v>300.2410515976124</v>
      </c>
      <c r="G198" s="13">
        <f ca="1"/>
        <v>308.45236558188958</v>
      </c>
      <c r="H198" s="13">
        <f ca="1"/>
        <v>305.71526092046389</v>
      </c>
      <c r="I198" s="13">
        <f ca="1"/>
        <v>294.7668422747609</v>
      </c>
      <c r="J198" s="13">
        <f ca="1"/>
        <v>292.02973761333521</v>
      </c>
      <c r="K198" s="13">
        <f ca="1"/>
        <v>0</v>
      </c>
      <c r="L198" s="13">
        <f ca="1"/>
        <v>0</v>
      </c>
      <c r="M198" s="13">
        <f ca="1"/>
        <v>0</v>
      </c>
      <c r="N198" s="13">
        <f ca="1"/>
        <v>0</v>
      </c>
      <c r="P198" s="13">
        <f ca="1"/>
        <v>30.753768844221106</v>
      </c>
      <c r="Q198" s="13">
        <f ca="1"/>
        <v>8.0612250741633279E-2</v>
      </c>
      <c r="R198" s="13">
        <f ca="1"/>
        <v>5.7836935265099948E-2</v>
      </c>
      <c r="S198" s="13">
        <f ca="1"/>
        <v>0.18052760265209855</v>
      </c>
    </row>
    <row r="199" spans="1:19">
      <c r="A199" s="44">
        <f ca="1"/>
        <v>30.954773869346734</v>
      </c>
      <c r="B199" s="44">
        <f ca="1"/>
        <v>301.37185353984273</v>
      </c>
      <c r="D199" s="13">
        <f ca="1"/>
        <v>30.954773869346734</v>
      </c>
      <c r="E199" s="13">
        <f ca="1"/>
        <v>301.37185353984273</v>
      </c>
      <c r="F199" s="13">
        <f ca="1"/>
        <v>300.2410515976124</v>
      </c>
      <c r="G199" s="13">
        <f ca="1"/>
        <v>308.45236558188958</v>
      </c>
      <c r="H199" s="13">
        <f ca="1"/>
        <v>305.71526092046389</v>
      </c>
      <c r="I199" s="13">
        <f ca="1"/>
        <v>294.7668422747609</v>
      </c>
      <c r="J199" s="13">
        <f ca="1"/>
        <v>292.02973761333521</v>
      </c>
      <c r="K199" s="13">
        <f ca="1"/>
        <v>0</v>
      </c>
      <c r="L199" s="13">
        <f ca="1"/>
        <v>0</v>
      </c>
      <c r="M199" s="13">
        <f ca="1"/>
        <v>0</v>
      </c>
      <c r="N199" s="13">
        <f ca="1"/>
        <v>0</v>
      </c>
      <c r="P199" s="13">
        <f ca="1"/>
        <v>30.954773869346734</v>
      </c>
      <c r="Q199" s="13">
        <f ca="1"/>
        <v>2.3379111798359047E-2</v>
      </c>
      <c r="R199" s="13">
        <f ca="1"/>
        <v>5.7836935265099948E-2</v>
      </c>
      <c r="S199" s="13">
        <f ca="1"/>
        <v>0.18052760265209855</v>
      </c>
    </row>
    <row r="200" spans="1:19">
      <c r="A200" s="44">
        <f ca="1"/>
        <v>31.155778894472363</v>
      </c>
      <c r="B200" s="44">
        <f ca="1"/>
        <v>301.54271001108629</v>
      </c>
      <c r="D200" s="13">
        <f ca="1"/>
        <v>31.155778894472363</v>
      </c>
      <c r="E200" s="13">
        <f ca="1"/>
        <v>301.54271001108629</v>
      </c>
      <c r="F200" s="13">
        <f ca="1"/>
        <v>300.2410515976124</v>
      </c>
      <c r="G200" s="13">
        <f ca="1"/>
        <v>308.45236558188958</v>
      </c>
      <c r="H200" s="13">
        <f ca="1"/>
        <v>305.71526092046389</v>
      </c>
      <c r="I200" s="13">
        <f ca="1"/>
        <v>294.7668422747609</v>
      </c>
      <c r="J200" s="13">
        <f ca="1"/>
        <v>292.02973761333521</v>
      </c>
      <c r="K200" s="13">
        <f ca="1"/>
        <v>0</v>
      </c>
      <c r="L200" s="13">
        <f ca="1"/>
        <v>0</v>
      </c>
      <c r="M200" s="13">
        <f ca="1"/>
        <v>0</v>
      </c>
      <c r="N200" s="13">
        <f ca="1"/>
        <v>0</v>
      </c>
      <c r="P200" s="13">
        <f ca="1"/>
        <v>31.155778894472363</v>
      </c>
      <c r="Q200" s="13">
        <f ca="1"/>
        <v>2.1721073366598048E-2</v>
      </c>
      <c r="R200" s="13">
        <f ca="1"/>
        <v>5.7836935265099948E-2</v>
      </c>
      <c r="S200" s="13">
        <f ca="1"/>
        <v>0.18052760265209855</v>
      </c>
    </row>
    <row r="201" spans="1:19">
      <c r="A201" s="44">
        <f ca="1"/>
        <v>31.356783919597991</v>
      </c>
      <c r="B201" s="44">
        <f ca="1"/>
        <v>301.36814863659453</v>
      </c>
      <c r="D201" s="13">
        <f ca="1"/>
        <v>31.356783919597991</v>
      </c>
      <c r="E201" s="13">
        <f ca="1"/>
        <v>301.36814863659453</v>
      </c>
      <c r="F201" s="13">
        <f ca="1"/>
        <v>300.2410515976124</v>
      </c>
      <c r="G201" s="13">
        <f ca="1"/>
        <v>308.45236558188958</v>
      </c>
      <c r="H201" s="13">
        <f ca="1"/>
        <v>305.71526092046389</v>
      </c>
      <c r="I201" s="13">
        <f ca="1"/>
        <v>294.7668422747609</v>
      </c>
      <c r="J201" s="13">
        <f ca="1"/>
        <v>292.02973761333521</v>
      </c>
      <c r="K201" s="13">
        <f ca="1"/>
        <v>0</v>
      </c>
      <c r="L201" s="13">
        <f ca="1"/>
        <v>0</v>
      </c>
      <c r="M201" s="13">
        <f ca="1"/>
        <v>0</v>
      </c>
      <c r="N201" s="13">
        <f ca="1"/>
        <v>0</v>
      </c>
      <c r="P201" s="13">
        <f ca="1"/>
        <v>31.356783919597991</v>
      </c>
      <c r="Q201" s="13">
        <f ca="1"/>
        <v>2.2192079671976516E-2</v>
      </c>
      <c r="R201" s="13">
        <f ca="1"/>
        <v>5.7836935265099948E-2</v>
      </c>
      <c r="S201" s="13">
        <f ca="1"/>
        <v>0.18052760265209855</v>
      </c>
    </row>
    <row r="202" spans="1:19">
      <c r="A202" s="44">
        <f ca="1"/>
        <v>31.557788944723619</v>
      </c>
      <c r="B202" s="44">
        <f ca="1"/>
        <v>301.53419198556958</v>
      </c>
      <c r="D202" s="13">
        <f ca="1"/>
        <v>31.557788944723619</v>
      </c>
      <c r="E202" s="13">
        <f ca="1"/>
        <v>301.53419198556958</v>
      </c>
      <c r="F202" s="13">
        <f ca="1"/>
        <v>300.2410515976124</v>
      </c>
      <c r="G202" s="13">
        <f ca="1"/>
        <v>308.45236558188958</v>
      </c>
      <c r="H202" s="13">
        <f ca="1"/>
        <v>305.71526092046389</v>
      </c>
      <c r="I202" s="13">
        <f ca="1"/>
        <v>294.7668422747609</v>
      </c>
      <c r="J202" s="13">
        <f ca="1"/>
        <v>292.02973761333521</v>
      </c>
      <c r="K202" s="13">
        <f ca="1"/>
        <v>0</v>
      </c>
      <c r="L202" s="13">
        <f ca="1"/>
        <v>1</v>
      </c>
      <c r="M202" s="13">
        <f ca="1"/>
        <v>0</v>
      </c>
      <c r="N202" s="13">
        <f ca="1"/>
        <v>0</v>
      </c>
      <c r="P202" s="13">
        <f ca="1"/>
        <v>31.557788944723619</v>
      </c>
      <c r="Q202" s="13">
        <f ca="1"/>
        <v>2.110917859225556E-2</v>
      </c>
      <c r="R202" s="13">
        <f ca="1"/>
        <v>5.7836935265099948E-2</v>
      </c>
      <c r="S202" s="13">
        <f ca="1"/>
        <v>0.18052760265209855</v>
      </c>
    </row>
    <row r="203" spans="1:19">
      <c r="A203" s="44">
        <f ca="1"/>
        <v>31.758793969849247</v>
      </c>
      <c r="B203" s="44">
        <f ca="1"/>
        <v>301.66648066885506</v>
      </c>
      <c r="D203" s="13">
        <f ca="1"/>
        <v>31.758793969849247</v>
      </c>
      <c r="E203" s="13">
        <f ca="1"/>
        <v>301.66648066885506</v>
      </c>
      <c r="F203" s="13">
        <f ca="1"/>
        <v>300.2410515976124</v>
      </c>
      <c r="G203" s="13">
        <f ca="1"/>
        <v>308.45236558188958</v>
      </c>
      <c r="H203" s="13">
        <f ca="1"/>
        <v>305.71526092046389</v>
      </c>
      <c r="I203" s="13">
        <f ca="1"/>
        <v>294.7668422747609</v>
      </c>
      <c r="J203" s="13">
        <f ca="1"/>
        <v>292.02973761333521</v>
      </c>
      <c r="K203" s="13">
        <f ca="1"/>
        <v>0</v>
      </c>
      <c r="L203" s="13">
        <f ca="1"/>
        <v>1</v>
      </c>
      <c r="M203" s="13">
        <f ca="1"/>
        <v>0</v>
      </c>
      <c r="N203" s="13">
        <f ca="1"/>
        <v>0</v>
      </c>
      <c r="P203" s="13">
        <f ca="1"/>
        <v>31.758793969849247</v>
      </c>
      <c r="Q203" s="13">
        <f ca="1"/>
        <v>1.6817930127554354E-2</v>
      </c>
      <c r="R203" s="13">
        <f ca="1"/>
        <v>5.7836935265099948E-2</v>
      </c>
      <c r="S203" s="13">
        <f ca="1"/>
        <v>0.18052760265209855</v>
      </c>
    </row>
    <row r="204" spans="1:19">
      <c r="A204" s="44">
        <f ca="1"/>
        <v>31.959798994974875</v>
      </c>
      <c r="B204" s="44">
        <f ca="1"/>
        <v>301.3860224351842</v>
      </c>
      <c r="D204" s="13">
        <f ca="1"/>
        <v>31.959798994974875</v>
      </c>
      <c r="E204" s="13">
        <f ca="1"/>
        <v>301.3860224351842</v>
      </c>
      <c r="F204" s="13">
        <f ca="1"/>
        <v>300.2410515976124</v>
      </c>
      <c r="G204" s="13">
        <f ca="1"/>
        <v>308.45236558188958</v>
      </c>
      <c r="H204" s="13">
        <f ca="1"/>
        <v>305.71526092046389</v>
      </c>
      <c r="I204" s="13">
        <f ca="1"/>
        <v>294.7668422747609</v>
      </c>
      <c r="J204" s="13">
        <f ca="1"/>
        <v>292.02973761333521</v>
      </c>
      <c r="K204" s="13">
        <f ca="1"/>
        <v>0</v>
      </c>
      <c r="L204" s="13">
        <f ca="1"/>
        <v>1</v>
      </c>
      <c r="M204" s="13">
        <f ca="1"/>
        <v>0</v>
      </c>
      <c r="N204" s="13">
        <f ca="1"/>
        <v>0</v>
      </c>
      <c r="P204" s="13">
        <f ca="1"/>
        <v>31.959798994974875</v>
      </c>
      <c r="Q204" s="13">
        <f ca="1"/>
        <v>3.56548032713805E-2</v>
      </c>
      <c r="R204" s="13">
        <f ca="1"/>
        <v>5.7836935265099948E-2</v>
      </c>
      <c r="S204" s="13">
        <f ca="1"/>
        <v>0.18052760265209855</v>
      </c>
    </row>
    <row r="205" spans="1:19">
      <c r="A205" s="44">
        <f ca="1"/>
        <v>32.160804020100507</v>
      </c>
      <c r="B205" s="44">
        <f ca="1"/>
        <v>301.19536092456309</v>
      </c>
      <c r="D205" s="13">
        <f ca="1"/>
        <v>32.160804020100507</v>
      </c>
      <c r="E205" s="13">
        <f ca="1"/>
        <v>301.19536092456309</v>
      </c>
      <c r="F205" s="13">
        <f ca="1"/>
        <v>300.2410515976124</v>
      </c>
      <c r="G205" s="13">
        <f ca="1"/>
        <v>308.45236558188958</v>
      </c>
      <c r="H205" s="13">
        <f ca="1"/>
        <v>305.71526092046389</v>
      </c>
      <c r="I205" s="13">
        <f ca="1"/>
        <v>294.7668422747609</v>
      </c>
      <c r="J205" s="13">
        <f ca="1"/>
        <v>292.02973761333521</v>
      </c>
      <c r="K205" s="13">
        <f ca="1"/>
        <v>0</v>
      </c>
      <c r="L205" s="13">
        <f ca="1"/>
        <v>1</v>
      </c>
      <c r="M205" s="13">
        <f ca="1"/>
        <v>0</v>
      </c>
      <c r="N205" s="13">
        <f ca="1"/>
        <v>0</v>
      </c>
      <c r="P205" s="13">
        <f ca="1"/>
        <v>32.160804020100507</v>
      </c>
      <c r="Q205" s="13">
        <f ca="1"/>
        <v>2.4238898475692657E-2</v>
      </c>
      <c r="R205" s="13">
        <f ca="1"/>
        <v>5.7836935265099948E-2</v>
      </c>
      <c r="S205" s="13">
        <f ca="1"/>
        <v>0.18052760265209855</v>
      </c>
    </row>
    <row r="206" spans="1:19">
      <c r="A206" s="44">
        <f ca="1"/>
        <v>32.361809045226138</v>
      </c>
      <c r="B206" s="44">
        <f ca="1"/>
        <v>301.73435028767932</v>
      </c>
      <c r="D206" s="13">
        <f ca="1"/>
        <v>32.361809045226138</v>
      </c>
      <c r="E206" s="13">
        <f ca="1"/>
        <v>301.73435028767932</v>
      </c>
      <c r="F206" s="13">
        <f ca="1"/>
        <v>300.2410515976124</v>
      </c>
      <c r="G206" s="13">
        <f ca="1"/>
        <v>308.45236558188958</v>
      </c>
      <c r="H206" s="13">
        <f ca="1"/>
        <v>305.71526092046389</v>
      </c>
      <c r="I206" s="13">
        <f ca="1"/>
        <v>294.7668422747609</v>
      </c>
      <c r="J206" s="13">
        <f ca="1"/>
        <v>292.02973761333521</v>
      </c>
      <c r="K206" s="13">
        <f ca="1"/>
        <v>0</v>
      </c>
      <c r="L206" s="13">
        <f ca="1"/>
        <v>1</v>
      </c>
      <c r="M206" s="13">
        <f ca="1"/>
        <v>0</v>
      </c>
      <c r="N206" s="13">
        <f ca="1"/>
        <v>0</v>
      </c>
      <c r="P206" s="13">
        <f ca="1"/>
        <v>32.361809045226138</v>
      </c>
      <c r="Q206" s="13">
        <f ca="1"/>
        <v>6.8522002209531904E-2</v>
      </c>
      <c r="R206" s="13">
        <f ca="1"/>
        <v>5.7836935265099948E-2</v>
      </c>
      <c r="S206" s="13">
        <f ca="1"/>
        <v>0.18052760265209855</v>
      </c>
    </row>
    <row r="207" spans="1:19">
      <c r="A207" s="44">
        <f ca="1"/>
        <v>32.56281407035177</v>
      </c>
      <c r="B207" s="44">
        <f ca="1"/>
        <v>301.30585825931706</v>
      </c>
      <c r="D207" s="13">
        <f ca="1"/>
        <v>32.56281407035177</v>
      </c>
      <c r="E207" s="13">
        <f ca="1"/>
        <v>301.30585825931706</v>
      </c>
      <c r="F207" s="13">
        <f ca="1"/>
        <v>300.2410515976124</v>
      </c>
      <c r="G207" s="13">
        <f ca="1"/>
        <v>308.45236558188958</v>
      </c>
      <c r="H207" s="13">
        <f ca="1"/>
        <v>305.71526092046389</v>
      </c>
      <c r="I207" s="13">
        <f ca="1"/>
        <v>294.7668422747609</v>
      </c>
      <c r="J207" s="13">
        <f ca="1"/>
        <v>292.02973761333521</v>
      </c>
      <c r="K207" s="13">
        <f ca="1"/>
        <v>0</v>
      </c>
      <c r="L207" s="13">
        <f ca="1"/>
        <v>1</v>
      </c>
      <c r="M207" s="13">
        <f ca="1"/>
        <v>0</v>
      </c>
      <c r="N207" s="13">
        <f ca="1"/>
        <v>0</v>
      </c>
      <c r="P207" s="13">
        <f ca="1"/>
        <v>32.56281407035177</v>
      </c>
      <c r="Q207" s="13">
        <f ca="1"/>
        <v>5.4474417722180243E-2</v>
      </c>
      <c r="R207" s="13">
        <f ca="1"/>
        <v>5.7836935265099948E-2</v>
      </c>
      <c r="S207" s="13">
        <f ca="1"/>
        <v>0.18052760265209855</v>
      </c>
    </row>
    <row r="208" spans="1:19">
      <c r="A208" s="44">
        <f ca="1"/>
        <v>32.763819095477402</v>
      </c>
      <c r="B208" s="44">
        <f ca="1"/>
        <v>301.65716871181422</v>
      </c>
      <c r="D208" s="13">
        <f ca="1"/>
        <v>32.763819095477402</v>
      </c>
      <c r="E208" s="13">
        <f ca="1"/>
        <v>301.65716871181422</v>
      </c>
      <c r="F208" s="13">
        <f ca="1"/>
        <v>300.2410515976124</v>
      </c>
      <c r="G208" s="13">
        <f ca="1"/>
        <v>308.45236558188958</v>
      </c>
      <c r="H208" s="13">
        <f ca="1"/>
        <v>305.71526092046389</v>
      </c>
      <c r="I208" s="13">
        <f ca="1"/>
        <v>294.7668422747609</v>
      </c>
      <c r="J208" s="13">
        <f ca="1"/>
        <v>292.02973761333521</v>
      </c>
      <c r="K208" s="13">
        <f ca="1"/>
        <v>0</v>
      </c>
      <c r="L208" s="13">
        <f ca="1"/>
        <v>1</v>
      </c>
      <c r="M208" s="13">
        <f ca="1"/>
        <v>0</v>
      </c>
      <c r="N208" s="13">
        <f ca="1"/>
        <v>0</v>
      </c>
      <c r="P208" s="13">
        <f ca="1"/>
        <v>32.763819095477402</v>
      </c>
      <c r="Q208" s="13">
        <f ca="1"/>
        <v>4.4662283246303967E-2</v>
      </c>
      <c r="R208" s="13">
        <f ca="1"/>
        <v>5.7836935265099948E-2</v>
      </c>
      <c r="S208" s="13">
        <f ca="1"/>
        <v>0.18052760265209855</v>
      </c>
    </row>
    <row r="209" spans="1:19">
      <c r="A209" s="44">
        <f ca="1"/>
        <v>32.964824120603033</v>
      </c>
      <c r="B209" s="44">
        <f ca="1"/>
        <v>301.10360790371976</v>
      </c>
      <c r="D209" s="13">
        <f ca="1"/>
        <v>32.964824120603033</v>
      </c>
      <c r="E209" s="13">
        <f ca="1"/>
        <v>301.10360790371976</v>
      </c>
      <c r="F209" s="13">
        <f ca="1"/>
        <v>300.2410515976124</v>
      </c>
      <c r="G209" s="13">
        <f ca="1"/>
        <v>308.45236558188958</v>
      </c>
      <c r="H209" s="13">
        <f ca="1"/>
        <v>305.71526092046389</v>
      </c>
      <c r="I209" s="13">
        <f ca="1"/>
        <v>294.7668422747609</v>
      </c>
      <c r="J209" s="13">
        <f ca="1"/>
        <v>292.02973761333521</v>
      </c>
      <c r="K209" s="13">
        <f ca="1"/>
        <v>0</v>
      </c>
      <c r="L209" s="13">
        <f ca="1"/>
        <v>1</v>
      </c>
      <c r="M209" s="13">
        <f ca="1"/>
        <v>0</v>
      </c>
      <c r="N209" s="13">
        <f ca="1"/>
        <v>0</v>
      </c>
      <c r="P209" s="13">
        <f ca="1"/>
        <v>32.964824120603033</v>
      </c>
      <c r="Q209" s="13">
        <f ca="1"/>
        <v>7.0374477700368379E-2</v>
      </c>
      <c r="R209" s="13">
        <f ca="1"/>
        <v>5.7836935265099948E-2</v>
      </c>
      <c r="S209" s="13">
        <f ca="1"/>
        <v>0.18052760265209855</v>
      </c>
    </row>
    <row r="210" spans="1:19">
      <c r="A210" s="44">
        <f ca="1"/>
        <v>33.165829145728665</v>
      </c>
      <c r="B210" s="44">
        <f ca="1"/>
        <v>301.34425037798167</v>
      </c>
      <c r="D210" s="13">
        <f ca="1"/>
        <v>33.165829145728665</v>
      </c>
      <c r="E210" s="13">
        <f ca="1"/>
        <v>301.34425037798167</v>
      </c>
      <c r="F210" s="13">
        <f ca="1"/>
        <v>300.2410515976124</v>
      </c>
      <c r="G210" s="13">
        <f ca="1"/>
        <v>308.45236558188958</v>
      </c>
      <c r="H210" s="13">
        <f ca="1"/>
        <v>305.71526092046389</v>
      </c>
      <c r="I210" s="13">
        <f ca="1"/>
        <v>294.7668422747609</v>
      </c>
      <c r="J210" s="13">
        <f ca="1"/>
        <v>292.02973761333521</v>
      </c>
      <c r="K210" s="13">
        <f ca="1"/>
        <v>0</v>
      </c>
      <c r="L210" s="13">
        <f ca="1"/>
        <v>1</v>
      </c>
      <c r="M210" s="13">
        <f ca="1"/>
        <v>0</v>
      </c>
      <c r="N210" s="13">
        <f ca="1"/>
        <v>0</v>
      </c>
      <c r="P210" s="13">
        <f ca="1"/>
        <v>33.165829145728665</v>
      </c>
      <c r="Q210" s="13">
        <f ca="1"/>
        <v>3.0593004763111786E-2</v>
      </c>
      <c r="R210" s="13">
        <f ca="1"/>
        <v>5.7836935265099948E-2</v>
      </c>
      <c r="S210" s="13">
        <f ca="1"/>
        <v>0.18052760265209855</v>
      </c>
    </row>
    <row r="211" spans="1:19">
      <c r="A211" s="44">
        <f ca="1"/>
        <v>33.366834170854297</v>
      </c>
      <c r="B211" s="44">
        <f ca="1"/>
        <v>301.9295553768315</v>
      </c>
      <c r="D211" s="13">
        <f ca="1"/>
        <v>33.366834170854297</v>
      </c>
      <c r="E211" s="13">
        <f ca="1"/>
        <v>301.9295553768315</v>
      </c>
      <c r="F211" s="13">
        <f ca="1"/>
        <v>300.2410515976124</v>
      </c>
      <c r="G211" s="13">
        <f ca="1"/>
        <v>308.45236558188958</v>
      </c>
      <c r="H211" s="13">
        <f ca="1"/>
        <v>305.71526092046389</v>
      </c>
      <c r="I211" s="13">
        <f ca="1"/>
        <v>294.7668422747609</v>
      </c>
      <c r="J211" s="13">
        <f ca="1"/>
        <v>292.02973761333521</v>
      </c>
      <c r="K211" s="13">
        <f ca="1"/>
        <v>0</v>
      </c>
      <c r="L211" s="13">
        <f ca="1"/>
        <v>1</v>
      </c>
      <c r="M211" s="13">
        <f ca="1"/>
        <v>0</v>
      </c>
      <c r="N211" s="13">
        <f ca="1"/>
        <v>0</v>
      </c>
      <c r="P211" s="13">
        <f ca="1"/>
        <v>33.366834170854297</v>
      </c>
      <c r="Q211" s="13">
        <f ca="1"/>
        <v>7.4410133425564198E-2</v>
      </c>
      <c r="R211" s="13">
        <f ca="1"/>
        <v>5.7836935265099948E-2</v>
      </c>
      <c r="S211" s="13">
        <f ca="1"/>
        <v>0.18052760265209855</v>
      </c>
    </row>
    <row r="212" spans="1:19">
      <c r="A212" s="44">
        <f ca="1"/>
        <v>33.567839195979928</v>
      </c>
      <c r="B212" s="44">
        <f ca="1"/>
        <v>301.28231267341749</v>
      </c>
      <c r="D212" s="13">
        <f ca="1"/>
        <v>33.567839195979928</v>
      </c>
      <c r="E212" s="13">
        <f ca="1"/>
        <v>301.28231267341749</v>
      </c>
      <c r="F212" s="13">
        <f ca="1"/>
        <v>300.2410515976124</v>
      </c>
      <c r="G212" s="13">
        <f ca="1"/>
        <v>308.45236558188958</v>
      </c>
      <c r="H212" s="13">
        <f ca="1"/>
        <v>305.71526092046389</v>
      </c>
      <c r="I212" s="13">
        <f ca="1"/>
        <v>294.7668422747609</v>
      </c>
      <c r="J212" s="13">
        <f ca="1"/>
        <v>292.02973761333521</v>
      </c>
      <c r="K212" s="13">
        <f ca="1"/>
        <v>0</v>
      </c>
      <c r="L212" s="13">
        <f ca="1"/>
        <v>1</v>
      </c>
      <c r="M212" s="13">
        <f ca="1"/>
        <v>0</v>
      </c>
      <c r="N212" s="13">
        <f ca="1"/>
        <v>0</v>
      </c>
      <c r="P212" s="13">
        <f ca="1"/>
        <v>33.567839195979928</v>
      </c>
      <c r="Q212" s="13">
        <f ca="1"/>
        <v>8.2284306497295789E-2</v>
      </c>
      <c r="R212" s="13">
        <f ca="1"/>
        <v>5.7836935265099948E-2</v>
      </c>
      <c r="S212" s="13">
        <f ca="1"/>
        <v>0.18052760265209855</v>
      </c>
    </row>
    <row r="213" spans="1:19">
      <c r="A213" s="44">
        <f ca="1"/>
        <v>33.76884422110556</v>
      </c>
      <c r="B213" s="44">
        <f ca="1"/>
        <v>301.09606892232244</v>
      </c>
      <c r="D213" s="13">
        <f ca="1"/>
        <v>33.76884422110556</v>
      </c>
      <c r="E213" s="13">
        <f ca="1"/>
        <v>301.09606892232244</v>
      </c>
      <c r="F213" s="13">
        <f ca="1"/>
        <v>300.2410515976124</v>
      </c>
      <c r="G213" s="13">
        <f ca="1"/>
        <v>308.45236558188958</v>
      </c>
      <c r="H213" s="13">
        <f ca="1"/>
        <v>305.71526092046389</v>
      </c>
      <c r="I213" s="13">
        <f ca="1"/>
        <v>294.7668422747609</v>
      </c>
      <c r="J213" s="13">
        <f ca="1"/>
        <v>292.02973761333521</v>
      </c>
      <c r="K213" s="13">
        <f ca="1"/>
        <v>0</v>
      </c>
      <c r="L213" s="13">
        <f ca="1"/>
        <v>1</v>
      </c>
      <c r="M213" s="13">
        <f ca="1"/>
        <v>0</v>
      </c>
      <c r="N213" s="13">
        <f ca="1"/>
        <v>0</v>
      </c>
      <c r="P213" s="13">
        <f ca="1"/>
        <v>33.76884422110556</v>
      </c>
      <c r="Q213" s="13">
        <f ca="1"/>
        <v>2.3677266375467285E-2</v>
      </c>
      <c r="R213" s="13">
        <f ca="1"/>
        <v>5.7836935265099948E-2</v>
      </c>
      <c r="S213" s="13">
        <f ca="1"/>
        <v>0.18052760265209855</v>
      </c>
    </row>
    <row r="214" spans="1:19">
      <c r="A214" s="44">
        <f ca="1"/>
        <v>33.969849246231192</v>
      </c>
      <c r="B214" s="44">
        <f ca="1"/>
        <v>300.9940701034788</v>
      </c>
      <c r="D214" s="13">
        <f ca="1"/>
        <v>33.969849246231192</v>
      </c>
      <c r="E214" s="13">
        <f ca="1"/>
        <v>300.9940701034788</v>
      </c>
      <c r="F214" s="13">
        <f ca="1"/>
        <v>300.2410515976124</v>
      </c>
      <c r="G214" s="13">
        <f ca="1"/>
        <v>308.45236558188958</v>
      </c>
      <c r="H214" s="13">
        <f ca="1"/>
        <v>305.71526092046389</v>
      </c>
      <c r="I214" s="13">
        <f ca="1"/>
        <v>294.7668422747609</v>
      </c>
      <c r="J214" s="13">
        <f ca="1"/>
        <v>292.02973761333521</v>
      </c>
      <c r="K214" s="13">
        <f ca="1"/>
        <v>0</v>
      </c>
      <c r="L214" s="13">
        <f ca="1"/>
        <v>1</v>
      </c>
      <c r="M214" s="13">
        <f ca="1"/>
        <v>0</v>
      </c>
      <c r="N214" s="13">
        <f ca="1"/>
        <v>0</v>
      </c>
      <c r="P214" s="13">
        <f ca="1"/>
        <v>33.969849246231192</v>
      </c>
      <c r="Q214" s="13">
        <f ca="1"/>
        <v>1.296716367418624E-2</v>
      </c>
      <c r="R214" s="13">
        <f ca="1"/>
        <v>5.7836935265099948E-2</v>
      </c>
      <c r="S214" s="13">
        <f ca="1"/>
        <v>0.18052760265209855</v>
      </c>
    </row>
    <row r="215" spans="1:19">
      <c r="A215" s="44">
        <f ca="1"/>
        <v>34.170854271356824</v>
      </c>
      <c r="B215" s="44">
        <f ca="1"/>
        <v>300.97133970933703</v>
      </c>
      <c r="D215" s="13">
        <f ca="1"/>
        <v>34.170854271356824</v>
      </c>
      <c r="E215" s="13">
        <f ca="1"/>
        <v>300.97133970933703</v>
      </c>
      <c r="F215" s="13">
        <f ca="1"/>
        <v>300.2410515976124</v>
      </c>
      <c r="G215" s="13">
        <f ca="1"/>
        <v>308.45236558188958</v>
      </c>
      <c r="H215" s="13">
        <f ca="1"/>
        <v>305.71526092046389</v>
      </c>
      <c r="I215" s="13">
        <f ca="1"/>
        <v>294.7668422747609</v>
      </c>
      <c r="J215" s="13">
        <f ca="1"/>
        <v>292.02973761333521</v>
      </c>
      <c r="K215" s="13">
        <f ca="1"/>
        <v>0</v>
      </c>
      <c r="L215" s="13">
        <f ca="1"/>
        <v>1</v>
      </c>
      <c r="M215" s="13">
        <f ca="1"/>
        <v>0</v>
      </c>
      <c r="N215" s="13">
        <f ca="1"/>
        <v>0</v>
      </c>
      <c r="P215" s="13">
        <f ca="1"/>
        <v>34.170854271356824</v>
      </c>
      <c r="Q215" s="13">
        <f ca="1"/>
        <v>2.88972700426062E-3</v>
      </c>
      <c r="R215" s="13">
        <f ca="1"/>
        <v>5.7836935265099948E-2</v>
      </c>
      <c r="S215" s="13">
        <f ca="1"/>
        <v>0.18052760265209855</v>
      </c>
    </row>
    <row r="216" spans="1:19">
      <c r="A216" s="44">
        <f ca="1"/>
        <v>34.371859296482455</v>
      </c>
      <c r="B216" s="44">
        <f ca="1"/>
        <v>300.91936419343563</v>
      </c>
      <c r="D216" s="13">
        <f ca="1"/>
        <v>34.371859296482455</v>
      </c>
      <c r="E216" s="13">
        <f ca="1"/>
        <v>300.91936419343563</v>
      </c>
      <c r="F216" s="13">
        <f ca="1"/>
        <v>300.2410515976124</v>
      </c>
      <c r="G216" s="13">
        <f ca="1"/>
        <v>308.45236558188958</v>
      </c>
      <c r="H216" s="13">
        <f ca="1"/>
        <v>305.71526092046389</v>
      </c>
      <c r="I216" s="13">
        <f ca="1"/>
        <v>294.7668422747609</v>
      </c>
      <c r="J216" s="13">
        <f ca="1"/>
        <v>292.02973761333521</v>
      </c>
      <c r="K216" s="13">
        <f ca="1"/>
        <v>0</v>
      </c>
      <c r="L216" s="13">
        <f ca="1"/>
        <v>1</v>
      </c>
      <c r="M216" s="13">
        <f ca="1"/>
        <v>0</v>
      </c>
      <c r="N216" s="13">
        <f ca="1"/>
        <v>0</v>
      </c>
      <c r="P216" s="13">
        <f ca="1"/>
        <v>34.371859296482455</v>
      </c>
      <c r="Q216" s="13">
        <f ca="1"/>
        <v>6.6076747690279629E-3</v>
      </c>
      <c r="R216" s="13">
        <f ca="1"/>
        <v>5.7836935265099948E-2</v>
      </c>
      <c r="S216" s="13">
        <f ca="1"/>
        <v>0.18052760265209855</v>
      </c>
    </row>
    <row r="217" spans="1:19">
      <c r="A217" s="44">
        <f ca="1"/>
        <v>34.572864321608087</v>
      </c>
      <c r="B217" s="44">
        <f ca="1"/>
        <v>301.42856605845583</v>
      </c>
      <c r="D217" s="13">
        <f ca="1"/>
        <v>34.572864321608087</v>
      </c>
      <c r="E217" s="13">
        <f ca="1"/>
        <v>301.42856605845583</v>
      </c>
      <c r="F217" s="13">
        <f ca="1"/>
        <v>300.2410515976124</v>
      </c>
      <c r="G217" s="13">
        <f ca="1"/>
        <v>308.45236558188958</v>
      </c>
      <c r="H217" s="13">
        <f ca="1"/>
        <v>305.71526092046389</v>
      </c>
      <c r="I217" s="13">
        <f ca="1"/>
        <v>294.7668422747609</v>
      </c>
      <c r="J217" s="13">
        <f ca="1"/>
        <v>292.02973761333521</v>
      </c>
      <c r="K217" s="13">
        <f ca="1"/>
        <v>0</v>
      </c>
      <c r="L217" s="13">
        <f ca="1"/>
        <v>1</v>
      </c>
      <c r="M217" s="13">
        <f ca="1"/>
        <v>0</v>
      </c>
      <c r="N217" s="13">
        <f ca="1"/>
        <v>0</v>
      </c>
      <c r="P217" s="13">
        <f ca="1"/>
        <v>34.572864321608087</v>
      </c>
      <c r="Q217" s="13">
        <f ca="1"/>
        <v>6.4735101854854107E-2</v>
      </c>
      <c r="R217" s="13">
        <f ca="1"/>
        <v>5.7836935265099948E-2</v>
      </c>
      <c r="S217" s="13">
        <f ca="1"/>
        <v>0.18052760265209855</v>
      </c>
    </row>
    <row r="218" spans="1:19">
      <c r="A218" s="44">
        <f ca="1"/>
        <v>34.773869346733719</v>
      </c>
      <c r="B218" s="44">
        <f ca="1"/>
        <v>301.18761323508232</v>
      </c>
      <c r="D218" s="13">
        <f ca="1"/>
        <v>34.773869346733719</v>
      </c>
      <c r="E218" s="13">
        <f ca="1"/>
        <v>301.18761323508232</v>
      </c>
      <c r="F218" s="13">
        <f ca="1"/>
        <v>300.2410515976124</v>
      </c>
      <c r="G218" s="13">
        <f ca="1"/>
        <v>308.45236558188958</v>
      </c>
      <c r="H218" s="13">
        <f ca="1"/>
        <v>305.71526092046389</v>
      </c>
      <c r="I218" s="13">
        <f ca="1"/>
        <v>294.7668422747609</v>
      </c>
      <c r="J218" s="13">
        <f ca="1"/>
        <v>292.02973761333521</v>
      </c>
      <c r="K218" s="13">
        <f ca="1"/>
        <v>0</v>
      </c>
      <c r="L218" s="13">
        <f ca="1"/>
        <v>1</v>
      </c>
      <c r="M218" s="13">
        <f ca="1"/>
        <v>0</v>
      </c>
      <c r="N218" s="13">
        <f ca="1"/>
        <v>0</v>
      </c>
      <c r="P218" s="13">
        <f ca="1"/>
        <v>34.773869346733719</v>
      </c>
      <c r="Q218" s="13">
        <f ca="1"/>
        <v>3.063245960947069E-2</v>
      </c>
      <c r="R218" s="13">
        <f ca="1"/>
        <v>5.7836935265099948E-2</v>
      </c>
      <c r="S218" s="13">
        <f ca="1"/>
        <v>0.18052760265209855</v>
      </c>
    </row>
    <row r="219" spans="1:19">
      <c r="A219" s="44">
        <f ca="1"/>
        <v>34.97487437185935</v>
      </c>
      <c r="B219" s="44">
        <f ca="1"/>
        <v>300.72788317332527</v>
      </c>
      <c r="D219" s="13">
        <f ca="1"/>
        <v>34.97487437185935</v>
      </c>
      <c r="E219" s="13">
        <f ca="1"/>
        <v>300.72788317332527</v>
      </c>
      <c r="F219" s="13">
        <f ca="1"/>
        <v>300.2410515976124</v>
      </c>
      <c r="G219" s="13">
        <f ca="1"/>
        <v>308.45236558188958</v>
      </c>
      <c r="H219" s="13">
        <f ca="1"/>
        <v>305.71526092046389</v>
      </c>
      <c r="I219" s="13">
        <f ca="1"/>
        <v>294.7668422747609</v>
      </c>
      <c r="J219" s="13">
        <f ca="1"/>
        <v>292.02973761333521</v>
      </c>
      <c r="K219" s="13">
        <f ca="1"/>
        <v>0</v>
      </c>
      <c r="L219" s="13">
        <f ca="1"/>
        <v>1</v>
      </c>
      <c r="M219" s="13">
        <f ca="1"/>
        <v>0</v>
      </c>
      <c r="N219" s="13">
        <f ca="1"/>
        <v>0</v>
      </c>
      <c r="P219" s="13">
        <f ca="1"/>
        <v>34.97487437185935</v>
      </c>
      <c r="Q219" s="13">
        <f ca="1"/>
        <v>5.8445725394978096E-2</v>
      </c>
      <c r="R219" s="13">
        <f ca="1"/>
        <v>5.7836935265099948E-2</v>
      </c>
      <c r="S219" s="13">
        <f ca="1"/>
        <v>0.18052760265209855</v>
      </c>
    </row>
    <row r="220" spans="1:19">
      <c r="A220" s="44">
        <f ca="1"/>
        <v>35.175879396984982</v>
      </c>
      <c r="B220" s="44">
        <f ca="1"/>
        <v>299.37704818206407</v>
      </c>
      <c r="D220" s="13">
        <f ca="1"/>
        <v>35.175879396984982</v>
      </c>
      <c r="E220" s="13">
        <f ca="1"/>
        <v>299.37704818206407</v>
      </c>
      <c r="F220" s="13">
        <f ca="1"/>
        <v>300.2410515976124</v>
      </c>
      <c r="G220" s="13">
        <f ca="1"/>
        <v>308.45236558188958</v>
      </c>
      <c r="H220" s="13">
        <f ca="1"/>
        <v>305.71526092046389</v>
      </c>
      <c r="I220" s="13">
        <f ca="1"/>
        <v>294.7668422747609</v>
      </c>
      <c r="J220" s="13">
        <f ca="1"/>
        <v>292.02973761333521</v>
      </c>
      <c r="K220" s="13">
        <f ca="1"/>
        <v>0</v>
      </c>
      <c r="L220" s="13">
        <f ca="1"/>
        <v>0</v>
      </c>
      <c r="M220" s="13">
        <f ca="1"/>
        <v>0</v>
      </c>
      <c r="N220" s="13">
        <f ca="1"/>
        <v>0</v>
      </c>
      <c r="P220" s="13">
        <f ca="1"/>
        <v>35.175879396984982</v>
      </c>
      <c r="Q220" s="13">
        <f ca="1"/>
        <v>0.17173236540468098</v>
      </c>
      <c r="R220" s="13">
        <f ca="1"/>
        <v>5.7836935265099948E-2</v>
      </c>
      <c r="S220" s="13">
        <f ca="1"/>
        <v>0.18052760265209855</v>
      </c>
    </row>
    <row r="221" spans="1:19">
      <c r="A221" s="44">
        <f ca="1"/>
        <v>35.376884422110614</v>
      </c>
      <c r="B221" s="44">
        <f ca="1"/>
        <v>298.80647873727497</v>
      </c>
      <c r="D221" s="13">
        <f ca="1"/>
        <v>35.376884422110614</v>
      </c>
      <c r="E221" s="13">
        <f ca="1"/>
        <v>298.80647873727497</v>
      </c>
      <c r="F221" s="13">
        <f ca="1"/>
        <v>300.2410515976124</v>
      </c>
      <c r="G221" s="13">
        <f ca="1"/>
        <v>308.45236558188958</v>
      </c>
      <c r="H221" s="13">
        <f ca="1"/>
        <v>305.71526092046389</v>
      </c>
      <c r="I221" s="13">
        <f ca="1"/>
        <v>294.7668422747609</v>
      </c>
      <c r="J221" s="13">
        <f ca="1"/>
        <v>292.02973761333521</v>
      </c>
      <c r="K221" s="13">
        <f ca="1"/>
        <v>0</v>
      </c>
      <c r="L221" s="13">
        <f ca="1"/>
        <v>0</v>
      </c>
      <c r="M221" s="13">
        <f ca="1"/>
        <v>0</v>
      </c>
      <c r="N221" s="13">
        <f ca="1"/>
        <v>0</v>
      </c>
      <c r="P221" s="13">
        <f ca="1"/>
        <v>35.376884422110614</v>
      </c>
      <c r="Q221" s="13">
        <f ca="1"/>
        <v>7.253679466045275E-2</v>
      </c>
      <c r="R221" s="13">
        <f ca="1"/>
        <v>5.7836935265099948E-2</v>
      </c>
      <c r="S221" s="13">
        <f ca="1"/>
        <v>0.18052760265209855</v>
      </c>
    </row>
    <row r="222" spans="1:19">
      <c r="A222" s="44">
        <f ca="1"/>
        <v>35.577889447236245</v>
      </c>
      <c r="B222" s="44">
        <f ca="1"/>
        <v>299.05339115570126</v>
      </c>
      <c r="D222" s="13">
        <f ca="1"/>
        <v>35.577889447236245</v>
      </c>
      <c r="E222" s="13">
        <f ca="1"/>
        <v>299.05339115570126</v>
      </c>
      <c r="F222" s="13">
        <f ca="1"/>
        <v>300.2410515976124</v>
      </c>
      <c r="G222" s="13">
        <f ca="1"/>
        <v>308.45236558188958</v>
      </c>
      <c r="H222" s="13">
        <f ca="1"/>
        <v>305.71526092046389</v>
      </c>
      <c r="I222" s="13">
        <f ca="1"/>
        <v>294.7668422747609</v>
      </c>
      <c r="J222" s="13">
        <f ca="1"/>
        <v>292.02973761333521</v>
      </c>
      <c r="K222" s="13">
        <f ca="1"/>
        <v>0</v>
      </c>
      <c r="L222" s="13">
        <f ca="1"/>
        <v>0</v>
      </c>
      <c r="M222" s="13">
        <f ca="1"/>
        <v>0</v>
      </c>
      <c r="N222" s="13">
        <f ca="1"/>
        <v>0</v>
      </c>
      <c r="P222" s="13">
        <f ca="1"/>
        <v>35.577889447236245</v>
      </c>
      <c r="Q222" s="13">
        <f ca="1"/>
        <v>3.1390106073983355E-2</v>
      </c>
      <c r="R222" s="13">
        <f ca="1"/>
        <v>5.7836935265099948E-2</v>
      </c>
      <c r="S222" s="13">
        <f ca="1"/>
        <v>0.18052760265209855</v>
      </c>
    </row>
    <row r="223" spans="1:19">
      <c r="A223" s="44">
        <f ca="1"/>
        <v>35.778894472361877</v>
      </c>
      <c r="B223" s="44">
        <f ca="1"/>
        <v>298.80362818274324</v>
      </c>
      <c r="D223" s="13">
        <f ca="1"/>
        <v>35.778894472361877</v>
      </c>
      <c r="E223" s="13">
        <f ca="1"/>
        <v>298.80362818274324</v>
      </c>
      <c r="F223" s="13">
        <f ca="1"/>
        <v>300.2410515976124</v>
      </c>
      <c r="G223" s="13">
        <f ca="1"/>
        <v>308.45236558188958</v>
      </c>
      <c r="H223" s="13">
        <f ca="1"/>
        <v>305.71526092046389</v>
      </c>
      <c r="I223" s="13">
        <f ca="1"/>
        <v>294.7668422747609</v>
      </c>
      <c r="J223" s="13">
        <f ca="1"/>
        <v>292.02973761333521</v>
      </c>
      <c r="K223" s="13">
        <f ca="1"/>
        <v>0</v>
      </c>
      <c r="L223" s="13">
        <f ca="1"/>
        <v>0</v>
      </c>
      <c r="M223" s="13">
        <f ca="1"/>
        <v>0</v>
      </c>
      <c r="N223" s="13">
        <f ca="1"/>
        <v>0</v>
      </c>
      <c r="P223" s="13">
        <f ca="1"/>
        <v>35.778894472361877</v>
      </c>
      <c r="Q223" s="13">
        <f ca="1"/>
        <v>3.175249857611457E-2</v>
      </c>
      <c r="R223" s="13">
        <f ca="1"/>
        <v>5.7836935265099948E-2</v>
      </c>
      <c r="S223" s="13">
        <f ca="1"/>
        <v>0.18052760265209855</v>
      </c>
    </row>
    <row r="224" spans="1:19">
      <c r="A224" s="44">
        <f ca="1"/>
        <v>35.979899497487509</v>
      </c>
      <c r="B224" s="44">
        <f ca="1"/>
        <v>299.01945211215218</v>
      </c>
      <c r="D224" s="13">
        <f ca="1"/>
        <v>35.979899497487509</v>
      </c>
      <c r="E224" s="13">
        <f ca="1"/>
        <v>299.01945211215218</v>
      </c>
      <c r="F224" s="13">
        <f ca="1"/>
        <v>300.2410515976124</v>
      </c>
      <c r="G224" s="13">
        <f ca="1"/>
        <v>308.45236558188958</v>
      </c>
      <c r="H224" s="13">
        <f ca="1"/>
        <v>305.71526092046389</v>
      </c>
      <c r="I224" s="13">
        <f ca="1"/>
        <v>294.7668422747609</v>
      </c>
      <c r="J224" s="13">
        <f ca="1"/>
        <v>292.02973761333521</v>
      </c>
      <c r="K224" s="13">
        <f ca="1"/>
        <v>0</v>
      </c>
      <c r="L224" s="13">
        <f ca="1"/>
        <v>0</v>
      </c>
      <c r="M224" s="13">
        <f ca="1"/>
        <v>0</v>
      </c>
      <c r="N224" s="13">
        <f ca="1"/>
        <v>0</v>
      </c>
      <c r="P224" s="13">
        <f ca="1"/>
        <v>35.979899497487509</v>
      </c>
      <c r="Q224" s="13">
        <f ca="1"/>
        <v>2.7437810056819709E-2</v>
      </c>
      <c r="R224" s="13">
        <f ca="1"/>
        <v>5.7836935265099948E-2</v>
      </c>
      <c r="S224" s="13">
        <f ca="1"/>
        <v>0.18052760265209855</v>
      </c>
    </row>
    <row r="225" spans="1:19">
      <c r="A225" s="44">
        <f ca="1"/>
        <v>36.18090452261314</v>
      </c>
      <c r="B225" s="44">
        <f ca="1"/>
        <v>298.39876207170335</v>
      </c>
      <c r="D225" s="13">
        <f ca="1"/>
        <v>36.18090452261314</v>
      </c>
      <c r="E225" s="13">
        <f ca="1"/>
        <v>298.39876207170335</v>
      </c>
      <c r="F225" s="13">
        <f ca="1"/>
        <v>300.2410515976124</v>
      </c>
      <c r="G225" s="13">
        <f ca="1"/>
        <v>308.45236558188958</v>
      </c>
      <c r="H225" s="13">
        <f ca="1"/>
        <v>305.71526092046389</v>
      </c>
      <c r="I225" s="13">
        <f ca="1"/>
        <v>294.7668422747609</v>
      </c>
      <c r="J225" s="13">
        <f ca="1"/>
        <v>292.02973761333521</v>
      </c>
      <c r="K225" s="13">
        <f ca="1"/>
        <v>0</v>
      </c>
      <c r="L225" s="13">
        <f ca="1"/>
        <v>0</v>
      </c>
      <c r="M225" s="13">
        <f ca="1"/>
        <v>0</v>
      </c>
      <c r="N225" s="13">
        <f ca="1"/>
        <v>0</v>
      </c>
      <c r="P225" s="13">
        <f ca="1"/>
        <v>36.18090452261314</v>
      </c>
      <c r="Q225" s="13">
        <f ca="1"/>
        <v>7.8908652440137339E-2</v>
      </c>
      <c r="R225" s="13">
        <f ca="1"/>
        <v>5.7836935265099948E-2</v>
      </c>
      <c r="S225" s="13">
        <f ca="1"/>
        <v>0.18052760265209855</v>
      </c>
    </row>
    <row r="226" spans="1:19">
      <c r="A226" s="44">
        <f ca="1"/>
        <v>36.381909547738772</v>
      </c>
      <c r="B226" s="44">
        <f ca="1"/>
        <v>298.71148300595712</v>
      </c>
      <c r="D226" s="13">
        <f ca="1"/>
        <v>36.381909547738772</v>
      </c>
      <c r="E226" s="13">
        <f ca="1"/>
        <v>298.71148300595712</v>
      </c>
      <c r="F226" s="13">
        <f ca="1"/>
        <v>300.2410515976124</v>
      </c>
      <c r="G226" s="13">
        <f ca="1"/>
        <v>308.45236558188958</v>
      </c>
      <c r="H226" s="13">
        <f ca="1"/>
        <v>305.71526092046389</v>
      </c>
      <c r="I226" s="13">
        <f ca="1"/>
        <v>294.7668422747609</v>
      </c>
      <c r="J226" s="13">
        <f ca="1"/>
        <v>292.02973761333521</v>
      </c>
      <c r="K226" s="13">
        <f ca="1"/>
        <v>0</v>
      </c>
      <c r="L226" s="13">
        <f ca="1"/>
        <v>0</v>
      </c>
      <c r="M226" s="13">
        <f ca="1"/>
        <v>0</v>
      </c>
      <c r="N226" s="13">
        <f ca="1"/>
        <v>0</v>
      </c>
      <c r="P226" s="13">
        <f ca="1"/>
        <v>36.381909547738772</v>
      </c>
      <c r="Q226" s="13">
        <f ca="1"/>
        <v>3.9756377424619439E-2</v>
      </c>
      <c r="R226" s="13">
        <f ca="1"/>
        <v>5.7836935265099948E-2</v>
      </c>
      <c r="S226" s="13">
        <f ca="1"/>
        <v>0.18052760265209855</v>
      </c>
    </row>
    <row r="227" spans="1:19">
      <c r="A227" s="44">
        <f ca="1"/>
        <v>36.582914572864404</v>
      </c>
      <c r="B227" s="44">
        <f ca="1"/>
        <v>298.8029517747654</v>
      </c>
      <c r="D227" s="13">
        <f ca="1"/>
        <v>36.582914572864404</v>
      </c>
      <c r="E227" s="13">
        <f ca="1"/>
        <v>298.8029517747654</v>
      </c>
      <c r="F227" s="13">
        <f ca="1"/>
        <v>300.2410515976124</v>
      </c>
      <c r="G227" s="13">
        <f ca="1"/>
        <v>308.45236558188958</v>
      </c>
      <c r="H227" s="13">
        <f ca="1"/>
        <v>305.71526092046389</v>
      </c>
      <c r="I227" s="13">
        <f ca="1"/>
        <v>294.7668422747609</v>
      </c>
      <c r="J227" s="13">
        <f ca="1"/>
        <v>292.02973761333521</v>
      </c>
      <c r="K227" s="13">
        <f ca="1"/>
        <v>0</v>
      </c>
      <c r="L227" s="13">
        <f ca="1"/>
        <v>1</v>
      </c>
      <c r="M227" s="13">
        <f ca="1"/>
        <v>0</v>
      </c>
      <c r="N227" s="13">
        <f ca="1"/>
        <v>0</v>
      </c>
      <c r="P227" s="13">
        <f ca="1"/>
        <v>36.582914572864404</v>
      </c>
      <c r="Q227" s="13">
        <f ca="1"/>
        <v>1.1628472855470433E-2</v>
      </c>
      <c r="R227" s="13">
        <f ca="1"/>
        <v>5.7836935265099948E-2</v>
      </c>
      <c r="S227" s="13">
        <f ca="1"/>
        <v>0.18052760265209855</v>
      </c>
    </row>
    <row r="228" spans="1:19">
      <c r="A228" s="44">
        <f ca="1"/>
        <v>36.783919597990035</v>
      </c>
      <c r="B228" s="44">
        <f ca="1"/>
        <v>298.52380045434057</v>
      </c>
      <c r="D228" s="13">
        <f ca="1"/>
        <v>36.783919597990035</v>
      </c>
      <c r="E228" s="13">
        <f ca="1"/>
        <v>298.52380045434057</v>
      </c>
      <c r="F228" s="13">
        <f ca="1"/>
        <v>300.2410515976124</v>
      </c>
      <c r="G228" s="13">
        <f ca="1"/>
        <v>308.45236558188958</v>
      </c>
      <c r="H228" s="13">
        <f ca="1"/>
        <v>305.71526092046389</v>
      </c>
      <c r="I228" s="13">
        <f ca="1"/>
        <v>294.7668422747609</v>
      </c>
      <c r="J228" s="13">
        <f ca="1"/>
        <v>292.02973761333521</v>
      </c>
      <c r="K228" s="13">
        <f ca="1"/>
        <v>0</v>
      </c>
      <c r="L228" s="13">
        <f ca="1"/>
        <v>1</v>
      </c>
      <c r="M228" s="13">
        <f ca="1"/>
        <v>0</v>
      </c>
      <c r="N228" s="13">
        <f ca="1"/>
        <v>0</v>
      </c>
      <c r="P228" s="13">
        <f ca="1"/>
        <v>36.783919597990035</v>
      </c>
      <c r="Q228" s="13">
        <f ca="1"/>
        <v>3.5488654700629313E-2</v>
      </c>
      <c r="R228" s="13">
        <f ca="1"/>
        <v>5.7836935265099948E-2</v>
      </c>
      <c r="S228" s="13">
        <f ca="1"/>
        <v>0.18052760265209855</v>
      </c>
    </row>
    <row r="229" spans="1:19">
      <c r="A229" s="44">
        <f ca="1"/>
        <v>36.984924623115667</v>
      </c>
      <c r="B229" s="44">
        <f ca="1"/>
        <v>298.55853455840509</v>
      </c>
      <c r="D229" s="13">
        <f ca="1"/>
        <v>36.984924623115667</v>
      </c>
      <c r="E229" s="13">
        <f ca="1"/>
        <v>298.55853455840509</v>
      </c>
      <c r="F229" s="13">
        <f ca="1"/>
        <v>300.2410515976124</v>
      </c>
      <c r="G229" s="13">
        <f ca="1"/>
        <v>308.45236558188958</v>
      </c>
      <c r="H229" s="13">
        <f ca="1"/>
        <v>305.71526092046389</v>
      </c>
      <c r="I229" s="13">
        <f ca="1"/>
        <v>294.7668422747609</v>
      </c>
      <c r="J229" s="13">
        <f ca="1"/>
        <v>292.02973761333521</v>
      </c>
      <c r="K229" s="13">
        <f ca="1"/>
        <v>0</v>
      </c>
      <c r="L229" s="13">
        <f ca="1"/>
        <v>1</v>
      </c>
      <c r="M229" s="13">
        <f ca="1"/>
        <v>0</v>
      </c>
      <c r="N229" s="13">
        <f ca="1"/>
        <v>0</v>
      </c>
      <c r="P229" s="13">
        <f ca="1"/>
        <v>36.984924623115667</v>
      </c>
      <c r="Q229" s="13">
        <f ca="1"/>
        <v>4.4157649822513401E-3</v>
      </c>
      <c r="R229" s="13">
        <f ca="1"/>
        <v>5.7836935265099948E-2</v>
      </c>
      <c r="S229" s="13">
        <f ca="1"/>
        <v>0.18052760265209855</v>
      </c>
    </row>
    <row r="230" spans="1:19">
      <c r="A230" s="44">
        <f ca="1"/>
        <v>37.185929648241299</v>
      </c>
      <c r="B230" s="44">
        <f ca="1"/>
        <v>298.69212551152356</v>
      </c>
      <c r="D230" s="13">
        <f ca="1"/>
        <v>37.185929648241299</v>
      </c>
      <c r="E230" s="13">
        <f ca="1"/>
        <v>298.69212551152356</v>
      </c>
      <c r="F230" s="13">
        <f ca="1"/>
        <v>300.2410515976124</v>
      </c>
      <c r="G230" s="13">
        <f ca="1"/>
        <v>308.45236558188958</v>
      </c>
      <c r="H230" s="13">
        <f ca="1"/>
        <v>305.71526092046389</v>
      </c>
      <c r="I230" s="13">
        <f ca="1"/>
        <v>294.7668422747609</v>
      </c>
      <c r="J230" s="13">
        <f ca="1"/>
        <v>292.02973761333521</v>
      </c>
      <c r="K230" s="13">
        <f ca="1"/>
        <v>0</v>
      </c>
      <c r="L230" s="13">
        <f ca="1"/>
        <v>1</v>
      </c>
      <c r="M230" s="13">
        <f ca="1"/>
        <v>0</v>
      </c>
      <c r="N230" s="13">
        <f ca="1"/>
        <v>0</v>
      </c>
      <c r="P230" s="13">
        <f ca="1"/>
        <v>37.185929648241299</v>
      </c>
      <c r="Q230" s="13">
        <f ca="1"/>
        <v>1.6983488378755577E-2</v>
      </c>
      <c r="R230" s="13">
        <f ca="1"/>
        <v>5.7836935265099948E-2</v>
      </c>
      <c r="S230" s="13">
        <f ca="1"/>
        <v>0.18052760265209855</v>
      </c>
    </row>
    <row r="231" spans="1:19">
      <c r="A231" s="44">
        <f ca="1"/>
        <v>37.38693467336693</v>
      </c>
      <c r="B231" s="44">
        <f ca="1"/>
        <v>298.82967280824079</v>
      </c>
      <c r="D231" s="13">
        <f ca="1"/>
        <v>37.38693467336693</v>
      </c>
      <c r="E231" s="13">
        <f ca="1"/>
        <v>298.82967280824079</v>
      </c>
      <c r="F231" s="13">
        <f ca="1"/>
        <v>300.2410515976124</v>
      </c>
      <c r="G231" s="13">
        <f ca="1"/>
        <v>308.45236558188958</v>
      </c>
      <c r="H231" s="13">
        <f ca="1"/>
        <v>305.71526092046389</v>
      </c>
      <c r="I231" s="13">
        <f ca="1"/>
        <v>294.7668422747609</v>
      </c>
      <c r="J231" s="13">
        <f ca="1"/>
        <v>292.02973761333521</v>
      </c>
      <c r="K231" s="13">
        <f ca="1"/>
        <v>0</v>
      </c>
      <c r="L231" s="13">
        <f ca="1"/>
        <v>1</v>
      </c>
      <c r="M231" s="13">
        <f ca="1"/>
        <v>0</v>
      </c>
      <c r="N231" s="13">
        <f ca="1"/>
        <v>0</v>
      </c>
      <c r="P231" s="13">
        <f ca="1"/>
        <v>37.38693467336693</v>
      </c>
      <c r="Q231" s="13">
        <f ca="1"/>
        <v>1.7486460428609112E-2</v>
      </c>
      <c r="R231" s="13">
        <f ca="1"/>
        <v>5.7836935265099948E-2</v>
      </c>
      <c r="S231" s="13">
        <f ca="1"/>
        <v>0.18052760265209855</v>
      </c>
    </row>
    <row r="232" spans="1:19">
      <c r="A232" s="44">
        <f ca="1"/>
        <v>37.587939698492562</v>
      </c>
      <c r="B232" s="44">
        <f ca="1"/>
        <v>299.15157096414049</v>
      </c>
      <c r="D232" s="13">
        <f ca="1"/>
        <v>37.587939698492562</v>
      </c>
      <c r="E232" s="13">
        <f ca="1"/>
        <v>299.15157096414049</v>
      </c>
      <c r="F232" s="13">
        <f ca="1"/>
        <v>300.2410515976124</v>
      </c>
      <c r="G232" s="13">
        <f ca="1"/>
        <v>308.45236558188958</v>
      </c>
      <c r="H232" s="13">
        <f ca="1"/>
        <v>305.71526092046389</v>
      </c>
      <c r="I232" s="13">
        <f ca="1"/>
        <v>294.7668422747609</v>
      </c>
      <c r="J232" s="13">
        <f ca="1"/>
        <v>292.02973761333521</v>
      </c>
      <c r="K232" s="13">
        <f ca="1"/>
        <v>0</v>
      </c>
      <c r="L232" s="13">
        <f ca="1"/>
        <v>1</v>
      </c>
      <c r="M232" s="13">
        <f ca="1"/>
        <v>0</v>
      </c>
      <c r="N232" s="13">
        <f ca="1"/>
        <v>0</v>
      </c>
      <c r="P232" s="13">
        <f ca="1"/>
        <v>37.587939698492562</v>
      </c>
      <c r="Q232" s="13">
        <f ca="1"/>
        <v>4.0923082456169407E-2</v>
      </c>
      <c r="R232" s="13">
        <f ca="1"/>
        <v>5.7836935265099948E-2</v>
      </c>
      <c r="S232" s="13">
        <f ca="1"/>
        <v>0.18052760265209855</v>
      </c>
    </row>
    <row r="233" spans="1:19">
      <c r="A233" s="44">
        <f ca="1"/>
        <v>37.788944723618194</v>
      </c>
      <c r="B233" s="44">
        <f ca="1"/>
        <v>298.84365385168377</v>
      </c>
      <c r="D233" s="13">
        <f ca="1"/>
        <v>37.788944723618194</v>
      </c>
      <c r="E233" s="13">
        <f ca="1"/>
        <v>298.84365385168377</v>
      </c>
      <c r="F233" s="13">
        <f ca="1"/>
        <v>300.2410515976124</v>
      </c>
      <c r="G233" s="13">
        <f ca="1"/>
        <v>308.45236558188958</v>
      </c>
      <c r="H233" s="13">
        <f ca="1"/>
        <v>305.71526092046389</v>
      </c>
      <c r="I233" s="13">
        <f ca="1"/>
        <v>294.7668422747609</v>
      </c>
      <c r="J233" s="13">
        <f ca="1"/>
        <v>292.02973761333521</v>
      </c>
      <c r="K233" s="13">
        <f ca="1"/>
        <v>0</v>
      </c>
      <c r="L233" s="13">
        <f ca="1"/>
        <v>1</v>
      </c>
      <c r="M233" s="13">
        <f ca="1"/>
        <v>0</v>
      </c>
      <c r="N233" s="13">
        <f ca="1"/>
        <v>0</v>
      </c>
      <c r="P233" s="13">
        <f ca="1"/>
        <v>37.788944723618194</v>
      </c>
      <c r="Q233" s="13">
        <f ca="1"/>
        <v>3.9145665024120792E-2</v>
      </c>
      <c r="R233" s="13">
        <f ca="1"/>
        <v>5.7836935265099948E-2</v>
      </c>
      <c r="S233" s="13">
        <f ca="1"/>
        <v>0.18052760265209855</v>
      </c>
    </row>
    <row r="234" spans="1:19">
      <c r="A234" s="44">
        <f ca="1"/>
        <v>37.989949748743825</v>
      </c>
      <c r="B234" s="44">
        <f ca="1"/>
        <v>298.84334097493701</v>
      </c>
      <c r="D234" s="13">
        <f ca="1"/>
        <v>37.989949748743825</v>
      </c>
      <c r="E234" s="13">
        <f ca="1"/>
        <v>298.84334097493701</v>
      </c>
      <c r="F234" s="13">
        <f ca="1"/>
        <v>300.2410515976124</v>
      </c>
      <c r="G234" s="13">
        <f ca="1"/>
        <v>308.45236558188958</v>
      </c>
      <c r="H234" s="13">
        <f ca="1"/>
        <v>305.71526092046389</v>
      </c>
      <c r="I234" s="13">
        <f ca="1"/>
        <v>294.7668422747609</v>
      </c>
      <c r="J234" s="13">
        <f ca="1"/>
        <v>292.02973761333521</v>
      </c>
      <c r="K234" s="13">
        <f ca="1"/>
        <v>0</v>
      </c>
      <c r="L234" s="13">
        <f ca="1"/>
        <v>1</v>
      </c>
      <c r="M234" s="13">
        <f ca="1"/>
        <v>0</v>
      </c>
      <c r="N234" s="13">
        <f ca="1"/>
        <v>0</v>
      </c>
      <c r="P234" s="13">
        <f ca="1"/>
        <v>37.989949748743825</v>
      </c>
      <c r="Q234" s="13">
        <f ca="1"/>
        <v>3.9776185950964174E-5</v>
      </c>
      <c r="R234" s="13">
        <f ca="1"/>
        <v>5.7836935265099948E-2</v>
      </c>
      <c r="S234" s="13">
        <f ca="1"/>
        <v>0.18052760265209855</v>
      </c>
    </row>
    <row r="235" spans="1:19">
      <c r="A235" s="44">
        <f ca="1"/>
        <v>38.190954773869457</v>
      </c>
      <c r="B235" s="44">
        <f ca="1"/>
        <v>299.10597706889962</v>
      </c>
      <c r="D235" s="13">
        <f ca="1"/>
        <v>38.190954773869457</v>
      </c>
      <c r="E235" s="13">
        <f ca="1"/>
        <v>299.10597706889962</v>
      </c>
      <c r="F235" s="13">
        <f ca="1"/>
        <v>300.2410515976124</v>
      </c>
      <c r="G235" s="13">
        <f ca="1"/>
        <v>308.45236558188958</v>
      </c>
      <c r="H235" s="13">
        <f ca="1"/>
        <v>305.71526092046389</v>
      </c>
      <c r="I235" s="13">
        <f ca="1"/>
        <v>294.7668422747609</v>
      </c>
      <c r="J235" s="13">
        <f ca="1"/>
        <v>292.02973761333521</v>
      </c>
      <c r="K235" s="13">
        <f ca="1"/>
        <v>0</v>
      </c>
      <c r="L235" s="13">
        <f ca="1"/>
        <v>1</v>
      </c>
      <c r="M235" s="13">
        <f ca="1"/>
        <v>0</v>
      </c>
      <c r="N235" s="13">
        <f ca="1"/>
        <v>0</v>
      </c>
      <c r="P235" s="13">
        <f ca="1"/>
        <v>38.190954773869457</v>
      </c>
      <c r="Q235" s="13">
        <f ca="1"/>
        <v>3.3389065243812924E-2</v>
      </c>
      <c r="R235" s="13">
        <f ca="1"/>
        <v>5.7836935265099948E-2</v>
      </c>
      <c r="S235" s="13">
        <f ca="1"/>
        <v>0.18052760265209855</v>
      </c>
    </row>
    <row r="236" spans="1:19">
      <c r="A236" s="44">
        <f ca="1"/>
        <v>38.391959798995089</v>
      </c>
      <c r="B236" s="44">
        <f ca="1"/>
        <v>298.79638534901272</v>
      </c>
      <c r="D236" s="13">
        <f ca="1"/>
        <v>38.391959798995089</v>
      </c>
      <c r="E236" s="13">
        <f ca="1"/>
        <v>298.79638534901272</v>
      </c>
      <c r="F236" s="13">
        <f ca="1"/>
        <v>300.2410515976124</v>
      </c>
      <c r="G236" s="13">
        <f ca="1"/>
        <v>308.45236558188958</v>
      </c>
      <c r="H236" s="13">
        <f ca="1"/>
        <v>305.71526092046389</v>
      </c>
      <c r="I236" s="13">
        <f ca="1"/>
        <v>294.7668422747609</v>
      </c>
      <c r="J236" s="13">
        <f ca="1"/>
        <v>292.02973761333521</v>
      </c>
      <c r="K236" s="13">
        <f ca="1"/>
        <v>0</v>
      </c>
      <c r="L236" s="13">
        <f ca="1"/>
        <v>1</v>
      </c>
      <c r="M236" s="13">
        <f ca="1"/>
        <v>0</v>
      </c>
      <c r="N236" s="13">
        <f ca="1"/>
        <v>0</v>
      </c>
      <c r="P236" s="13">
        <f ca="1"/>
        <v>38.391959798995089</v>
      </c>
      <c r="Q236" s="13">
        <f ca="1"/>
        <v>3.9358558750570462E-2</v>
      </c>
      <c r="R236" s="13">
        <f ca="1"/>
        <v>5.7836935265099948E-2</v>
      </c>
      <c r="S236" s="13">
        <f ca="1"/>
        <v>0.18052760265209855</v>
      </c>
    </row>
    <row r="237" spans="1:19">
      <c r="A237" s="44">
        <f ca="1"/>
        <v>38.59296482412072</v>
      </c>
      <c r="B237" s="44">
        <f ca="1"/>
        <v>298.54443031253379</v>
      </c>
      <c r="D237" s="13">
        <f ca="1"/>
        <v>38.59296482412072</v>
      </c>
      <c r="E237" s="13">
        <f ca="1"/>
        <v>298.54443031253379</v>
      </c>
      <c r="F237" s="13">
        <f ca="1"/>
        <v>300.2410515976124</v>
      </c>
      <c r="G237" s="13">
        <f ca="1"/>
        <v>308.45236558188958</v>
      </c>
      <c r="H237" s="13">
        <f ca="1"/>
        <v>305.71526092046389</v>
      </c>
      <c r="I237" s="13">
        <f ca="1"/>
        <v>294.7668422747609</v>
      </c>
      <c r="J237" s="13">
        <f ca="1"/>
        <v>292.02973761333521</v>
      </c>
      <c r="K237" s="13">
        <f ca="1"/>
        <v>0</v>
      </c>
      <c r="L237" s="13">
        <f ca="1"/>
        <v>1</v>
      </c>
      <c r="M237" s="13">
        <f ca="1"/>
        <v>0</v>
      </c>
      <c r="N237" s="13">
        <f ca="1"/>
        <v>0</v>
      </c>
      <c r="P237" s="13">
        <f ca="1"/>
        <v>38.59296482412072</v>
      </c>
      <c r="Q237" s="13">
        <f ca="1"/>
        <v>3.2031176768490578E-2</v>
      </c>
      <c r="R237" s="13">
        <f ca="1"/>
        <v>5.7836935265099948E-2</v>
      </c>
      <c r="S237" s="13">
        <f ca="1"/>
        <v>0.18052760265209855</v>
      </c>
    </row>
    <row r="238" spans="1:19">
      <c r="A238" s="44">
        <f ca="1"/>
        <v>38.793969849246352</v>
      </c>
      <c r="B238" s="44">
        <f ca="1"/>
        <v>299.09918768484596</v>
      </c>
      <c r="D238" s="13">
        <f ca="1"/>
        <v>38.793969849246352</v>
      </c>
      <c r="E238" s="13">
        <f ca="1"/>
        <v>299.09918768484596</v>
      </c>
      <c r="F238" s="13">
        <f ca="1"/>
        <v>300.2410515976124</v>
      </c>
      <c r="G238" s="13">
        <f ca="1"/>
        <v>308.45236558188958</v>
      </c>
      <c r="H238" s="13">
        <f ca="1"/>
        <v>305.71526092046389</v>
      </c>
      <c r="I238" s="13">
        <f ca="1"/>
        <v>294.7668422747609</v>
      </c>
      <c r="J238" s="13">
        <f ca="1"/>
        <v>292.02973761333521</v>
      </c>
      <c r="K238" s="13">
        <f ca="1"/>
        <v>0</v>
      </c>
      <c r="L238" s="13">
        <f ca="1"/>
        <v>1</v>
      </c>
      <c r="M238" s="13">
        <f ca="1"/>
        <v>0</v>
      </c>
      <c r="N238" s="13">
        <f ca="1"/>
        <v>0</v>
      </c>
      <c r="P238" s="13">
        <f ca="1"/>
        <v>38.793969849246352</v>
      </c>
      <c r="Q238" s="13">
        <f ca="1"/>
        <v>7.0526597540907635E-2</v>
      </c>
      <c r="R238" s="13">
        <f ca="1"/>
        <v>5.7836935265099948E-2</v>
      </c>
      <c r="S238" s="13">
        <f ca="1"/>
        <v>0.18052760265209855</v>
      </c>
    </row>
    <row r="239" spans="1:19">
      <c r="A239" s="44">
        <f ca="1"/>
        <v>38.994974874371984</v>
      </c>
      <c r="B239" s="44">
        <f ca="1"/>
        <v>298.55624132952693</v>
      </c>
      <c r="D239" s="13">
        <f ca="1"/>
        <v>38.994974874371984</v>
      </c>
      <c r="E239" s="13">
        <f ca="1"/>
        <v>298.55624132952693</v>
      </c>
      <c r="F239" s="13">
        <f ca="1"/>
        <v>300.2410515976124</v>
      </c>
      <c r="G239" s="13">
        <f ca="1"/>
        <v>308.45236558188958</v>
      </c>
      <c r="H239" s="13">
        <f ca="1"/>
        <v>305.71526092046389</v>
      </c>
      <c r="I239" s="13">
        <f ca="1"/>
        <v>294.7668422747609</v>
      </c>
      <c r="J239" s="13">
        <f ca="1"/>
        <v>292.02973761333521</v>
      </c>
      <c r="K239" s="13">
        <f ca="1"/>
        <v>0</v>
      </c>
      <c r="L239" s="13">
        <f ca="1"/>
        <v>1</v>
      </c>
      <c r="M239" s="13">
        <f ca="1"/>
        <v>0</v>
      </c>
      <c r="N239" s="13">
        <f ca="1"/>
        <v>0</v>
      </c>
      <c r="P239" s="13">
        <f ca="1"/>
        <v>38.994974874371984</v>
      </c>
      <c r="Q239" s="13">
        <f ca="1"/>
        <v>6.9025056716759806E-2</v>
      </c>
      <c r="R239" s="13">
        <f ca="1"/>
        <v>5.7836935265099948E-2</v>
      </c>
      <c r="S239" s="13">
        <f ca="1"/>
        <v>0.18052760265209855</v>
      </c>
    </row>
    <row r="240" spans="1:19">
      <c r="A240" s="44">
        <f ca="1"/>
        <v>39.195979899497615</v>
      </c>
      <c r="B240" s="44">
        <f ca="1"/>
        <v>298.75406024734855</v>
      </c>
      <c r="D240" s="13">
        <f ca="1"/>
        <v>39.195979899497615</v>
      </c>
      <c r="E240" s="13">
        <f ca="1"/>
        <v>298.75406024734855</v>
      </c>
      <c r="F240" s="13">
        <f ca="1"/>
        <v>300.2410515976124</v>
      </c>
      <c r="G240" s="13">
        <f ca="1"/>
        <v>308.45236558188958</v>
      </c>
      <c r="H240" s="13">
        <f ca="1"/>
        <v>305.71526092046389</v>
      </c>
      <c r="I240" s="13">
        <f ca="1"/>
        <v>294.7668422747609</v>
      </c>
      <c r="J240" s="13">
        <f ca="1"/>
        <v>292.02973761333521</v>
      </c>
      <c r="K240" s="13">
        <f ca="1"/>
        <v>0</v>
      </c>
      <c r="L240" s="13">
        <f ca="1"/>
        <v>1</v>
      </c>
      <c r="M240" s="13">
        <f ca="1"/>
        <v>0</v>
      </c>
      <c r="N240" s="13">
        <f ca="1"/>
        <v>0</v>
      </c>
      <c r="P240" s="13">
        <f ca="1"/>
        <v>39.195979899497615</v>
      </c>
      <c r="Q240" s="13">
        <f ca="1"/>
        <v>2.5148823430746078E-2</v>
      </c>
      <c r="R240" s="13">
        <f ca="1"/>
        <v>5.7836935265099948E-2</v>
      </c>
      <c r="S240" s="13">
        <f ca="1"/>
        <v>0.18052760265209855</v>
      </c>
    </row>
    <row r="241" spans="1:19">
      <c r="A241" s="44">
        <f ca="1"/>
        <v>39.396984924623247</v>
      </c>
      <c r="B241" s="44">
        <f ca="1"/>
        <v>299.33633445020462</v>
      </c>
      <c r="D241" s="13">
        <f ca="1"/>
        <v>39.396984924623247</v>
      </c>
      <c r="E241" s="13">
        <f ca="1"/>
        <v>299.33633445020462</v>
      </c>
      <c r="F241" s="13">
        <f ca="1"/>
        <v>300.2410515976124</v>
      </c>
      <c r="G241" s="13">
        <f ca="1"/>
        <v>308.45236558188958</v>
      </c>
      <c r="H241" s="13">
        <f ca="1"/>
        <v>305.71526092046389</v>
      </c>
      <c r="I241" s="13">
        <f ca="1"/>
        <v>294.7668422747609</v>
      </c>
      <c r="J241" s="13">
        <f ca="1"/>
        <v>292.02973761333521</v>
      </c>
      <c r="K241" s="13">
        <f ca="1"/>
        <v>0</v>
      </c>
      <c r="L241" s="13">
        <f ca="1"/>
        <v>1</v>
      </c>
      <c r="M241" s="13">
        <f ca="1"/>
        <v>0</v>
      </c>
      <c r="N241" s="13">
        <f ca="1"/>
        <v>0</v>
      </c>
      <c r="P241" s="13">
        <f ca="1"/>
        <v>39.396984924623247</v>
      </c>
      <c r="Q241" s="13">
        <f ca="1"/>
        <v>7.4024826731233964E-2</v>
      </c>
      <c r="R241" s="13">
        <f ca="1"/>
        <v>5.7836935265099948E-2</v>
      </c>
      <c r="S241" s="13">
        <f ca="1"/>
        <v>0.18052760265209855</v>
      </c>
    </row>
    <row r="242" spans="1:19">
      <c r="A242" s="44">
        <f ca="1"/>
        <v>39.597989949748879</v>
      </c>
      <c r="B242" s="44">
        <f ca="1"/>
        <v>299.30594539304042</v>
      </c>
      <c r="D242" s="13">
        <f ca="1"/>
        <v>39.597989949748879</v>
      </c>
      <c r="E242" s="13">
        <f ca="1"/>
        <v>299.30594539304042</v>
      </c>
      <c r="F242" s="13">
        <f ca="1"/>
        <v>300.2410515976124</v>
      </c>
      <c r="G242" s="13">
        <f ca="1"/>
        <v>308.45236558188958</v>
      </c>
      <c r="H242" s="13">
        <f ca="1"/>
        <v>305.71526092046389</v>
      </c>
      <c r="I242" s="13">
        <f ca="1"/>
        <v>294.7668422747609</v>
      </c>
      <c r="J242" s="13">
        <f ca="1"/>
        <v>292.02973761333521</v>
      </c>
      <c r="K242" s="13">
        <f ca="1"/>
        <v>0</v>
      </c>
      <c r="L242" s="13">
        <f ca="1"/>
        <v>1</v>
      </c>
      <c r="M242" s="13">
        <f ca="1"/>
        <v>0</v>
      </c>
      <c r="N242" s="13">
        <f ca="1"/>
        <v>0</v>
      </c>
      <c r="P242" s="13">
        <f ca="1"/>
        <v>39.597989949748879</v>
      </c>
      <c r="Q242" s="13">
        <f ca="1"/>
        <v>3.8633768765152206E-3</v>
      </c>
      <c r="R242" s="13">
        <f ca="1"/>
        <v>5.7836935265099948E-2</v>
      </c>
      <c r="S242" s="13">
        <f ca="1"/>
        <v>0.18052760265209855</v>
      </c>
    </row>
    <row r="243" spans="1:19">
      <c r="A243" s="44">
        <f ca="1"/>
        <v>39.79899497487451</v>
      </c>
      <c r="B243" s="44">
        <f ca="1"/>
        <v>299.1323484788054</v>
      </c>
      <c r="D243" s="13">
        <f ca="1"/>
        <v>39.79899497487451</v>
      </c>
      <c r="E243" s="13">
        <f ca="1"/>
        <v>299.1323484788054</v>
      </c>
      <c r="F243" s="13">
        <f ca="1"/>
        <v>300.2410515976124</v>
      </c>
      <c r="G243" s="13">
        <f ca="1"/>
        <v>308.45236558188958</v>
      </c>
      <c r="H243" s="13">
        <f ca="1"/>
        <v>305.71526092046389</v>
      </c>
      <c r="I243" s="13">
        <f ca="1"/>
        <v>294.7668422747609</v>
      </c>
      <c r="J243" s="13">
        <f ca="1"/>
        <v>292.02973761333521</v>
      </c>
      <c r="K243" s="13">
        <f ca="1"/>
        <v>0</v>
      </c>
      <c r="L243" s="13">
        <f ca="1"/>
        <v>1</v>
      </c>
      <c r="M243" s="13">
        <f ca="1"/>
        <v>0</v>
      </c>
      <c r="N243" s="13">
        <f ca="1"/>
        <v>0</v>
      </c>
      <c r="P243" s="13">
        <f ca="1"/>
        <v>39.79899497487451</v>
      </c>
      <c r="Q243" s="13">
        <f ca="1"/>
        <v>2.2069467330498763E-2</v>
      </c>
      <c r="R243" s="13">
        <f ca="1"/>
        <v>5.7836935265099948E-2</v>
      </c>
      <c r="S243" s="13">
        <f ca="1"/>
        <v>0.18052760265209855</v>
      </c>
    </row>
    <row r="244" spans="1:19">
      <c r="A244" s="44">
        <f ca="1"/>
        <v>40.000000000000142</v>
      </c>
      <c r="B244" s="44">
        <f ca="1"/>
        <v>300.6261654799759</v>
      </c>
      <c r="D244" s="13">
        <f ca="1"/>
        <v>40.000000000000142</v>
      </c>
      <c r="E244" s="13">
        <f ca="1"/>
        <v>300.6261654799759</v>
      </c>
      <c r="F244" s="13">
        <f ca="1"/>
        <v>300.2410515976124</v>
      </c>
      <c r="G244" s="13">
        <f ca="1"/>
        <v>308.45236558188958</v>
      </c>
      <c r="H244" s="13">
        <f ca="1"/>
        <v>305.71526092046389</v>
      </c>
      <c r="I244" s="13">
        <f ca="1"/>
        <v>294.7668422747609</v>
      </c>
      <c r="J244" s="13">
        <f ca="1"/>
        <v>292.02973761333521</v>
      </c>
      <c r="K244" s="13">
        <f ca="1"/>
        <v>0</v>
      </c>
      <c r="L244" s="13">
        <f ca="1"/>
        <v>0</v>
      </c>
      <c r="M244" s="13">
        <f ca="1"/>
        <v>0</v>
      </c>
      <c r="N244" s="13">
        <f ca="1"/>
        <v>0</v>
      </c>
      <c r="P244" s="13">
        <f ca="1"/>
        <v>40.000000000000142</v>
      </c>
      <c r="Q244" s="13">
        <f ca="1"/>
        <v>0.18990974378981967</v>
      </c>
      <c r="R244" s="13">
        <f ca="1"/>
        <v>5.7836935265099948E-2</v>
      </c>
      <c r="S244" s="13">
        <f ca="1"/>
        <v>0.18052760265209855</v>
      </c>
    </row>
  </sheetData>
  <mergeCells count="25">
    <mergeCell ref="A39:B39"/>
    <mergeCell ref="A43:B43"/>
    <mergeCell ref="A29:B29"/>
    <mergeCell ref="A30:B30"/>
    <mergeCell ref="A31:B31"/>
    <mergeCell ref="A32:B32"/>
    <mergeCell ref="A33:B33"/>
    <mergeCell ref="A34:B34"/>
    <mergeCell ref="A16:B16"/>
    <mergeCell ref="A35:B35"/>
    <mergeCell ref="A36:B36"/>
    <mergeCell ref="A37:B37"/>
    <mergeCell ref="A38:B38"/>
    <mergeCell ref="A25:B25"/>
    <mergeCell ref="A17:B17"/>
    <mergeCell ref="A18:B18"/>
    <mergeCell ref="A19:B19"/>
    <mergeCell ref="A22:B22"/>
    <mergeCell ref="A23:B23"/>
    <mergeCell ref="A24:B24"/>
    <mergeCell ref="A11:B11"/>
    <mergeCell ref="A12:B12"/>
    <mergeCell ref="A13:B13"/>
    <mergeCell ref="A14:B14"/>
    <mergeCell ref="A15:B15"/>
  </mergeCells>
  <dataValidations count="3">
    <dataValidation type="list" allowBlank="1" showInputMessage="1" showErrorMessage="1" sqref="C30" xr:uid="{80EEC3C4-D5C7-4BC4-8A4C-79FF81C9AE32}">
      <formula1>"sine,cosine,square,triangle,saw"</formula1>
    </dataValidation>
    <dataValidation type="list" allowBlank="1" showInputMessage="1" showErrorMessage="1" sqref="C14" xr:uid="{6C2A3FFB-7379-4D27-913D-254822A2EDDF}">
      <formula1>"raw,zscore"</formula1>
    </dataValidation>
    <dataValidation type="list" allowBlank="1" showInputMessage="1" showErrorMessage="1" sqref="C13" xr:uid="{F7B76CE9-A048-43DB-B67C-FDAD1F70A85B}">
      <formula1>"avg,cma,sma,wma,ema,emal,trim,med"</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1" id="{C4A75820-361F-4F26-85F3-A57A15A91EBE}">
            <x14:iconSet iconSet="3Symbols" showValue="0" custom="1">
              <x14:cfvo type="percent">
                <xm:f>0</xm:f>
              </x14:cfvo>
              <x14:cfvo type="num">
                <xm:f>0</xm:f>
              </x14:cfvo>
              <x14:cfvo type="num">
                <xm:f>1</xm:f>
              </x14:cfvo>
              <x14:cfIcon iconSet="NoIcons" iconId="0"/>
              <x14:cfIcon iconSet="NoIcons" iconId="0"/>
              <x14:cfIcon iconSet="3Symbols2" iconId="0"/>
            </x14:iconSet>
          </x14:cfRule>
          <xm:sqref>K45:N244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25" defaultRowHeight="14.25"/>
  <cols>
    <col min="1" max="16384" width="9.125" style="2"/>
  </cols>
  <sheetData>
    <row r="1" spans="1:11">
      <c r="A1" s="3" t="s">
        <v>982</v>
      </c>
    </row>
    <row r="2" spans="1:11">
      <c r="A2" s="65" t="s">
        <v>1049</v>
      </c>
      <c r="B2" s="65"/>
      <c r="C2" s="65"/>
      <c r="D2" s="65"/>
      <c r="E2" s="65"/>
      <c r="F2" s="65"/>
      <c r="G2" s="65"/>
      <c r="H2" s="65"/>
      <c r="I2" s="65"/>
      <c r="J2" s="65"/>
      <c r="K2" s="65"/>
    </row>
    <row r="3" spans="1:11">
      <c r="A3" s="65" t="s">
        <v>1050</v>
      </c>
      <c r="B3" s="65"/>
      <c r="C3" s="65"/>
      <c r="D3" s="65"/>
      <c r="E3" s="65"/>
      <c r="F3" s="65"/>
      <c r="G3" s="65"/>
      <c r="H3" s="65"/>
      <c r="I3" s="65"/>
      <c r="J3" s="65"/>
      <c r="K3" s="65"/>
    </row>
    <row r="4" spans="1:11">
      <c r="A4" s="65" t="s">
        <v>1051</v>
      </c>
      <c r="B4" s="65"/>
      <c r="C4" s="65"/>
      <c r="D4" s="65"/>
      <c r="E4" s="65"/>
      <c r="F4" s="65"/>
      <c r="G4" s="65"/>
      <c r="H4" s="65"/>
      <c r="I4" s="65"/>
      <c r="J4" s="65"/>
      <c r="K4" s="65"/>
    </row>
    <row r="6" spans="1:11">
      <c r="A6" s="3" t="s">
        <v>1</v>
      </c>
    </row>
    <row r="7" spans="1:11" ht="15">
      <c r="A7" s="65" t="s">
        <v>1032</v>
      </c>
      <c r="B7" s="65"/>
      <c r="C7" s="65"/>
      <c r="D7" s="65"/>
      <c r="E7" s="65"/>
      <c r="F7" s="65"/>
      <c r="G7" s="65"/>
      <c r="H7" s="65"/>
      <c r="I7" s="65"/>
      <c r="J7" s="65"/>
      <c r="K7" s="65"/>
    </row>
    <row r="8" spans="1:11">
      <c r="A8" s="65" t="s">
        <v>1031</v>
      </c>
      <c r="B8" s="65"/>
      <c r="C8" s="65"/>
      <c r="D8" s="65"/>
      <c r="E8" s="65"/>
      <c r="F8" s="65"/>
      <c r="G8" s="65"/>
      <c r="H8" s="65"/>
      <c r="I8" s="65"/>
      <c r="J8" s="65"/>
      <c r="K8" s="65"/>
    </row>
    <row r="9" spans="1:11">
      <c r="A9" s="75" t="s">
        <v>989</v>
      </c>
      <c r="B9" s="75"/>
      <c r="C9" s="75"/>
      <c r="D9" s="75"/>
      <c r="E9" s="75"/>
      <c r="F9" s="75"/>
      <c r="G9" s="75"/>
      <c r="H9" s="75"/>
      <c r="I9" s="75"/>
      <c r="J9" s="75"/>
      <c r="K9" s="75"/>
    </row>
    <row r="10" spans="1:11">
      <c r="A10" s="75" t="s">
        <v>990</v>
      </c>
      <c r="B10" s="75"/>
      <c r="C10" s="75"/>
      <c r="D10" s="75"/>
      <c r="E10" s="75"/>
      <c r="F10" s="75"/>
      <c r="G10" s="75"/>
      <c r="H10" s="75"/>
      <c r="I10" s="75"/>
      <c r="J10" s="75"/>
      <c r="K10" s="75"/>
    </row>
    <row r="11" spans="1:11">
      <c r="A11" s="75" t="s">
        <v>991</v>
      </c>
      <c r="B11" s="75"/>
      <c r="C11" s="75"/>
      <c r="D11" s="75"/>
      <c r="E11" s="75"/>
      <c r="F11" s="75"/>
      <c r="G11" s="75"/>
      <c r="H11" s="75"/>
      <c r="I11" s="75"/>
      <c r="J11" s="75"/>
      <c r="K11" s="75"/>
    </row>
    <row r="12" spans="1:11">
      <c r="A12" s="75" t="s">
        <v>1052</v>
      </c>
      <c r="B12" s="75"/>
      <c r="C12" s="75"/>
      <c r="D12" s="75"/>
      <c r="E12" s="75"/>
      <c r="F12" s="75"/>
      <c r="G12" s="75"/>
      <c r="H12" s="75"/>
      <c r="I12" s="75"/>
      <c r="J12" s="75"/>
      <c r="K12" s="75"/>
    </row>
    <row r="13" spans="1:11">
      <c r="A13" s="65" t="s">
        <v>983</v>
      </c>
      <c r="B13" s="65"/>
      <c r="C13" s="65"/>
      <c r="D13" s="65"/>
      <c r="E13" s="65"/>
      <c r="F13" s="65"/>
      <c r="G13" s="65"/>
      <c r="H13" s="65"/>
      <c r="I13" s="65"/>
      <c r="J13" s="65"/>
      <c r="K13" s="65"/>
    </row>
    <row r="14" spans="1:11">
      <c r="A14" s="75" t="s">
        <v>984</v>
      </c>
      <c r="B14" s="75"/>
      <c r="C14" s="75"/>
      <c r="D14" s="75"/>
      <c r="E14" s="75"/>
      <c r="F14" s="75"/>
      <c r="G14" s="75"/>
      <c r="H14" s="75"/>
      <c r="I14" s="75"/>
      <c r="J14" s="75"/>
      <c r="K14" s="75"/>
    </row>
    <row r="15" spans="1:11">
      <c r="A15" s="75" t="s">
        <v>985</v>
      </c>
      <c r="B15" s="75"/>
      <c r="C15" s="75"/>
      <c r="D15" s="75"/>
      <c r="E15" s="75"/>
      <c r="F15" s="75"/>
      <c r="G15" s="75"/>
      <c r="H15" s="75"/>
      <c r="I15" s="75"/>
      <c r="J15" s="75"/>
      <c r="K15" s="75"/>
    </row>
    <row r="16" spans="1:11">
      <c r="A16" s="75" t="s">
        <v>986</v>
      </c>
      <c r="B16" s="75"/>
      <c r="C16" s="75"/>
      <c r="D16" s="75"/>
      <c r="E16" s="75"/>
      <c r="F16" s="75"/>
      <c r="G16" s="75"/>
      <c r="H16" s="75"/>
      <c r="I16" s="75"/>
      <c r="J16" s="75"/>
      <c r="K16" s="75"/>
    </row>
    <row r="17" spans="1:11">
      <c r="A17" s="75" t="s">
        <v>987</v>
      </c>
      <c r="B17" s="75"/>
      <c r="C17" s="75"/>
      <c r="D17" s="75"/>
      <c r="E17" s="75"/>
      <c r="F17" s="75"/>
      <c r="G17" s="75"/>
      <c r="H17" s="75"/>
      <c r="I17" s="75"/>
      <c r="J17" s="75"/>
      <c r="K17" s="75"/>
    </row>
    <row r="18" spans="1:11">
      <c r="A18" s="75" t="s">
        <v>988</v>
      </c>
      <c r="B18" s="75"/>
      <c r="C18" s="75"/>
      <c r="D18" s="75"/>
      <c r="E18" s="75"/>
      <c r="F18" s="75"/>
      <c r="G18" s="75"/>
      <c r="H18" s="75"/>
      <c r="I18" s="75"/>
      <c r="J18" s="75"/>
      <c r="K18" s="75"/>
    </row>
    <row r="20" spans="1:11">
      <c r="A20" s="3" t="s">
        <v>220</v>
      </c>
    </row>
    <row r="21" spans="1:11">
      <c r="A21" s="66" t="s">
        <v>992</v>
      </c>
      <c r="B21" s="66"/>
      <c r="C21" s="66"/>
      <c r="D21" s="66"/>
      <c r="E21" s="66"/>
      <c r="F21" s="66"/>
      <c r="G21" s="66"/>
      <c r="H21" s="66"/>
      <c r="I21" s="66"/>
      <c r="J21" s="66"/>
      <c r="K21" s="66"/>
    </row>
    <row r="22" spans="1:11">
      <c r="A22" s="67" t="s">
        <v>616</v>
      </c>
      <c r="B22" s="67"/>
      <c r="C22" s="67"/>
      <c r="D22" s="67"/>
      <c r="E22" s="67"/>
      <c r="F22" s="67"/>
      <c r="G22" s="67"/>
      <c r="H22" s="67"/>
      <c r="I22" s="67"/>
      <c r="J22" s="67"/>
      <c r="K22" s="67"/>
    </row>
    <row r="23" spans="1:11">
      <c r="A23" s="67" t="s">
        <v>993</v>
      </c>
      <c r="B23" s="67"/>
      <c r="C23" s="67"/>
      <c r="D23" s="67"/>
      <c r="E23" s="67"/>
      <c r="F23" s="67"/>
      <c r="G23" s="67"/>
      <c r="H23" s="67"/>
      <c r="I23" s="67"/>
      <c r="J23" s="67"/>
      <c r="K23" s="67"/>
    </row>
    <row r="24" spans="1:11">
      <c r="A24" s="67" t="s">
        <v>994</v>
      </c>
      <c r="B24" s="67"/>
      <c r="C24" s="67"/>
      <c r="D24" s="67"/>
      <c r="E24" s="67"/>
      <c r="F24" s="67"/>
      <c r="G24" s="67"/>
      <c r="H24" s="67"/>
      <c r="I24" s="67"/>
      <c r="J24" s="67"/>
      <c r="K24" s="67"/>
    </row>
    <row r="25" spans="1:11">
      <c r="A25" s="67" t="s">
        <v>995</v>
      </c>
      <c r="B25" s="67"/>
      <c r="C25" s="67"/>
      <c r="D25" s="67"/>
      <c r="E25" s="67"/>
      <c r="F25" s="67"/>
      <c r="G25" s="67"/>
      <c r="H25" s="67"/>
      <c r="I25" s="67"/>
      <c r="J25" s="67"/>
      <c r="K25" s="67"/>
    </row>
    <row r="26" spans="1:11">
      <c r="A26" s="67" t="s">
        <v>996</v>
      </c>
      <c r="B26" s="67"/>
      <c r="C26" s="67"/>
      <c r="D26" s="67"/>
      <c r="E26" s="67"/>
      <c r="F26" s="67"/>
      <c r="G26" s="67"/>
      <c r="H26" s="67"/>
      <c r="I26" s="67"/>
      <c r="J26" s="67"/>
      <c r="K26" s="67"/>
    </row>
    <row r="27" spans="1:11">
      <c r="A27" s="67" t="s">
        <v>997</v>
      </c>
      <c r="B27" s="67"/>
      <c r="C27" s="67"/>
      <c r="D27" s="67"/>
      <c r="E27" s="67"/>
      <c r="F27" s="67"/>
      <c r="G27" s="67"/>
      <c r="H27" s="67"/>
      <c r="I27" s="67"/>
      <c r="J27" s="67"/>
      <c r="K27" s="67"/>
    </row>
    <row r="28" spans="1:11">
      <c r="A28" s="67" t="s">
        <v>998</v>
      </c>
      <c r="B28" s="67"/>
      <c r="C28" s="67"/>
      <c r="D28" s="67"/>
      <c r="E28" s="67"/>
      <c r="F28" s="67"/>
      <c r="G28" s="67"/>
      <c r="H28" s="67"/>
      <c r="I28" s="67"/>
      <c r="J28" s="67"/>
      <c r="K28" s="67"/>
    </row>
    <row r="29" spans="1:11">
      <c r="A29" s="67" t="s">
        <v>999</v>
      </c>
      <c r="B29" s="67"/>
      <c r="C29" s="67"/>
      <c r="D29" s="67"/>
      <c r="E29" s="67"/>
      <c r="F29" s="67"/>
      <c r="G29" s="67"/>
      <c r="H29" s="67"/>
      <c r="I29" s="67"/>
      <c r="J29" s="67"/>
      <c r="K29" s="67"/>
    </row>
    <row r="30" spans="1:11">
      <c r="A30" s="67" t="s">
        <v>1000</v>
      </c>
      <c r="B30" s="67"/>
      <c r="C30" s="67"/>
      <c r="D30" s="67"/>
      <c r="E30" s="67"/>
      <c r="F30" s="67"/>
      <c r="G30" s="67"/>
      <c r="H30" s="67"/>
      <c r="I30" s="67"/>
      <c r="J30" s="67"/>
      <c r="K30" s="67"/>
    </row>
    <row r="31" spans="1:11">
      <c r="A31" s="67" t="s">
        <v>1001</v>
      </c>
      <c r="B31" s="67"/>
      <c r="C31" s="67"/>
      <c r="D31" s="67"/>
      <c r="E31" s="67"/>
      <c r="F31" s="67"/>
      <c r="G31" s="67"/>
      <c r="H31" s="67"/>
      <c r="I31" s="67"/>
      <c r="J31" s="67"/>
      <c r="K31" s="67"/>
    </row>
    <row r="32" spans="1:11">
      <c r="A32" s="67" t="s">
        <v>1002</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1003</v>
      </c>
      <c r="B34" s="67"/>
      <c r="C34" s="67"/>
      <c r="D34" s="67"/>
      <c r="E34" s="67"/>
      <c r="F34" s="67"/>
      <c r="G34" s="67"/>
      <c r="H34" s="67"/>
      <c r="I34" s="67"/>
      <c r="J34" s="67"/>
      <c r="K34" s="67"/>
    </row>
    <row r="35" spans="1:11">
      <c r="A35" s="67" t="s">
        <v>1004</v>
      </c>
      <c r="B35" s="67"/>
      <c r="C35" s="67"/>
      <c r="D35" s="67"/>
      <c r="E35" s="67"/>
      <c r="F35" s="67"/>
      <c r="G35" s="67"/>
      <c r="H35" s="67"/>
      <c r="I35" s="67"/>
      <c r="J35" s="67"/>
      <c r="K35" s="67"/>
    </row>
    <row r="36" spans="1:11">
      <c r="A36" s="67" t="s">
        <v>1005</v>
      </c>
      <c r="B36" s="67"/>
      <c r="C36" s="67"/>
      <c r="D36" s="67"/>
      <c r="E36" s="67"/>
      <c r="F36" s="67"/>
      <c r="G36" s="67"/>
      <c r="H36" s="67"/>
      <c r="I36" s="67"/>
      <c r="J36" s="67"/>
      <c r="K36" s="67"/>
    </row>
    <row r="37" spans="1:11">
      <c r="A37" s="67" t="s">
        <v>1006</v>
      </c>
      <c r="B37" s="67"/>
      <c r="C37" s="67"/>
      <c r="D37" s="67"/>
      <c r="E37" s="67"/>
      <c r="F37" s="67"/>
      <c r="G37" s="67"/>
      <c r="H37" s="67"/>
      <c r="I37" s="67"/>
      <c r="J37" s="67"/>
      <c r="K37" s="67"/>
    </row>
    <row r="38" spans="1:11">
      <c r="A38" s="67" t="s">
        <v>1007</v>
      </c>
      <c r="B38" s="67"/>
      <c r="C38" s="67"/>
      <c r="D38" s="67"/>
      <c r="E38" s="67"/>
      <c r="F38" s="67"/>
      <c r="G38" s="67"/>
      <c r="H38" s="67"/>
      <c r="I38" s="67"/>
      <c r="J38" s="67"/>
      <c r="K38" s="67"/>
    </row>
    <row r="39" spans="1:11">
      <c r="A39" s="67" t="s">
        <v>1008</v>
      </c>
      <c r="B39" s="67"/>
      <c r="C39" s="67"/>
      <c r="D39" s="67"/>
      <c r="E39" s="67"/>
      <c r="F39" s="67"/>
      <c r="G39" s="67"/>
      <c r="H39" s="67"/>
      <c r="I39" s="67"/>
      <c r="J39" s="67"/>
      <c r="K39" s="67"/>
    </row>
    <row r="40" spans="1:11">
      <c r="A40" s="67" t="s">
        <v>1009</v>
      </c>
      <c r="B40" s="67"/>
      <c r="C40" s="67"/>
      <c r="D40" s="67"/>
      <c r="E40" s="67"/>
      <c r="F40" s="67"/>
      <c r="G40" s="67"/>
      <c r="H40" s="67"/>
      <c r="I40" s="67"/>
      <c r="J40" s="67"/>
      <c r="K40" s="67"/>
    </row>
    <row r="41" spans="1:11">
      <c r="A41" s="67" t="s">
        <v>1010</v>
      </c>
      <c r="B41" s="67"/>
      <c r="C41" s="67"/>
      <c r="D41" s="67"/>
      <c r="E41" s="67"/>
      <c r="F41" s="67"/>
      <c r="G41" s="67"/>
      <c r="H41" s="67"/>
      <c r="I41" s="67"/>
      <c r="J41" s="67"/>
      <c r="K41" s="67"/>
    </row>
    <row r="42" spans="1:11">
      <c r="A42" s="67" t="s">
        <v>1011</v>
      </c>
      <c r="B42" s="67"/>
      <c r="C42" s="67"/>
      <c r="D42" s="67"/>
      <c r="E42" s="67"/>
      <c r="F42" s="67"/>
      <c r="G42" s="67"/>
      <c r="H42" s="67"/>
      <c r="I42" s="67"/>
      <c r="J42" s="67"/>
      <c r="K42" s="67"/>
    </row>
    <row r="43" spans="1:11">
      <c r="A43" s="67" t="s">
        <v>1012</v>
      </c>
      <c r="B43" s="67"/>
      <c r="C43" s="67"/>
      <c r="D43" s="67"/>
      <c r="E43" s="67"/>
      <c r="F43" s="67"/>
      <c r="G43" s="67"/>
      <c r="H43" s="67"/>
      <c r="I43" s="67"/>
      <c r="J43" s="67"/>
      <c r="K43" s="67"/>
    </row>
    <row r="44" spans="1:11">
      <c r="A44" s="67" t="s">
        <v>1013</v>
      </c>
      <c r="B44" s="67"/>
      <c r="C44" s="67"/>
      <c r="D44" s="67"/>
      <c r="E44" s="67"/>
      <c r="F44" s="67"/>
      <c r="G44" s="67"/>
      <c r="H44" s="67"/>
      <c r="I44" s="67"/>
      <c r="J44" s="67"/>
      <c r="K44" s="67"/>
    </row>
    <row r="45" spans="1:11">
      <c r="A45" s="67" t="s">
        <v>1014</v>
      </c>
      <c r="B45" s="67"/>
      <c r="C45" s="67"/>
      <c r="D45" s="67"/>
      <c r="E45" s="67"/>
      <c r="F45" s="67"/>
      <c r="G45" s="67"/>
      <c r="H45" s="67"/>
      <c r="I45" s="67"/>
      <c r="J45" s="67"/>
      <c r="K45" s="67"/>
    </row>
    <row r="46" spans="1:11">
      <c r="A46" s="67" t="s">
        <v>1015</v>
      </c>
      <c r="B46" s="67"/>
      <c r="C46" s="67"/>
      <c r="D46" s="67"/>
      <c r="E46" s="67"/>
      <c r="F46" s="67"/>
      <c r="G46" s="67"/>
      <c r="H46" s="67"/>
      <c r="I46" s="67"/>
      <c r="J46" s="67"/>
      <c r="K46" s="67"/>
    </row>
    <row r="47" spans="1:11">
      <c r="A47" s="67" t="s">
        <v>1016</v>
      </c>
      <c r="B47" s="67"/>
      <c r="C47" s="67"/>
      <c r="D47" s="67"/>
      <c r="E47" s="67"/>
      <c r="F47" s="67"/>
      <c r="G47" s="67"/>
      <c r="H47" s="67"/>
      <c r="I47" s="67"/>
      <c r="J47" s="67"/>
      <c r="K47" s="67"/>
    </row>
    <row r="48" spans="1:11">
      <c r="A48" s="67" t="s">
        <v>1017</v>
      </c>
      <c r="B48" s="67"/>
      <c r="C48" s="67"/>
      <c r="D48" s="67"/>
      <c r="E48" s="67"/>
      <c r="F48" s="67"/>
      <c r="G48" s="67"/>
      <c r="H48" s="67"/>
      <c r="I48" s="67"/>
      <c r="J48" s="67"/>
      <c r="K48" s="67"/>
    </row>
    <row r="49" spans="1:11">
      <c r="A49" s="67" t="s">
        <v>1018</v>
      </c>
      <c r="B49" s="67"/>
      <c r="C49" s="67"/>
      <c r="D49" s="67"/>
      <c r="E49" s="67"/>
      <c r="F49" s="67"/>
      <c r="G49" s="67"/>
      <c r="H49" s="67"/>
      <c r="I49" s="67"/>
      <c r="J49" s="67"/>
      <c r="K49" s="67"/>
    </row>
    <row r="50" spans="1:11">
      <c r="A50" s="67" t="s">
        <v>1019</v>
      </c>
      <c r="B50" s="67"/>
      <c r="C50" s="67"/>
      <c r="D50" s="67"/>
      <c r="E50" s="67"/>
      <c r="F50" s="67"/>
      <c r="G50" s="67"/>
      <c r="H50" s="67"/>
      <c r="I50" s="67"/>
      <c r="J50" s="67"/>
      <c r="K50" s="67"/>
    </row>
    <row r="51" spans="1:11">
      <c r="A51" s="67" t="s">
        <v>1020</v>
      </c>
      <c r="B51" s="67"/>
      <c r="C51" s="67"/>
      <c r="D51" s="67"/>
      <c r="E51" s="67"/>
      <c r="F51" s="67"/>
      <c r="G51" s="67"/>
      <c r="H51" s="67"/>
      <c r="I51" s="67"/>
      <c r="J51" s="67"/>
      <c r="K51" s="67"/>
    </row>
    <row r="52" spans="1:11">
      <c r="A52" s="67" t="s">
        <v>1021</v>
      </c>
      <c r="B52" s="67"/>
      <c r="C52" s="67"/>
      <c r="D52" s="67"/>
      <c r="E52" s="67"/>
      <c r="F52" s="67"/>
      <c r="G52" s="67"/>
      <c r="H52" s="67"/>
      <c r="I52" s="67"/>
      <c r="J52" s="67"/>
      <c r="K52" s="67"/>
    </row>
    <row r="53" spans="1:11">
      <c r="A53" s="67" t="s">
        <v>1022</v>
      </c>
      <c r="B53" s="67"/>
      <c r="C53" s="67"/>
      <c r="D53" s="67"/>
      <c r="E53" s="67"/>
      <c r="F53" s="67"/>
      <c r="G53" s="67"/>
      <c r="H53" s="67"/>
      <c r="I53" s="67"/>
      <c r="J53" s="67"/>
      <c r="K53" s="67"/>
    </row>
    <row r="54" spans="1:11">
      <c r="A54" s="67" t="s">
        <v>1023</v>
      </c>
      <c r="B54" s="67"/>
      <c r="C54" s="67"/>
      <c r="D54" s="67"/>
      <c r="E54" s="67"/>
      <c r="F54" s="67"/>
      <c r="G54" s="67"/>
      <c r="H54" s="67"/>
      <c r="I54" s="67"/>
      <c r="J54" s="67"/>
      <c r="K54" s="67"/>
    </row>
    <row r="55" spans="1:11">
      <c r="A55" s="67" t="s">
        <v>1024</v>
      </c>
      <c r="B55" s="67"/>
      <c r="C55" s="67"/>
      <c r="D55" s="67"/>
      <c r="E55" s="67"/>
      <c r="F55" s="67"/>
      <c r="G55" s="67"/>
      <c r="H55" s="67"/>
      <c r="I55" s="67"/>
      <c r="J55" s="67"/>
      <c r="K55" s="67"/>
    </row>
    <row r="56" spans="1:11">
      <c r="A56" s="67" t="s">
        <v>1025</v>
      </c>
      <c r="B56" s="67"/>
      <c r="C56" s="67"/>
      <c r="D56" s="67"/>
      <c r="E56" s="67"/>
      <c r="F56" s="67"/>
      <c r="G56" s="67"/>
      <c r="H56" s="67"/>
      <c r="I56" s="67"/>
      <c r="J56" s="67"/>
      <c r="K56" s="67"/>
    </row>
    <row r="57" spans="1:11">
      <c r="A57" s="67" t="s">
        <v>81</v>
      </c>
      <c r="B57" s="67"/>
      <c r="C57" s="67"/>
      <c r="D57" s="67"/>
      <c r="E57" s="67"/>
      <c r="F57" s="67"/>
      <c r="G57" s="67"/>
      <c r="H57" s="67"/>
      <c r="I57" s="67"/>
      <c r="J57" s="67"/>
      <c r="K57" s="67"/>
    </row>
    <row r="58" spans="1:11">
      <c r="A58" s="67" t="s">
        <v>146</v>
      </c>
      <c r="B58" s="67"/>
      <c r="C58" s="67"/>
      <c r="D58" s="67"/>
      <c r="E58" s="67"/>
      <c r="F58" s="67"/>
      <c r="G58" s="67"/>
      <c r="H58" s="67"/>
      <c r="I58" s="67"/>
      <c r="J58" s="67"/>
      <c r="K58" s="67"/>
    </row>
    <row r="59" spans="1:11">
      <c r="A59" s="67" t="s">
        <v>77</v>
      </c>
      <c r="B59" s="67"/>
      <c r="C59" s="67"/>
      <c r="D59" s="67"/>
      <c r="E59" s="67"/>
      <c r="F59" s="67"/>
      <c r="G59" s="67"/>
      <c r="H59" s="67"/>
      <c r="I59" s="67"/>
      <c r="J59" s="67"/>
      <c r="K59" s="67"/>
    </row>
    <row r="60" spans="1:11">
      <c r="A60" s="67" t="s">
        <v>1026</v>
      </c>
      <c r="B60" s="67"/>
      <c r="C60" s="67"/>
      <c r="D60" s="67"/>
      <c r="E60" s="67"/>
      <c r="F60" s="67"/>
      <c r="G60" s="67"/>
      <c r="H60" s="67"/>
      <c r="I60" s="67"/>
      <c r="J60" s="67"/>
      <c r="K60" s="67"/>
    </row>
    <row r="61" spans="1:11">
      <c r="A61" s="67" t="s">
        <v>1027</v>
      </c>
      <c r="B61" s="67"/>
      <c r="C61" s="67"/>
      <c r="D61" s="67"/>
      <c r="E61" s="67"/>
      <c r="F61" s="67"/>
      <c r="G61" s="67"/>
      <c r="H61" s="67"/>
      <c r="I61" s="67"/>
      <c r="J61" s="67"/>
      <c r="K61" s="67"/>
    </row>
    <row r="62" spans="1:11">
      <c r="A62" s="67" t="s">
        <v>1028</v>
      </c>
      <c r="B62" s="67"/>
      <c r="C62" s="67"/>
      <c r="D62" s="67"/>
      <c r="E62" s="67"/>
      <c r="F62" s="67"/>
      <c r="G62" s="67"/>
      <c r="H62" s="67"/>
      <c r="I62" s="67"/>
      <c r="J62" s="67"/>
      <c r="K62" s="67"/>
    </row>
    <row r="63" spans="1:11">
      <c r="A63" s="67" t="s">
        <v>1029</v>
      </c>
      <c r="B63" s="67"/>
      <c r="C63" s="67"/>
      <c r="D63" s="67"/>
      <c r="E63" s="67"/>
      <c r="F63" s="67"/>
      <c r="G63" s="67"/>
      <c r="H63" s="67"/>
      <c r="I63" s="67"/>
      <c r="J63" s="67"/>
      <c r="K63" s="67"/>
    </row>
    <row r="64" spans="1:11">
      <c r="A64" s="67" t="s">
        <v>1030</v>
      </c>
      <c r="B64" s="67"/>
      <c r="C64" s="67"/>
      <c r="D64" s="67"/>
      <c r="E64" s="67"/>
      <c r="F64" s="67"/>
      <c r="G64" s="67"/>
      <c r="H64" s="67"/>
      <c r="I64" s="67"/>
      <c r="J64" s="67"/>
      <c r="K64" s="67"/>
    </row>
    <row r="65" spans="1:11">
      <c r="A65" s="67" t="s">
        <v>177</v>
      </c>
      <c r="B65" s="67"/>
      <c r="C65" s="67"/>
      <c r="D65" s="67"/>
      <c r="E65" s="67"/>
      <c r="F65" s="67"/>
      <c r="G65" s="67"/>
      <c r="H65" s="67"/>
      <c r="I65" s="67"/>
      <c r="J65" s="67"/>
      <c r="K65" s="67"/>
    </row>
    <row r="66" spans="1:11">
      <c r="A66" s="67" t="s">
        <v>97</v>
      </c>
      <c r="B66" s="67"/>
      <c r="C66" s="67"/>
      <c r="D66" s="67"/>
      <c r="E66" s="67"/>
      <c r="F66" s="67"/>
      <c r="G66" s="67"/>
      <c r="H66" s="67"/>
      <c r="I66" s="67"/>
      <c r="J66" s="67"/>
      <c r="K66" s="67"/>
    </row>
    <row r="68" spans="1:11">
      <c r="A68" s="3" t="s">
        <v>213</v>
      </c>
    </row>
    <row r="69" spans="1:11">
      <c r="A69" s="63" t="s">
        <v>188</v>
      </c>
      <c r="B69" s="63"/>
      <c r="C69" s="64" t="s">
        <v>2</v>
      </c>
      <c r="D69" s="64"/>
      <c r="E69" s="64"/>
      <c r="F69" s="64"/>
      <c r="G69" s="64"/>
      <c r="H69" s="64"/>
      <c r="I69" s="64"/>
      <c r="J69" s="64"/>
      <c r="K69" s="64"/>
    </row>
    <row r="70" spans="1:11">
      <c r="A70" s="59" t="s">
        <v>1033</v>
      </c>
      <c r="B70" s="59"/>
      <c r="C70" s="60" t="s">
        <v>1034</v>
      </c>
      <c r="D70" s="60"/>
      <c r="E70" s="60"/>
      <c r="F70" s="60"/>
      <c r="G70" s="60"/>
      <c r="H70" s="60"/>
      <c r="I70" s="60"/>
      <c r="J70" s="60"/>
      <c r="K70" s="60"/>
    </row>
    <row r="71" spans="1:11">
      <c r="A71" s="59" t="s">
        <v>1035</v>
      </c>
      <c r="B71" s="59"/>
      <c r="C71" s="60" t="s">
        <v>1038</v>
      </c>
      <c r="D71" s="60"/>
      <c r="E71" s="60"/>
      <c r="F71" s="60"/>
      <c r="G71" s="60"/>
      <c r="H71" s="60"/>
      <c r="I71" s="60"/>
      <c r="J71" s="60"/>
      <c r="K71" s="60"/>
    </row>
    <row r="72" spans="1:11">
      <c r="A72" s="59" t="s">
        <v>1036</v>
      </c>
      <c r="B72" s="59"/>
      <c r="C72" s="60" t="s">
        <v>1039</v>
      </c>
      <c r="D72" s="60"/>
      <c r="E72" s="60"/>
      <c r="F72" s="60"/>
      <c r="G72" s="60"/>
      <c r="H72" s="60"/>
      <c r="I72" s="60"/>
      <c r="J72" s="60"/>
      <c r="K72" s="60"/>
    </row>
    <row r="73" spans="1:11" ht="30" customHeight="1">
      <c r="A73" s="59" t="s">
        <v>1037</v>
      </c>
      <c r="B73" s="59"/>
      <c r="C73" s="60" t="s">
        <v>1087</v>
      </c>
      <c r="D73" s="60"/>
      <c r="E73" s="60"/>
      <c r="F73" s="60"/>
      <c r="G73" s="60"/>
      <c r="H73" s="60"/>
      <c r="I73" s="60"/>
      <c r="J73" s="60"/>
      <c r="K73" s="60"/>
    </row>
    <row r="75" spans="1:11">
      <c r="A75" s="3" t="s">
        <v>1047</v>
      </c>
    </row>
    <row r="76" spans="1:11" ht="15" customHeight="1">
      <c r="A76" s="63" t="s">
        <v>1040</v>
      </c>
      <c r="B76" s="63"/>
      <c r="C76" s="64" t="s">
        <v>2</v>
      </c>
      <c r="D76" s="64"/>
      <c r="E76" s="64"/>
      <c r="F76" s="64"/>
      <c r="G76" s="64"/>
      <c r="H76" s="64"/>
      <c r="I76" s="64"/>
      <c r="J76" s="64"/>
      <c r="K76" s="64"/>
    </row>
    <row r="77" spans="1:11" ht="15" customHeight="1">
      <c r="A77" s="59" t="s">
        <v>1041</v>
      </c>
      <c r="B77" s="59"/>
      <c r="C77" s="60" t="s">
        <v>1042</v>
      </c>
      <c r="D77" s="60"/>
      <c r="E77" s="60"/>
      <c r="F77" s="60"/>
      <c r="G77" s="60"/>
      <c r="H77" s="60"/>
      <c r="I77" s="60"/>
      <c r="J77" s="60"/>
      <c r="K77" s="60"/>
    </row>
    <row r="78" spans="1:11" ht="15" customHeight="1">
      <c r="A78" s="59" t="s">
        <v>1043</v>
      </c>
      <c r="B78" s="59"/>
      <c r="C78" s="60" t="s">
        <v>1044</v>
      </c>
      <c r="D78" s="60"/>
      <c r="E78" s="60"/>
      <c r="F78" s="60"/>
      <c r="G78" s="60"/>
      <c r="H78" s="60"/>
      <c r="I78" s="60"/>
      <c r="J78" s="60"/>
      <c r="K78" s="60"/>
    </row>
    <row r="79" spans="1:11" ht="29.25" customHeight="1">
      <c r="A79" s="59" t="s">
        <v>1045</v>
      </c>
      <c r="B79" s="59"/>
      <c r="C79" s="60" t="s">
        <v>1046</v>
      </c>
      <c r="D79" s="60"/>
      <c r="E79" s="60"/>
      <c r="F79" s="60"/>
      <c r="G79" s="60"/>
      <c r="H79" s="60"/>
      <c r="I79" s="60"/>
      <c r="J79" s="60"/>
      <c r="K79" s="60"/>
    </row>
    <row r="81" spans="1:11">
      <c r="A81" s="3" t="s">
        <v>1073</v>
      </c>
    </row>
    <row r="82" spans="1:11">
      <c r="A82" s="63" t="s">
        <v>1053</v>
      </c>
      <c r="B82" s="63"/>
      <c r="C82" s="64" t="s">
        <v>1054</v>
      </c>
      <c r="D82" s="64"/>
      <c r="E82" s="64"/>
      <c r="F82" s="64"/>
      <c r="G82" s="64"/>
      <c r="H82" s="64"/>
      <c r="I82" s="64"/>
      <c r="J82" s="64"/>
      <c r="K82" s="64"/>
    </row>
    <row r="83" spans="1:11">
      <c r="A83" s="61" t="s">
        <v>1055</v>
      </c>
      <c r="B83" s="61"/>
      <c r="C83" s="62" t="s">
        <v>1056</v>
      </c>
      <c r="D83" s="62"/>
      <c r="E83" s="62"/>
      <c r="F83" s="62"/>
      <c r="G83" s="62"/>
      <c r="H83" s="62"/>
      <c r="I83" s="62"/>
      <c r="J83" s="62"/>
      <c r="K83" s="62"/>
    </row>
    <row r="84" spans="1:11">
      <c r="A84" s="61" t="s">
        <v>1057</v>
      </c>
      <c r="B84" s="61"/>
      <c r="C84" s="62" t="s">
        <v>1058</v>
      </c>
      <c r="D84" s="62"/>
      <c r="E84" s="62"/>
      <c r="F84" s="62"/>
      <c r="G84" s="62"/>
      <c r="H84" s="62"/>
      <c r="I84" s="62"/>
      <c r="J84" s="62"/>
      <c r="K84" s="62"/>
    </row>
    <row r="85" spans="1:11">
      <c r="A85" s="61" t="s">
        <v>1059</v>
      </c>
      <c r="B85" s="61"/>
      <c r="C85" s="62" t="s">
        <v>1060</v>
      </c>
      <c r="D85" s="62"/>
      <c r="E85" s="62"/>
      <c r="F85" s="62"/>
      <c r="G85" s="62"/>
      <c r="H85" s="62"/>
      <c r="I85" s="62"/>
      <c r="J85" s="62"/>
      <c r="K85" s="62"/>
    </row>
    <row r="86" spans="1:11">
      <c r="A86" s="61" t="s">
        <v>1061</v>
      </c>
      <c r="B86" s="61"/>
      <c r="C86" s="62" t="s">
        <v>1062</v>
      </c>
      <c r="D86" s="62"/>
      <c r="E86" s="62"/>
      <c r="F86" s="62"/>
      <c r="G86" s="62"/>
      <c r="H86" s="62"/>
      <c r="I86" s="62"/>
      <c r="J86" s="62"/>
      <c r="K86" s="62"/>
    </row>
    <row r="87" spans="1:11">
      <c r="A87" s="61" t="s">
        <v>1063</v>
      </c>
      <c r="B87" s="61"/>
      <c r="C87" s="62" t="s">
        <v>1064</v>
      </c>
      <c r="D87" s="62"/>
      <c r="E87" s="62"/>
      <c r="F87" s="62"/>
      <c r="G87" s="62"/>
      <c r="H87" s="62"/>
      <c r="I87" s="62"/>
      <c r="J87" s="62"/>
      <c r="K87" s="62"/>
    </row>
    <row r="88" spans="1:11">
      <c r="A88" s="61" t="s">
        <v>1065</v>
      </c>
      <c r="B88" s="61"/>
      <c r="C88" s="62" t="s">
        <v>1066</v>
      </c>
      <c r="D88" s="62"/>
      <c r="E88" s="62"/>
      <c r="F88" s="62"/>
      <c r="G88" s="62"/>
      <c r="H88" s="62"/>
      <c r="I88" s="62"/>
      <c r="J88" s="62"/>
      <c r="K88" s="62"/>
    </row>
    <row r="89" spans="1:11">
      <c r="A89" s="61" t="s">
        <v>1067</v>
      </c>
      <c r="B89" s="61"/>
      <c r="C89" s="62" t="s">
        <v>1068</v>
      </c>
      <c r="D89" s="62"/>
      <c r="E89" s="62"/>
      <c r="F89" s="62"/>
      <c r="G89" s="62"/>
      <c r="H89" s="62"/>
      <c r="I89" s="62"/>
      <c r="J89" s="62"/>
      <c r="K89" s="62"/>
    </row>
    <row r="90" spans="1:11">
      <c r="A90" s="61" t="s">
        <v>1069</v>
      </c>
      <c r="B90" s="61"/>
      <c r="C90" s="62" t="s">
        <v>1070</v>
      </c>
      <c r="D90" s="62"/>
      <c r="E90" s="62"/>
      <c r="F90" s="62"/>
      <c r="G90" s="62"/>
      <c r="H90" s="62"/>
      <c r="I90" s="62"/>
      <c r="J90" s="62"/>
      <c r="K90" s="62"/>
    </row>
    <row r="91" spans="1:11">
      <c r="A91" s="61" t="s">
        <v>1071</v>
      </c>
      <c r="B91" s="61"/>
      <c r="C91" s="62" t="s">
        <v>1072</v>
      </c>
      <c r="D91" s="62"/>
      <c r="E91" s="62"/>
      <c r="F91" s="62"/>
      <c r="G91" s="62"/>
      <c r="H91" s="62"/>
      <c r="I91" s="62"/>
      <c r="J91" s="62"/>
      <c r="K91" s="62"/>
    </row>
    <row r="93" spans="1:11">
      <c r="A93" s="3" t="s">
        <v>224</v>
      </c>
    </row>
    <row r="94" spans="1:11">
      <c r="A94" s="65" t="s">
        <v>1074</v>
      </c>
      <c r="B94" s="65"/>
      <c r="C94" s="65"/>
      <c r="D94" s="65"/>
      <c r="E94" s="65"/>
      <c r="F94" s="65"/>
      <c r="G94" s="65"/>
      <c r="H94" s="65"/>
      <c r="I94" s="65"/>
      <c r="J94" s="65"/>
      <c r="K94" s="65"/>
    </row>
    <row r="95" spans="1:11">
      <c r="A95" s="65" t="s">
        <v>1075</v>
      </c>
      <c r="B95" s="65"/>
      <c r="C95" s="65"/>
      <c r="D95" s="65"/>
      <c r="E95" s="65"/>
      <c r="F95" s="65"/>
      <c r="G95" s="65"/>
      <c r="H95" s="65"/>
      <c r="I95" s="65"/>
      <c r="J95" s="65"/>
      <c r="K95" s="65"/>
    </row>
    <row r="96" spans="1:11">
      <c r="A96" s="65" t="s">
        <v>1076</v>
      </c>
      <c r="B96" s="65"/>
      <c r="C96" s="65"/>
      <c r="D96" s="65"/>
      <c r="E96" s="65"/>
      <c r="F96" s="65"/>
      <c r="G96" s="65"/>
      <c r="H96" s="65"/>
      <c r="I96" s="65"/>
      <c r="J96" s="65"/>
      <c r="K96" s="65"/>
    </row>
    <row r="97" spans="1:11">
      <c r="A97" s="65" t="s">
        <v>1077</v>
      </c>
      <c r="B97" s="65"/>
      <c r="C97" s="65"/>
      <c r="D97" s="65"/>
      <c r="E97" s="65"/>
      <c r="F97" s="65"/>
      <c r="G97" s="65"/>
      <c r="H97" s="65"/>
      <c r="I97" s="65"/>
      <c r="J97" s="65"/>
      <c r="K97" s="65"/>
    </row>
    <row r="98" spans="1:11">
      <c r="A98" s="65" t="s">
        <v>1078</v>
      </c>
      <c r="B98" s="65"/>
      <c r="C98" s="65"/>
      <c r="D98" s="65"/>
      <c r="E98" s="65"/>
      <c r="F98" s="65"/>
      <c r="G98" s="65"/>
      <c r="H98" s="65"/>
      <c r="I98" s="65"/>
      <c r="J98" s="65"/>
      <c r="K98" s="65"/>
    </row>
    <row r="99" spans="1:11">
      <c r="A99" s="65" t="s">
        <v>1048</v>
      </c>
      <c r="B99" s="65"/>
      <c r="C99" s="65"/>
      <c r="D99" s="65"/>
      <c r="E99" s="65"/>
      <c r="F99" s="65"/>
      <c r="G99" s="65"/>
      <c r="H99" s="65"/>
      <c r="I99" s="65"/>
      <c r="J99" s="65"/>
      <c r="K99" s="65"/>
    </row>
    <row r="101" spans="1:11">
      <c r="A101" s="3" t="s">
        <v>519</v>
      </c>
    </row>
    <row r="102" spans="1:11">
      <c r="A102" s="65" t="s">
        <v>1081</v>
      </c>
      <c r="B102" s="65"/>
      <c r="C102" s="65"/>
      <c r="D102" s="65"/>
      <c r="E102" s="65"/>
      <c r="F102" s="65"/>
      <c r="G102" s="65"/>
      <c r="H102" s="65"/>
      <c r="I102" s="65"/>
      <c r="J102" s="65"/>
      <c r="K102" s="65"/>
    </row>
    <row r="103" spans="1:11">
      <c r="A103" s="75" t="s">
        <v>1085</v>
      </c>
      <c r="B103" s="75"/>
      <c r="C103" s="75"/>
      <c r="D103" s="75"/>
      <c r="E103" s="75"/>
      <c r="F103" s="75"/>
      <c r="G103" s="75"/>
      <c r="H103" s="75"/>
      <c r="I103" s="75"/>
      <c r="J103" s="75"/>
      <c r="K103" s="75"/>
    </row>
    <row r="104" spans="1:11">
      <c r="A104" s="75" t="s">
        <v>953</v>
      </c>
      <c r="B104" s="75"/>
      <c r="C104" s="75"/>
      <c r="D104" s="75"/>
      <c r="E104" s="75"/>
      <c r="F104" s="75"/>
      <c r="G104" s="75"/>
      <c r="H104" s="75"/>
      <c r="I104" s="75"/>
      <c r="J104" s="75"/>
      <c r="K104" s="75"/>
    </row>
    <row r="105" spans="1:11">
      <c r="A105" s="75" t="s">
        <v>1082</v>
      </c>
      <c r="B105" s="75"/>
      <c r="C105" s="75"/>
      <c r="D105" s="75"/>
      <c r="E105" s="75"/>
      <c r="F105" s="75"/>
      <c r="G105" s="75"/>
      <c r="H105" s="75"/>
      <c r="I105" s="75"/>
      <c r="J105" s="75"/>
      <c r="K105" s="75"/>
    </row>
    <row r="106" spans="1:11">
      <c r="A106" s="65" t="s">
        <v>1086</v>
      </c>
      <c r="B106" s="65"/>
      <c r="C106" s="65"/>
      <c r="D106" s="65"/>
      <c r="E106" s="65"/>
      <c r="F106" s="65"/>
      <c r="G106" s="65"/>
      <c r="H106" s="65"/>
      <c r="I106" s="65"/>
      <c r="J106" s="65"/>
      <c r="K106" s="65"/>
    </row>
    <row r="107" spans="1:11">
      <c r="A107" s="75" t="s">
        <v>1083</v>
      </c>
      <c r="B107" s="75"/>
      <c r="C107" s="75"/>
      <c r="D107" s="75"/>
      <c r="E107" s="75"/>
      <c r="F107" s="75"/>
      <c r="G107" s="75"/>
      <c r="H107" s="75"/>
      <c r="I107" s="75"/>
      <c r="J107" s="75"/>
      <c r="K107" s="75"/>
    </row>
    <row r="108" spans="1:11">
      <c r="A108" s="75" t="s">
        <v>1084</v>
      </c>
      <c r="B108" s="75"/>
      <c r="C108" s="75"/>
      <c r="D108" s="75"/>
      <c r="E108" s="75"/>
      <c r="F108" s="75"/>
      <c r="G108" s="75"/>
      <c r="H108" s="75"/>
      <c r="I108" s="75"/>
      <c r="J108" s="75"/>
      <c r="K108" s="75"/>
    </row>
    <row r="110" spans="1:11">
      <c r="A110" s="3" t="s">
        <v>1091</v>
      </c>
    </row>
    <row r="111" spans="1:11">
      <c r="C111" s="74" t="s">
        <v>1088</v>
      </c>
      <c r="D111" s="74"/>
      <c r="E111" s="28"/>
      <c r="F111" s="74" t="s">
        <v>1089</v>
      </c>
      <c r="G111" s="74"/>
    </row>
    <row r="112" spans="1:11" ht="15">
      <c r="B112" s="29" t="s">
        <v>1092</v>
      </c>
      <c r="C112" s="25">
        <v>100</v>
      </c>
      <c r="D112" s="25" t="s">
        <v>981</v>
      </c>
      <c r="E112" s="28"/>
      <c r="F112" s="25" cm="1">
        <f t="array" ref="F112">CONVERT_RATIO(C112,D112,G112)</f>
        <v>0.1</v>
      </c>
      <c r="G112" s="25" t="s">
        <v>1090</v>
      </c>
    </row>
    <row r="113" spans="2:7" ht="15">
      <c r="B113" s="29" t="s">
        <v>1093</v>
      </c>
      <c r="C113" s="25">
        <v>100</v>
      </c>
      <c r="D113" s="25" t="s">
        <v>1095</v>
      </c>
      <c r="E113" s="28"/>
      <c r="F113" s="25" cm="1">
        <f t="array" ref="F113">CONVERT_RATIO(C113,D113,G113,TRUE)</f>
        <v>1.6666666666666667</v>
      </c>
      <c r="G113" s="25" t="s">
        <v>1094</v>
      </c>
    </row>
    <row r="114" spans="2:7" ht="15">
      <c r="B114" s="29" t="s">
        <v>1096</v>
      </c>
      <c r="C114" s="25">
        <v>75</v>
      </c>
      <c r="D114" s="25" t="s">
        <v>1098</v>
      </c>
      <c r="E114" s="28"/>
      <c r="F114" s="25" cm="1">
        <f t="array" ref="F114">CONVERT_RATIO(C114,D114,G114,TRUE)</f>
        <v>82.296000000000006</v>
      </c>
      <c r="G114" s="25" t="s">
        <v>1097</v>
      </c>
    </row>
  </sheetData>
  <mergeCells count="114">
    <mergeCell ref="A21:K21"/>
    <mergeCell ref="A22:K22"/>
    <mergeCell ref="A23:K23"/>
    <mergeCell ref="A24:K24"/>
    <mergeCell ref="A25:K25"/>
    <mergeCell ref="A26:K26"/>
    <mergeCell ref="A33:K33"/>
    <mergeCell ref="A34:K34"/>
    <mergeCell ref="A35:K35"/>
    <mergeCell ref="A36:K36"/>
    <mergeCell ref="A37:K37"/>
    <mergeCell ref="A38:K38"/>
    <mergeCell ref="A27:K27"/>
    <mergeCell ref="A28:K28"/>
    <mergeCell ref="A29:K29"/>
    <mergeCell ref="A30:K30"/>
    <mergeCell ref="A31:K31"/>
    <mergeCell ref="A32:K32"/>
    <mergeCell ref="A47:K47"/>
    <mergeCell ref="A48:K48"/>
    <mergeCell ref="A49:K49"/>
    <mergeCell ref="A50:K50"/>
    <mergeCell ref="A39:K39"/>
    <mergeCell ref="A40:K40"/>
    <mergeCell ref="A41:K41"/>
    <mergeCell ref="A42:K42"/>
    <mergeCell ref="A43:K43"/>
    <mergeCell ref="A44:K44"/>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2:K2"/>
    <mergeCell ref="A3:K3"/>
    <mergeCell ref="A4:K4"/>
    <mergeCell ref="A13:K13"/>
    <mergeCell ref="A14:K14"/>
    <mergeCell ref="A15:K15"/>
    <mergeCell ref="A16:K16"/>
    <mergeCell ref="A17:K17"/>
    <mergeCell ref="A18:K18"/>
    <mergeCell ref="C71:K71"/>
    <mergeCell ref="A72:B72"/>
    <mergeCell ref="C72:K72"/>
    <mergeCell ref="A73:B73"/>
    <mergeCell ref="C73:K73"/>
    <mergeCell ref="A69:B69"/>
    <mergeCell ref="C69:K69"/>
    <mergeCell ref="A70:B70"/>
    <mergeCell ref="C70:K70"/>
    <mergeCell ref="A71:B71"/>
    <mergeCell ref="A76:B76"/>
    <mergeCell ref="C76:K76"/>
    <mergeCell ref="A83:B83"/>
    <mergeCell ref="C83:K83"/>
    <mergeCell ref="A84:B84"/>
    <mergeCell ref="C84:K84"/>
    <mergeCell ref="A77:B77"/>
    <mergeCell ref="C77:K77"/>
    <mergeCell ref="A78:B78"/>
    <mergeCell ref="C78:K78"/>
    <mergeCell ref="A79:B79"/>
    <mergeCell ref="C79:K79"/>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44"/>
  <sheetViews>
    <sheetView topLeftCell="A14" zoomScaleNormal="100" workbookViewId="0">
      <selection activeCell="B144" sqref="B144"/>
    </sheetView>
  </sheetViews>
  <sheetFormatPr defaultColWidth="9.125" defaultRowHeight="14.25"/>
  <cols>
    <col min="1" max="10" width="9.125" style="2"/>
    <col min="11" max="11" width="15.25" style="2" customWidth="1"/>
    <col min="12" max="16384" width="9.125" style="2"/>
  </cols>
  <sheetData>
    <row r="1" spans="1:11">
      <c r="A1" s="3" t="s">
        <v>1105</v>
      </c>
    </row>
    <row r="2" spans="1:11">
      <c r="A2" s="65" t="s">
        <v>1173</v>
      </c>
      <c r="B2" s="65"/>
      <c r="C2" s="65"/>
      <c r="D2" s="65"/>
      <c r="E2" s="65"/>
      <c r="F2" s="65"/>
      <c r="G2" s="65"/>
      <c r="H2" s="65"/>
      <c r="I2" s="65"/>
      <c r="J2" s="65"/>
      <c r="K2" s="65"/>
    </row>
    <row r="3" spans="1:11">
      <c r="A3" s="65" t="s">
        <v>1174</v>
      </c>
      <c r="B3" s="65"/>
      <c r="C3" s="65"/>
      <c r="D3" s="65"/>
      <c r="E3" s="65"/>
      <c r="F3" s="65"/>
      <c r="G3" s="65"/>
      <c r="H3" s="65"/>
      <c r="I3" s="65"/>
      <c r="J3" s="65"/>
      <c r="K3" s="65"/>
    </row>
    <row r="4" spans="1:11">
      <c r="A4" s="65" t="s">
        <v>1175</v>
      </c>
      <c r="B4" s="65"/>
      <c r="C4" s="65"/>
      <c r="D4" s="65"/>
      <c r="E4" s="65"/>
      <c r="F4" s="65"/>
      <c r="G4" s="65"/>
      <c r="H4" s="65"/>
      <c r="I4" s="65"/>
      <c r="J4" s="65"/>
      <c r="K4" s="65"/>
    </row>
    <row r="5" spans="1:11">
      <c r="A5" s="65" t="s">
        <v>1176</v>
      </c>
      <c r="B5" s="65"/>
      <c r="C5" s="65"/>
      <c r="D5" s="65"/>
      <c r="E5" s="65"/>
      <c r="F5" s="65"/>
      <c r="G5" s="65"/>
      <c r="H5" s="65"/>
      <c r="I5" s="65"/>
      <c r="J5" s="65"/>
      <c r="K5" s="65"/>
    </row>
    <row r="7" spans="1:11">
      <c r="A7" s="3" t="s">
        <v>1</v>
      </c>
    </row>
    <row r="8" spans="1:11" ht="15">
      <c r="A8" s="65" t="s">
        <v>1207</v>
      </c>
      <c r="B8" s="65"/>
      <c r="C8" s="65"/>
      <c r="D8" s="65"/>
      <c r="E8" s="65"/>
      <c r="F8" s="65"/>
      <c r="G8" s="65"/>
      <c r="H8" s="65"/>
      <c r="I8" s="65"/>
      <c r="J8" s="65"/>
      <c r="K8" s="65"/>
    </row>
    <row r="9" spans="1:11">
      <c r="A9" s="65" t="s">
        <v>1208</v>
      </c>
      <c r="B9" s="65"/>
      <c r="C9" s="65"/>
      <c r="D9" s="65"/>
      <c r="E9" s="65"/>
      <c r="F9" s="65"/>
      <c r="G9" s="65"/>
      <c r="H9" s="65"/>
      <c r="I9" s="65"/>
      <c r="J9" s="65"/>
      <c r="K9" s="65"/>
    </row>
    <row r="10" spans="1:11">
      <c r="A10" s="75" t="s">
        <v>1178</v>
      </c>
      <c r="B10" s="75"/>
      <c r="C10" s="75"/>
      <c r="D10" s="75"/>
      <c r="E10" s="75"/>
      <c r="F10" s="75"/>
      <c r="G10" s="75"/>
      <c r="H10" s="75"/>
      <c r="I10" s="75"/>
      <c r="J10" s="75"/>
      <c r="K10" s="75"/>
    </row>
    <row r="11" spans="1:11">
      <c r="A11" s="75" t="s">
        <v>1179</v>
      </c>
      <c r="B11" s="75"/>
      <c r="C11" s="75"/>
      <c r="D11" s="75"/>
      <c r="E11" s="75"/>
      <c r="F11" s="75"/>
      <c r="G11" s="75"/>
      <c r="H11" s="75"/>
      <c r="I11" s="75"/>
      <c r="J11" s="75"/>
      <c r="K11" s="75"/>
    </row>
    <row r="12" spans="1:11">
      <c r="A12" s="75" t="s">
        <v>1180</v>
      </c>
      <c r="B12" s="75"/>
      <c r="C12" s="75"/>
      <c r="D12" s="75"/>
      <c r="E12" s="75"/>
      <c r="F12" s="75"/>
      <c r="G12" s="75"/>
      <c r="H12" s="75"/>
      <c r="I12" s="75"/>
      <c r="J12" s="75"/>
      <c r="K12" s="75"/>
    </row>
    <row r="13" spans="1:11">
      <c r="A13" s="75" t="s">
        <v>1181</v>
      </c>
      <c r="B13" s="75"/>
      <c r="C13" s="75"/>
      <c r="D13" s="75"/>
      <c r="E13" s="75"/>
      <c r="F13" s="75"/>
      <c r="G13" s="75"/>
      <c r="H13" s="75"/>
      <c r="I13" s="75"/>
      <c r="J13" s="75"/>
      <c r="K13" s="75"/>
    </row>
    <row r="14" spans="1:11">
      <c r="A14" s="65" t="s">
        <v>1031</v>
      </c>
      <c r="B14" s="65"/>
      <c r="C14" s="65"/>
      <c r="D14" s="65"/>
      <c r="E14" s="65"/>
      <c r="F14" s="65"/>
      <c r="G14" s="65"/>
      <c r="H14" s="65"/>
      <c r="I14" s="65"/>
      <c r="J14" s="65"/>
      <c r="K14" s="65"/>
    </row>
    <row r="15" spans="1:11">
      <c r="A15" s="75" t="s">
        <v>1108</v>
      </c>
      <c r="B15" s="75"/>
      <c r="C15" s="75"/>
      <c r="D15" s="75"/>
      <c r="E15" s="75"/>
      <c r="F15" s="75"/>
      <c r="G15" s="75"/>
      <c r="H15" s="75"/>
      <c r="I15" s="75"/>
      <c r="J15" s="75"/>
      <c r="K15" s="75"/>
    </row>
    <row r="16" spans="1:11">
      <c r="A16" s="75" t="s">
        <v>1109</v>
      </c>
      <c r="B16" s="75"/>
      <c r="C16" s="75"/>
      <c r="D16" s="75"/>
      <c r="E16" s="75"/>
      <c r="F16" s="75"/>
      <c r="G16" s="75"/>
      <c r="H16" s="75"/>
      <c r="I16" s="75"/>
      <c r="J16" s="75"/>
      <c r="K16" s="75"/>
    </row>
    <row r="17" spans="1:11">
      <c r="A17" s="75" t="s">
        <v>1110</v>
      </c>
      <c r="B17" s="75"/>
      <c r="C17" s="75"/>
      <c r="D17" s="75"/>
      <c r="E17" s="75"/>
      <c r="F17" s="75"/>
      <c r="G17" s="75"/>
      <c r="H17" s="75"/>
      <c r="I17" s="75"/>
      <c r="J17" s="75"/>
      <c r="K17" s="75"/>
    </row>
    <row r="18" spans="1:11">
      <c r="A18" s="75" t="s">
        <v>1111</v>
      </c>
      <c r="B18" s="75"/>
      <c r="C18" s="75"/>
      <c r="D18" s="75"/>
      <c r="E18" s="75"/>
      <c r="F18" s="75"/>
      <c r="G18" s="75"/>
      <c r="H18" s="75"/>
      <c r="I18" s="75"/>
      <c r="J18" s="75"/>
      <c r="K18" s="75"/>
    </row>
    <row r="19" spans="1:11">
      <c r="A19" s="75" t="s">
        <v>1112</v>
      </c>
      <c r="B19" s="75"/>
      <c r="C19" s="75"/>
      <c r="D19" s="75"/>
      <c r="E19" s="75"/>
      <c r="F19" s="75"/>
      <c r="G19" s="75"/>
      <c r="H19" s="75"/>
      <c r="I19" s="75"/>
      <c r="J19" s="75"/>
      <c r="K19" s="75"/>
    </row>
    <row r="20" spans="1:11">
      <c r="A20" s="65" t="s">
        <v>983</v>
      </c>
      <c r="B20" s="65"/>
      <c r="C20" s="65"/>
      <c r="D20" s="65"/>
      <c r="E20" s="65"/>
      <c r="F20" s="65"/>
      <c r="G20" s="65"/>
      <c r="H20" s="65"/>
      <c r="I20" s="65"/>
      <c r="J20" s="65"/>
      <c r="K20" s="65"/>
    </row>
    <row r="21" spans="1:11">
      <c r="A21" s="75" t="s">
        <v>1113</v>
      </c>
      <c r="B21" s="75"/>
      <c r="C21" s="75"/>
      <c r="D21" s="75"/>
      <c r="E21" s="75"/>
      <c r="F21" s="75"/>
      <c r="G21" s="75"/>
      <c r="H21" s="75"/>
      <c r="I21" s="75"/>
      <c r="J21" s="75"/>
      <c r="K21" s="75"/>
    </row>
    <row r="22" spans="1:11">
      <c r="A22" s="75" t="s">
        <v>1114</v>
      </c>
      <c r="B22" s="75"/>
      <c r="C22" s="75"/>
      <c r="D22" s="75"/>
      <c r="E22" s="75"/>
      <c r="F22" s="75"/>
      <c r="G22" s="75"/>
      <c r="H22" s="75"/>
      <c r="I22" s="75"/>
      <c r="J22" s="75"/>
      <c r="K22" s="75"/>
    </row>
    <row r="23" spans="1:11">
      <c r="A23" s="75" t="s">
        <v>1115</v>
      </c>
      <c r="B23" s="75"/>
      <c r="C23" s="75"/>
      <c r="D23" s="75"/>
      <c r="E23" s="75"/>
      <c r="F23" s="75"/>
      <c r="G23" s="75"/>
      <c r="H23" s="75"/>
      <c r="I23" s="75"/>
      <c r="J23" s="75"/>
      <c r="K23" s="75"/>
    </row>
    <row r="24" spans="1:11" ht="15">
      <c r="A24" s="75" t="s">
        <v>1177</v>
      </c>
      <c r="B24" s="75"/>
      <c r="C24" s="75"/>
      <c r="D24" s="75"/>
      <c r="E24" s="75"/>
      <c r="F24" s="75"/>
      <c r="G24" s="75"/>
      <c r="H24" s="75"/>
      <c r="I24" s="75"/>
      <c r="J24" s="75"/>
      <c r="K24" s="75"/>
    </row>
    <row r="25" spans="1:11">
      <c r="A25" s="75" t="s">
        <v>1116</v>
      </c>
      <c r="B25" s="75"/>
      <c r="C25" s="75"/>
      <c r="D25" s="75"/>
      <c r="E25" s="75"/>
      <c r="F25" s="75"/>
      <c r="G25" s="75"/>
      <c r="H25" s="75"/>
      <c r="I25" s="75"/>
      <c r="J25" s="75"/>
      <c r="K25" s="75"/>
    </row>
    <row r="26" spans="1:11">
      <c r="A26" s="75" t="s">
        <v>1117</v>
      </c>
      <c r="B26" s="75"/>
      <c r="C26" s="75"/>
      <c r="D26" s="75"/>
      <c r="E26" s="75"/>
      <c r="F26" s="75"/>
      <c r="G26" s="75"/>
      <c r="H26" s="75"/>
      <c r="I26" s="75"/>
      <c r="J26" s="75"/>
      <c r="K26" s="75"/>
    </row>
    <row r="28" spans="1:11">
      <c r="A28" s="3" t="s">
        <v>220</v>
      </c>
    </row>
    <row r="29" spans="1:11">
      <c r="A29" s="66" t="s">
        <v>1172</v>
      </c>
      <c r="B29" s="66"/>
      <c r="C29" s="66"/>
      <c r="D29" s="66"/>
      <c r="E29" s="66"/>
      <c r="F29" s="66"/>
      <c r="G29" s="66"/>
      <c r="H29" s="66"/>
      <c r="I29" s="66"/>
      <c r="J29" s="66"/>
      <c r="K29" s="66"/>
    </row>
    <row r="30" spans="1:11">
      <c r="A30" s="67" t="s">
        <v>616</v>
      </c>
      <c r="B30" s="67"/>
      <c r="C30" s="67"/>
      <c r="D30" s="67"/>
      <c r="E30" s="67"/>
      <c r="F30" s="67"/>
      <c r="G30" s="67"/>
      <c r="H30" s="67"/>
      <c r="I30" s="67"/>
      <c r="J30" s="67"/>
      <c r="K30" s="67"/>
    </row>
    <row r="31" spans="1:11">
      <c r="A31" s="67" t="s">
        <v>1134</v>
      </c>
      <c r="B31" s="67"/>
      <c r="C31" s="67"/>
      <c r="D31" s="67"/>
      <c r="E31" s="67"/>
      <c r="F31" s="67"/>
      <c r="G31" s="67"/>
      <c r="H31" s="67"/>
      <c r="I31" s="67"/>
      <c r="J31" s="67"/>
      <c r="K31" s="67"/>
    </row>
    <row r="32" spans="1:11">
      <c r="A32" s="67" t="s">
        <v>1135</v>
      </c>
      <c r="B32" s="67"/>
      <c r="C32" s="67"/>
      <c r="D32" s="67"/>
      <c r="E32" s="67"/>
      <c r="F32" s="67"/>
      <c r="G32" s="67"/>
      <c r="H32" s="67"/>
      <c r="I32" s="67"/>
      <c r="J32" s="67"/>
      <c r="K32" s="67"/>
    </row>
    <row r="33" spans="1:11">
      <c r="A33" s="67" t="s">
        <v>1136</v>
      </c>
      <c r="B33" s="67"/>
      <c r="C33" s="67"/>
      <c r="D33" s="67"/>
      <c r="E33" s="67"/>
      <c r="F33" s="67"/>
      <c r="G33" s="67"/>
      <c r="H33" s="67"/>
      <c r="I33" s="67"/>
      <c r="J33" s="67"/>
      <c r="K33" s="67"/>
    </row>
    <row r="34" spans="1:11">
      <c r="A34" s="67" t="s">
        <v>1137</v>
      </c>
      <c r="B34" s="67"/>
      <c r="C34" s="67"/>
      <c r="D34" s="67"/>
      <c r="E34" s="67"/>
      <c r="F34" s="67"/>
      <c r="G34" s="67"/>
      <c r="H34" s="67"/>
      <c r="I34" s="67"/>
      <c r="J34" s="67"/>
      <c r="K34" s="67"/>
    </row>
    <row r="35" spans="1:11">
      <c r="A35" s="67" t="s">
        <v>1138</v>
      </c>
      <c r="B35" s="67"/>
      <c r="C35" s="67"/>
      <c r="D35" s="67"/>
      <c r="E35" s="67"/>
      <c r="F35" s="67"/>
      <c r="G35" s="67"/>
      <c r="H35" s="67"/>
      <c r="I35" s="67"/>
      <c r="J35" s="67"/>
      <c r="K35" s="67"/>
    </row>
    <row r="36" spans="1:11">
      <c r="A36" s="67" t="s">
        <v>1139</v>
      </c>
      <c r="B36" s="67"/>
      <c r="C36" s="67"/>
      <c r="D36" s="67"/>
      <c r="E36" s="67"/>
      <c r="F36" s="67"/>
      <c r="G36" s="67"/>
      <c r="H36" s="67"/>
      <c r="I36" s="67"/>
      <c r="J36" s="67"/>
      <c r="K36" s="67"/>
    </row>
    <row r="37" spans="1:11">
      <c r="A37" s="67" t="s">
        <v>1140</v>
      </c>
      <c r="B37" s="67"/>
      <c r="C37" s="67"/>
      <c r="D37" s="67"/>
      <c r="E37" s="67"/>
      <c r="F37" s="67"/>
      <c r="G37" s="67"/>
      <c r="H37" s="67"/>
      <c r="I37" s="67"/>
      <c r="J37" s="67"/>
      <c r="K37" s="67"/>
    </row>
    <row r="38" spans="1:11">
      <c r="A38" s="67" t="s">
        <v>1141</v>
      </c>
      <c r="B38" s="67"/>
      <c r="C38" s="67"/>
      <c r="D38" s="67"/>
      <c r="E38" s="67"/>
      <c r="F38" s="67"/>
      <c r="G38" s="67"/>
      <c r="H38" s="67"/>
      <c r="I38" s="67"/>
      <c r="J38" s="67"/>
      <c r="K38" s="67"/>
    </row>
    <row r="39" spans="1:11">
      <c r="A39" s="67" t="s">
        <v>1142</v>
      </c>
      <c r="B39" s="67"/>
      <c r="C39" s="67"/>
      <c r="D39" s="67"/>
      <c r="E39" s="67"/>
      <c r="F39" s="67"/>
      <c r="G39" s="67"/>
      <c r="H39" s="67"/>
      <c r="I39" s="67"/>
      <c r="J39" s="67"/>
      <c r="K39" s="67"/>
    </row>
    <row r="40" spans="1:11">
      <c r="A40" s="67" t="s">
        <v>1143</v>
      </c>
      <c r="B40" s="67"/>
      <c r="C40" s="67"/>
      <c r="D40" s="67"/>
      <c r="E40" s="67"/>
      <c r="F40" s="67"/>
      <c r="G40" s="67"/>
      <c r="H40" s="67"/>
      <c r="I40" s="67"/>
      <c r="J40" s="67"/>
      <c r="K40" s="67"/>
    </row>
    <row r="41" spans="1:11">
      <c r="A41" s="67" t="s">
        <v>1144</v>
      </c>
      <c r="B41" s="67"/>
      <c r="C41" s="67"/>
      <c r="D41" s="67"/>
      <c r="E41" s="67"/>
      <c r="F41" s="67"/>
      <c r="G41" s="67"/>
      <c r="H41" s="67"/>
      <c r="I41" s="67"/>
      <c r="J41" s="67"/>
      <c r="K41" s="67"/>
    </row>
    <row r="42" spans="1:11">
      <c r="A42" s="67" t="s">
        <v>77</v>
      </c>
      <c r="B42" s="67"/>
      <c r="C42" s="67"/>
      <c r="D42" s="67"/>
      <c r="E42" s="67"/>
      <c r="F42" s="67"/>
      <c r="G42" s="67"/>
      <c r="H42" s="67"/>
      <c r="I42" s="67"/>
      <c r="J42" s="67"/>
      <c r="K42" s="67"/>
    </row>
    <row r="43" spans="1:11">
      <c r="A43" s="67" t="s">
        <v>1145</v>
      </c>
      <c r="B43" s="67"/>
      <c r="C43" s="67"/>
      <c r="D43" s="67"/>
      <c r="E43" s="67"/>
      <c r="F43" s="67"/>
      <c r="G43" s="67"/>
      <c r="H43" s="67"/>
      <c r="I43" s="67"/>
      <c r="J43" s="67"/>
      <c r="K43" s="67"/>
    </row>
    <row r="44" spans="1:11">
      <c r="A44" s="67" t="s">
        <v>1146</v>
      </c>
      <c r="B44" s="67"/>
      <c r="C44" s="67"/>
      <c r="D44" s="67"/>
      <c r="E44" s="67"/>
      <c r="F44" s="67"/>
      <c r="G44" s="67"/>
      <c r="H44" s="67"/>
      <c r="I44" s="67"/>
      <c r="J44" s="67"/>
      <c r="K44" s="67"/>
    </row>
    <row r="45" spans="1:11">
      <c r="A45" s="67" t="s">
        <v>120</v>
      </c>
      <c r="B45" s="67"/>
      <c r="C45" s="67"/>
      <c r="D45" s="67"/>
      <c r="E45" s="67"/>
      <c r="F45" s="67"/>
      <c r="G45" s="67"/>
      <c r="H45" s="67"/>
      <c r="I45" s="67"/>
      <c r="J45" s="67"/>
      <c r="K45" s="67"/>
    </row>
    <row r="46" spans="1:11">
      <c r="A46" s="67" t="s">
        <v>1003</v>
      </c>
      <c r="B46" s="67"/>
      <c r="C46" s="67"/>
      <c r="D46" s="67"/>
      <c r="E46" s="67"/>
      <c r="F46" s="67"/>
      <c r="G46" s="67"/>
      <c r="H46" s="67"/>
      <c r="I46" s="67"/>
      <c r="J46" s="67"/>
      <c r="K46" s="67"/>
    </row>
    <row r="47" spans="1:11">
      <c r="A47" s="67" t="s">
        <v>1147</v>
      </c>
      <c r="B47" s="67"/>
      <c r="C47" s="67"/>
      <c r="D47" s="67"/>
      <c r="E47" s="67"/>
      <c r="F47" s="67"/>
      <c r="G47" s="67"/>
      <c r="H47" s="67"/>
      <c r="I47" s="67"/>
      <c r="J47" s="67"/>
      <c r="K47" s="67"/>
    </row>
    <row r="48" spans="1:11">
      <c r="A48" s="67" t="s">
        <v>1148</v>
      </c>
      <c r="B48" s="67"/>
      <c r="C48" s="67"/>
      <c r="D48" s="67"/>
      <c r="E48" s="67"/>
      <c r="F48" s="67"/>
      <c r="G48" s="67"/>
      <c r="H48" s="67"/>
      <c r="I48" s="67"/>
      <c r="J48" s="67"/>
      <c r="K48" s="67"/>
    </row>
    <row r="49" spans="1:11">
      <c r="A49" s="67" t="s">
        <v>1149</v>
      </c>
      <c r="B49" s="67"/>
      <c r="C49" s="67"/>
      <c r="D49" s="67"/>
      <c r="E49" s="67"/>
      <c r="F49" s="67"/>
      <c r="G49" s="67"/>
      <c r="H49" s="67"/>
      <c r="I49" s="67"/>
      <c r="J49" s="67"/>
      <c r="K49" s="67"/>
    </row>
    <row r="50" spans="1:11">
      <c r="A50" s="67" t="s">
        <v>146</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147</v>
      </c>
      <c r="B52" s="67"/>
      <c r="C52" s="67"/>
      <c r="D52" s="67"/>
      <c r="E52" s="67"/>
      <c r="F52" s="67"/>
      <c r="G52" s="67"/>
      <c r="H52" s="67"/>
      <c r="I52" s="67"/>
      <c r="J52" s="67"/>
      <c r="K52" s="67"/>
    </row>
    <row r="53" spans="1:11">
      <c r="A53" s="67" t="s">
        <v>148</v>
      </c>
      <c r="B53" s="67"/>
      <c r="C53" s="67"/>
      <c r="D53" s="67"/>
      <c r="E53" s="67"/>
      <c r="F53" s="67"/>
      <c r="G53" s="67"/>
      <c r="H53" s="67"/>
      <c r="I53" s="67"/>
      <c r="J53" s="67"/>
      <c r="K53" s="67"/>
    </row>
    <row r="54" spans="1:11">
      <c r="A54" s="67" t="s">
        <v>1150</v>
      </c>
      <c r="B54" s="67"/>
      <c r="C54" s="67"/>
      <c r="D54" s="67"/>
      <c r="E54" s="67"/>
      <c r="F54" s="67"/>
      <c r="G54" s="67"/>
      <c r="H54" s="67"/>
      <c r="I54" s="67"/>
      <c r="J54" s="67"/>
      <c r="K54" s="67"/>
    </row>
    <row r="55" spans="1:11">
      <c r="A55" s="67" t="s">
        <v>1151</v>
      </c>
      <c r="B55" s="67"/>
      <c r="C55" s="67"/>
      <c r="D55" s="67"/>
      <c r="E55" s="67"/>
      <c r="F55" s="67"/>
      <c r="G55" s="67"/>
      <c r="H55" s="67"/>
      <c r="I55" s="67"/>
      <c r="J55" s="67"/>
      <c r="K55" s="67"/>
    </row>
    <row r="56" spans="1:11">
      <c r="A56" s="67" t="s">
        <v>1152</v>
      </c>
      <c r="B56" s="67"/>
      <c r="C56" s="67"/>
      <c r="D56" s="67"/>
      <c r="E56" s="67"/>
      <c r="F56" s="67"/>
      <c r="G56" s="67"/>
      <c r="H56" s="67"/>
      <c r="I56" s="67"/>
      <c r="J56" s="67"/>
      <c r="K56" s="67"/>
    </row>
    <row r="57" spans="1:11">
      <c r="A57" s="67" t="s">
        <v>1153</v>
      </c>
      <c r="B57" s="67"/>
      <c r="C57" s="67"/>
      <c r="D57" s="67"/>
      <c r="E57" s="67"/>
      <c r="F57" s="67"/>
      <c r="G57" s="67"/>
      <c r="H57" s="67"/>
      <c r="I57" s="67"/>
      <c r="J57" s="67"/>
      <c r="K57" s="67"/>
    </row>
    <row r="58" spans="1:11">
      <c r="A58" s="67" t="s">
        <v>1154</v>
      </c>
      <c r="B58" s="67"/>
      <c r="C58" s="67"/>
      <c r="D58" s="67"/>
      <c r="E58" s="67"/>
      <c r="F58" s="67"/>
      <c r="G58" s="67"/>
      <c r="H58" s="67"/>
      <c r="I58" s="67"/>
      <c r="J58" s="67"/>
      <c r="K58" s="67"/>
    </row>
    <row r="59" spans="1:11">
      <c r="A59" s="67" t="s">
        <v>1155</v>
      </c>
      <c r="B59" s="67"/>
      <c r="C59" s="67"/>
      <c r="D59" s="67"/>
      <c r="E59" s="67"/>
      <c r="F59" s="67"/>
      <c r="G59" s="67"/>
      <c r="H59" s="67"/>
      <c r="I59" s="67"/>
      <c r="J59" s="67"/>
      <c r="K59" s="67"/>
    </row>
    <row r="60" spans="1:11">
      <c r="A60" s="67" t="s">
        <v>1156</v>
      </c>
      <c r="B60" s="67"/>
      <c r="C60" s="67"/>
      <c r="D60" s="67"/>
      <c r="E60" s="67"/>
      <c r="F60" s="67"/>
      <c r="G60" s="67"/>
      <c r="H60" s="67"/>
      <c r="I60" s="67"/>
      <c r="J60" s="67"/>
      <c r="K60" s="67"/>
    </row>
    <row r="61" spans="1:11">
      <c r="A61" s="67" t="s">
        <v>1157</v>
      </c>
      <c r="B61" s="67"/>
      <c r="C61" s="67"/>
      <c r="D61" s="67"/>
      <c r="E61" s="67"/>
      <c r="F61" s="67"/>
      <c r="G61" s="67"/>
      <c r="H61" s="67"/>
      <c r="I61" s="67"/>
      <c r="J61" s="67"/>
      <c r="K61" s="67"/>
    </row>
    <row r="62" spans="1:11">
      <c r="A62" s="67" t="s">
        <v>81</v>
      </c>
      <c r="B62" s="67"/>
      <c r="C62" s="67"/>
      <c r="D62" s="67"/>
      <c r="E62" s="67"/>
      <c r="F62" s="67"/>
      <c r="G62" s="67"/>
      <c r="H62" s="67"/>
      <c r="I62" s="67"/>
      <c r="J62" s="67"/>
      <c r="K62" s="67"/>
    </row>
    <row r="63" spans="1:11">
      <c r="A63" s="67" t="s">
        <v>1158</v>
      </c>
      <c r="B63" s="67"/>
      <c r="C63" s="67"/>
      <c r="D63" s="67"/>
      <c r="E63" s="67"/>
      <c r="F63" s="67"/>
      <c r="G63" s="67"/>
      <c r="H63" s="67"/>
      <c r="I63" s="67"/>
      <c r="J63" s="67"/>
      <c r="K63" s="67"/>
    </row>
    <row r="64" spans="1:11">
      <c r="A64" s="67" t="s">
        <v>1159</v>
      </c>
      <c r="B64" s="67"/>
      <c r="C64" s="67"/>
      <c r="D64" s="67"/>
      <c r="E64" s="67"/>
      <c r="F64" s="67"/>
      <c r="G64" s="67"/>
      <c r="H64" s="67"/>
      <c r="I64" s="67"/>
      <c r="J64" s="67"/>
      <c r="K64" s="67"/>
    </row>
    <row r="65" spans="1:11">
      <c r="A65" s="67" t="s">
        <v>1160</v>
      </c>
      <c r="B65" s="67"/>
      <c r="C65" s="67"/>
      <c r="D65" s="67"/>
      <c r="E65" s="67"/>
      <c r="F65" s="67"/>
      <c r="G65" s="67"/>
      <c r="H65" s="67"/>
      <c r="I65" s="67"/>
      <c r="J65" s="67"/>
      <c r="K65" s="67"/>
    </row>
    <row r="66" spans="1:11">
      <c r="A66" s="67" t="s">
        <v>1161</v>
      </c>
      <c r="B66" s="67"/>
      <c r="C66" s="67"/>
      <c r="D66" s="67"/>
      <c r="E66" s="67"/>
      <c r="F66" s="67"/>
      <c r="G66" s="67"/>
      <c r="H66" s="67"/>
      <c r="I66" s="67"/>
      <c r="J66" s="67"/>
      <c r="K66" s="67"/>
    </row>
    <row r="67" spans="1:11">
      <c r="A67" s="67" t="s">
        <v>81</v>
      </c>
      <c r="B67" s="67"/>
      <c r="C67" s="67"/>
      <c r="D67" s="67"/>
      <c r="E67" s="67"/>
      <c r="F67" s="67"/>
      <c r="G67" s="67"/>
      <c r="H67" s="67"/>
      <c r="I67" s="67"/>
      <c r="J67" s="67"/>
      <c r="K67" s="67"/>
    </row>
    <row r="68" spans="1:11">
      <c r="A68" s="67" t="s">
        <v>1162</v>
      </c>
      <c r="B68" s="67"/>
      <c r="C68" s="67"/>
      <c r="D68" s="67"/>
      <c r="E68" s="67"/>
      <c r="F68" s="67"/>
      <c r="G68" s="67"/>
      <c r="H68" s="67"/>
      <c r="I68" s="67"/>
      <c r="J68" s="67"/>
      <c r="K68" s="67"/>
    </row>
    <row r="69" spans="1:11">
      <c r="A69" s="67" t="s">
        <v>1163</v>
      </c>
      <c r="B69" s="67"/>
      <c r="C69" s="67"/>
      <c r="D69" s="67"/>
      <c r="E69" s="67"/>
      <c r="F69" s="67"/>
      <c r="G69" s="67"/>
      <c r="H69" s="67"/>
      <c r="I69" s="67"/>
      <c r="J69" s="67"/>
      <c r="K69" s="67"/>
    </row>
    <row r="70" spans="1:11">
      <c r="A70" s="67" t="s">
        <v>1164</v>
      </c>
      <c r="B70" s="67"/>
      <c r="C70" s="67"/>
      <c r="D70" s="67"/>
      <c r="E70" s="67"/>
      <c r="F70" s="67"/>
      <c r="G70" s="67"/>
      <c r="H70" s="67"/>
      <c r="I70" s="67"/>
      <c r="J70" s="67"/>
      <c r="K70" s="67"/>
    </row>
    <row r="71" spans="1:11">
      <c r="A71" s="67" t="s">
        <v>1165</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1166</v>
      </c>
      <c r="B73" s="67"/>
      <c r="C73" s="67"/>
      <c r="D73" s="67"/>
      <c r="E73" s="67"/>
      <c r="F73" s="67"/>
      <c r="G73" s="67"/>
      <c r="H73" s="67"/>
      <c r="I73" s="67"/>
      <c r="J73" s="67"/>
      <c r="K73" s="67"/>
    </row>
    <row r="74" spans="1:11">
      <c r="A74" s="67" t="s">
        <v>1167</v>
      </c>
      <c r="B74" s="67"/>
      <c r="C74" s="67"/>
      <c r="D74" s="67"/>
      <c r="E74" s="67"/>
      <c r="F74" s="67"/>
      <c r="G74" s="67"/>
      <c r="H74" s="67"/>
      <c r="I74" s="67"/>
      <c r="J74" s="67"/>
      <c r="K74" s="67"/>
    </row>
    <row r="75" spans="1:11">
      <c r="A75" s="67" t="s">
        <v>1168</v>
      </c>
      <c r="B75" s="67"/>
      <c r="C75" s="67"/>
      <c r="D75" s="67"/>
      <c r="E75" s="67"/>
      <c r="F75" s="67"/>
      <c r="G75" s="67"/>
      <c r="H75" s="67"/>
      <c r="I75" s="67"/>
      <c r="J75" s="67"/>
      <c r="K75" s="67"/>
    </row>
    <row r="76" spans="1:11">
      <c r="A76" s="67" t="s">
        <v>1169</v>
      </c>
      <c r="B76" s="67"/>
      <c r="C76" s="67"/>
      <c r="D76" s="67"/>
      <c r="E76" s="67"/>
      <c r="F76" s="67"/>
      <c r="G76" s="67"/>
      <c r="H76" s="67"/>
      <c r="I76" s="67"/>
      <c r="J76" s="67"/>
      <c r="K76" s="67"/>
    </row>
    <row r="77" spans="1:11">
      <c r="A77" s="67" t="s">
        <v>81</v>
      </c>
      <c r="B77" s="67"/>
      <c r="C77" s="67"/>
      <c r="D77" s="67"/>
      <c r="E77" s="67"/>
      <c r="F77" s="67"/>
      <c r="G77" s="67"/>
      <c r="H77" s="67"/>
      <c r="I77" s="67"/>
      <c r="J77" s="67"/>
      <c r="K77" s="67"/>
    </row>
    <row r="78" spans="1:11">
      <c r="A78" s="67" t="s">
        <v>1170</v>
      </c>
      <c r="B78" s="67"/>
      <c r="C78" s="67"/>
      <c r="D78" s="67"/>
      <c r="E78" s="67"/>
      <c r="F78" s="67"/>
      <c r="G78" s="67"/>
      <c r="H78" s="67"/>
      <c r="I78" s="67"/>
      <c r="J78" s="67"/>
      <c r="K78" s="67"/>
    </row>
    <row r="79" spans="1:11">
      <c r="A79" s="67" t="s">
        <v>77</v>
      </c>
      <c r="B79" s="67"/>
      <c r="C79" s="67"/>
      <c r="D79" s="67"/>
      <c r="E79" s="67"/>
      <c r="F79" s="67"/>
      <c r="G79" s="67"/>
      <c r="H79" s="67"/>
      <c r="I79" s="67"/>
      <c r="J79" s="67"/>
      <c r="K79" s="67"/>
    </row>
    <row r="80" spans="1:11">
      <c r="A80" s="67" t="s">
        <v>1171</v>
      </c>
      <c r="B80" s="67"/>
      <c r="C80" s="67"/>
      <c r="D80" s="67"/>
      <c r="E80" s="67"/>
      <c r="F80" s="67"/>
      <c r="G80" s="67"/>
      <c r="H80" s="67"/>
      <c r="I80" s="67"/>
      <c r="J80" s="67"/>
      <c r="K80" s="67"/>
    </row>
    <row r="81" spans="1:11">
      <c r="A81" s="67" t="s">
        <v>177</v>
      </c>
      <c r="B81" s="67"/>
      <c r="C81" s="67"/>
      <c r="D81" s="67"/>
      <c r="E81" s="67"/>
      <c r="F81" s="67"/>
      <c r="G81" s="67"/>
      <c r="H81" s="67"/>
      <c r="I81" s="67"/>
      <c r="J81" s="67"/>
      <c r="K81" s="67"/>
    </row>
    <row r="82" spans="1:11">
      <c r="A82" s="67" t="s">
        <v>97</v>
      </c>
      <c r="B82" s="67"/>
      <c r="C82" s="67"/>
      <c r="D82" s="67"/>
      <c r="E82" s="67"/>
      <c r="F82" s="67"/>
      <c r="G82" s="67"/>
      <c r="H82" s="67"/>
      <c r="I82" s="67"/>
      <c r="J82" s="67"/>
      <c r="K82" s="67"/>
    </row>
    <row r="84" spans="1:11">
      <c r="A84" s="3" t="s">
        <v>213</v>
      </c>
    </row>
    <row r="85" spans="1:11">
      <c r="A85" s="63" t="s">
        <v>188</v>
      </c>
      <c r="B85" s="63"/>
      <c r="C85" s="64" t="s">
        <v>2</v>
      </c>
      <c r="D85" s="64"/>
      <c r="E85" s="64"/>
      <c r="F85" s="64"/>
      <c r="G85" s="64"/>
      <c r="H85" s="64"/>
      <c r="I85" s="64"/>
      <c r="J85" s="64"/>
      <c r="K85" s="64"/>
    </row>
    <row r="86" spans="1:11">
      <c r="A86" s="59" t="s">
        <v>1118</v>
      </c>
      <c r="B86" s="59"/>
      <c r="C86" s="60" t="s">
        <v>1119</v>
      </c>
      <c r="D86" s="60"/>
      <c r="E86" s="60"/>
      <c r="F86" s="60"/>
      <c r="G86" s="60"/>
      <c r="H86" s="60"/>
      <c r="I86" s="60"/>
      <c r="J86" s="60"/>
      <c r="K86" s="60"/>
    </row>
    <row r="87" spans="1:11">
      <c r="A87" s="59" t="s">
        <v>1120</v>
      </c>
      <c r="B87" s="59"/>
      <c r="C87" s="60" t="s">
        <v>1121</v>
      </c>
      <c r="D87" s="60"/>
      <c r="E87" s="60"/>
      <c r="F87" s="60"/>
      <c r="G87" s="60"/>
      <c r="H87" s="60"/>
      <c r="I87" s="60"/>
      <c r="J87" s="60"/>
      <c r="K87" s="60"/>
    </row>
    <row r="88" spans="1:11">
      <c r="A88" s="59" t="s">
        <v>1122</v>
      </c>
      <c r="B88" s="59"/>
      <c r="C88" s="60" t="s">
        <v>1123</v>
      </c>
      <c r="D88" s="60"/>
      <c r="E88" s="60"/>
      <c r="F88" s="60"/>
      <c r="G88" s="60"/>
      <c r="H88" s="60"/>
      <c r="I88" s="60"/>
      <c r="J88" s="60"/>
      <c r="K88" s="60"/>
    </row>
    <row r="89" spans="1:11">
      <c r="A89" s="59" t="s">
        <v>1124</v>
      </c>
      <c r="B89" s="59"/>
      <c r="C89" s="60" t="s">
        <v>1125</v>
      </c>
      <c r="D89" s="60"/>
      <c r="E89" s="60"/>
      <c r="F89" s="60"/>
      <c r="G89" s="60"/>
      <c r="H89" s="60"/>
      <c r="I89" s="60"/>
      <c r="J89" s="60"/>
      <c r="K89" s="60"/>
    </row>
    <row r="90" spans="1:11">
      <c r="A90" s="59" t="s">
        <v>1126</v>
      </c>
      <c r="B90" s="59"/>
      <c r="C90" s="60" t="s">
        <v>1127</v>
      </c>
      <c r="D90" s="60"/>
      <c r="E90" s="60"/>
      <c r="F90" s="60"/>
      <c r="G90" s="60"/>
      <c r="H90" s="60"/>
      <c r="I90" s="60"/>
      <c r="J90" s="60"/>
      <c r="K90" s="60"/>
    </row>
    <row r="91" spans="1:11">
      <c r="A91" s="59" t="s">
        <v>1128</v>
      </c>
      <c r="B91" s="59"/>
      <c r="C91" s="60" t="s">
        <v>1129</v>
      </c>
      <c r="D91" s="60"/>
      <c r="E91" s="60"/>
      <c r="F91" s="60"/>
      <c r="G91" s="60"/>
      <c r="H91" s="60"/>
      <c r="I91" s="60"/>
      <c r="J91" s="60"/>
      <c r="K91" s="60"/>
    </row>
    <row r="92" spans="1:11">
      <c r="A92" s="59" t="s">
        <v>1130</v>
      </c>
      <c r="B92" s="59"/>
      <c r="C92" s="60" t="s">
        <v>1132</v>
      </c>
      <c r="D92" s="60"/>
      <c r="E92" s="60"/>
      <c r="F92" s="60"/>
      <c r="G92" s="60"/>
      <c r="H92" s="60"/>
      <c r="I92" s="60"/>
      <c r="J92" s="60"/>
      <c r="K92" s="60"/>
    </row>
    <row r="93" spans="1:11">
      <c r="A93" s="59" t="s">
        <v>1131</v>
      </c>
      <c r="B93" s="59"/>
      <c r="C93" s="60" t="s">
        <v>1133</v>
      </c>
      <c r="D93" s="60"/>
      <c r="E93" s="60"/>
      <c r="F93" s="60"/>
      <c r="G93" s="60"/>
      <c r="H93" s="60"/>
      <c r="I93" s="60"/>
      <c r="J93" s="60"/>
      <c r="K93" s="60"/>
    </row>
    <row r="95" spans="1:11">
      <c r="A95" s="3" t="s">
        <v>1182</v>
      </c>
    </row>
    <row r="96" spans="1:11">
      <c r="A96" s="63" t="s">
        <v>1040</v>
      </c>
      <c r="B96" s="63"/>
      <c r="C96" s="64" t="s">
        <v>1183</v>
      </c>
      <c r="D96" s="64"/>
      <c r="E96" s="64"/>
      <c r="F96" s="64"/>
      <c r="G96" s="64"/>
      <c r="H96" s="64"/>
      <c r="I96" s="64"/>
      <c r="J96" s="64"/>
      <c r="K96" s="64"/>
    </row>
    <row r="97" spans="1:11">
      <c r="A97" s="76" t="s">
        <v>385</v>
      </c>
      <c r="B97" s="76"/>
      <c r="C97" s="60" t="s">
        <v>1186</v>
      </c>
      <c r="D97" s="60"/>
      <c r="E97" s="60"/>
      <c r="F97" s="60"/>
      <c r="G97" s="60"/>
      <c r="H97" s="60"/>
      <c r="I97" s="60"/>
      <c r="J97" s="60"/>
      <c r="K97" s="60"/>
    </row>
    <row r="98" spans="1:11">
      <c r="A98" s="76" t="s">
        <v>385</v>
      </c>
      <c r="B98" s="76"/>
      <c r="C98" s="60" t="s">
        <v>1185</v>
      </c>
      <c r="D98" s="60"/>
      <c r="E98" s="60"/>
      <c r="F98" s="60"/>
      <c r="G98" s="60"/>
      <c r="H98" s="60"/>
      <c r="I98" s="60"/>
      <c r="J98" s="60"/>
      <c r="K98" s="60"/>
    </row>
    <row r="99" spans="1:11">
      <c r="A99" s="76" t="s">
        <v>1184</v>
      </c>
      <c r="B99" s="76"/>
      <c r="C99" s="60" t="s">
        <v>1187</v>
      </c>
      <c r="D99" s="60"/>
      <c r="E99" s="60"/>
      <c r="F99" s="60"/>
      <c r="G99" s="60"/>
      <c r="H99" s="60"/>
      <c r="I99" s="60"/>
      <c r="J99" s="60"/>
      <c r="K99" s="60"/>
    </row>
    <row r="100" spans="1:11">
      <c r="A100" s="76" t="s">
        <v>1184</v>
      </c>
      <c r="B100" s="76"/>
      <c r="C100" s="60" t="s">
        <v>1188</v>
      </c>
      <c r="D100" s="60"/>
      <c r="E100" s="60"/>
      <c r="F100" s="60"/>
      <c r="G100" s="60"/>
      <c r="H100" s="60"/>
      <c r="I100" s="60"/>
      <c r="J100" s="60"/>
      <c r="K100" s="60"/>
    </row>
    <row r="102" spans="1:11">
      <c r="A102" s="3" t="s">
        <v>1189</v>
      </c>
    </row>
    <row r="103" spans="1:11">
      <c r="A103" s="63" t="s">
        <v>1053</v>
      </c>
      <c r="B103" s="63"/>
      <c r="C103" s="64" t="s">
        <v>1054</v>
      </c>
      <c r="D103" s="64"/>
      <c r="E103" s="64"/>
      <c r="F103" s="64"/>
      <c r="G103" s="64"/>
      <c r="H103" s="64"/>
      <c r="I103" s="64"/>
      <c r="J103" s="64"/>
      <c r="K103" s="64"/>
    </row>
    <row r="104" spans="1:11">
      <c r="A104" s="61" t="s">
        <v>1190</v>
      </c>
      <c r="B104" s="61"/>
      <c r="C104" s="62" t="s">
        <v>1191</v>
      </c>
      <c r="D104" s="62"/>
      <c r="E104" s="62"/>
      <c r="F104" s="62"/>
      <c r="G104" s="62"/>
      <c r="H104" s="62"/>
      <c r="I104" s="62"/>
      <c r="J104" s="62"/>
      <c r="K104" s="62"/>
    </row>
    <row r="105" spans="1:11">
      <c r="A105" s="61" t="s">
        <v>1192</v>
      </c>
      <c r="B105" s="61"/>
      <c r="C105" s="62" t="s">
        <v>1193</v>
      </c>
      <c r="D105" s="62"/>
      <c r="E105" s="62"/>
      <c r="F105" s="62"/>
      <c r="G105" s="62"/>
      <c r="H105" s="62"/>
      <c r="I105" s="62"/>
      <c r="J105" s="62"/>
      <c r="K105" s="62"/>
    </row>
    <row r="106" spans="1:11">
      <c r="A106" s="61" t="e">
        <v>#N/A</v>
      </c>
      <c r="B106" s="61"/>
      <c r="C106" s="62" t="s">
        <v>1194</v>
      </c>
      <c r="D106" s="62"/>
      <c r="E106" s="62"/>
      <c r="F106" s="62"/>
      <c r="G106" s="62"/>
      <c r="H106" s="62"/>
      <c r="I106" s="62"/>
      <c r="J106" s="62"/>
      <c r="K106" s="62"/>
    </row>
    <row r="107" spans="1:11">
      <c r="A107" s="31" t="s">
        <v>1195</v>
      </c>
    </row>
    <row r="109" spans="1:11">
      <c r="A109" s="3" t="s">
        <v>224</v>
      </c>
    </row>
    <row r="110" spans="1:11">
      <c r="A110" s="65" t="s">
        <v>1196</v>
      </c>
      <c r="B110" s="65"/>
      <c r="C110" s="65"/>
      <c r="D110" s="65"/>
      <c r="E110" s="65"/>
      <c r="F110" s="65"/>
      <c r="G110" s="65"/>
      <c r="H110" s="65"/>
      <c r="I110" s="65"/>
      <c r="J110" s="65"/>
      <c r="K110" s="65"/>
    </row>
    <row r="111" spans="1:11">
      <c r="A111" s="65" t="s">
        <v>1197</v>
      </c>
      <c r="B111" s="65"/>
      <c r="C111" s="65"/>
      <c r="D111" s="65"/>
      <c r="E111" s="65"/>
      <c r="F111" s="65"/>
      <c r="G111" s="65"/>
      <c r="H111" s="65"/>
      <c r="I111" s="65"/>
      <c r="J111" s="65"/>
      <c r="K111" s="65"/>
    </row>
    <row r="112" spans="1:11">
      <c r="A112" s="65" t="s">
        <v>1198</v>
      </c>
      <c r="B112" s="65"/>
      <c r="C112" s="65"/>
      <c r="D112" s="65"/>
      <c r="E112" s="65"/>
      <c r="F112" s="65"/>
      <c r="G112" s="65"/>
      <c r="H112" s="65"/>
      <c r="I112" s="65"/>
      <c r="J112" s="65"/>
      <c r="K112" s="65"/>
    </row>
    <row r="113" spans="1:11">
      <c r="A113" s="65" t="s">
        <v>1199</v>
      </c>
      <c r="B113" s="65"/>
      <c r="C113" s="65"/>
      <c r="D113" s="65"/>
      <c r="E113" s="65"/>
      <c r="F113" s="65"/>
      <c r="G113" s="65"/>
      <c r="H113" s="65"/>
      <c r="I113" s="65"/>
      <c r="J113" s="65"/>
      <c r="K113" s="65"/>
    </row>
    <row r="114" spans="1:11">
      <c r="A114" s="65" t="s">
        <v>1200</v>
      </c>
      <c r="B114" s="65"/>
      <c r="C114" s="65"/>
      <c r="D114" s="65"/>
      <c r="E114" s="65"/>
      <c r="F114" s="65"/>
      <c r="G114" s="65"/>
      <c r="H114" s="65"/>
      <c r="I114" s="65"/>
      <c r="J114" s="65"/>
      <c r="K114" s="65"/>
    </row>
    <row r="115" spans="1:11">
      <c r="A115" s="65" t="s">
        <v>1201</v>
      </c>
      <c r="B115" s="65"/>
      <c r="C115" s="65"/>
      <c r="D115" s="65"/>
      <c r="E115" s="65"/>
      <c r="F115" s="65"/>
      <c r="G115" s="65"/>
      <c r="H115" s="65"/>
      <c r="I115" s="65"/>
      <c r="J115" s="65"/>
      <c r="K115" s="65"/>
    </row>
    <row r="117" spans="1:11">
      <c r="A117" s="3" t="s">
        <v>519</v>
      </c>
    </row>
    <row r="118" spans="1:11">
      <c r="A118" s="65" t="s">
        <v>1081</v>
      </c>
      <c r="B118" s="65"/>
      <c r="C118" s="65"/>
      <c r="D118" s="65"/>
      <c r="E118" s="65"/>
      <c r="F118" s="65"/>
      <c r="G118" s="65"/>
      <c r="H118" s="65"/>
      <c r="I118" s="65"/>
      <c r="J118" s="65"/>
      <c r="K118" s="65"/>
    </row>
    <row r="119" spans="1:11">
      <c r="A119" s="75" t="s">
        <v>1203</v>
      </c>
      <c r="B119" s="75"/>
      <c r="C119" s="75"/>
      <c r="D119" s="75"/>
      <c r="E119" s="75"/>
      <c r="F119" s="75"/>
      <c r="G119" s="75"/>
      <c r="H119" s="75"/>
      <c r="I119" s="75"/>
      <c r="J119" s="75"/>
      <c r="K119" s="75"/>
    </row>
    <row r="120" spans="1:11">
      <c r="A120" s="65" t="s">
        <v>1204</v>
      </c>
      <c r="B120" s="65"/>
      <c r="C120" s="65"/>
      <c r="D120" s="65"/>
      <c r="E120" s="65"/>
      <c r="F120" s="65"/>
      <c r="G120" s="65"/>
      <c r="H120" s="65"/>
      <c r="I120" s="65"/>
      <c r="J120" s="65"/>
      <c r="K120" s="65"/>
    </row>
    <row r="121" spans="1:11">
      <c r="A121" s="75" t="s">
        <v>1205</v>
      </c>
      <c r="B121" s="75"/>
      <c r="C121" s="75"/>
      <c r="D121" s="75"/>
      <c r="E121" s="75"/>
      <c r="F121" s="75"/>
      <c r="G121" s="75"/>
      <c r="H121" s="75"/>
      <c r="I121" s="75"/>
      <c r="J121" s="75"/>
      <c r="K121" s="75"/>
    </row>
    <row r="123" spans="1:11">
      <c r="A123" s="3" t="s">
        <v>1206</v>
      </c>
    </row>
    <row r="124" spans="1:11">
      <c r="B124" s="11" t="s">
        <v>235</v>
      </c>
      <c r="C124" s="11" t="s">
        <v>1184</v>
      </c>
      <c r="F124" s="11" t="s">
        <v>235</v>
      </c>
      <c r="G124" s="11" t="s">
        <v>1184</v>
      </c>
    </row>
    <row r="125" spans="1:11" ht="15">
      <c r="A125" s="11" t="s">
        <v>1099</v>
      </c>
      <c r="B125" s="32" cm="1">
        <f t="array" ref="B125">DILUTION_EQUATION(,B126,B127,B128,C125,C126,C127,C128)</f>
        <v>100</v>
      </c>
      <c r="C125" s="25" t="s">
        <v>981</v>
      </c>
      <c r="E125" s="11" t="s">
        <v>1099</v>
      </c>
      <c r="F125" s="25">
        <v>100</v>
      </c>
      <c r="G125" s="25" t="s">
        <v>981</v>
      </c>
    </row>
    <row r="126" spans="1:11" ht="15">
      <c r="A126" s="11" t="s">
        <v>1100</v>
      </c>
      <c r="B126" s="25">
        <v>2</v>
      </c>
      <c r="C126" s="25" t="s">
        <v>1103</v>
      </c>
      <c r="E126" s="11" t="s">
        <v>1100</v>
      </c>
      <c r="F126" s="32" cm="1">
        <f t="array" ref="F126">DILUTION_EQUATION(F125,,F127,F128,G125,G126,G127,G128)</f>
        <v>2</v>
      </c>
      <c r="G126" s="25" t="s">
        <v>1103</v>
      </c>
    </row>
    <row r="127" spans="1:11" ht="15">
      <c r="A127" s="11" t="s">
        <v>1101</v>
      </c>
      <c r="B127" s="25">
        <v>50</v>
      </c>
      <c r="C127" s="25" t="s">
        <v>981</v>
      </c>
      <c r="E127" s="11" t="s">
        <v>1101</v>
      </c>
      <c r="F127" s="25">
        <v>50</v>
      </c>
      <c r="G127" s="25" t="s">
        <v>981</v>
      </c>
    </row>
    <row r="128" spans="1:11" ht="15">
      <c r="A128" s="11" t="s">
        <v>1102</v>
      </c>
      <c r="B128" s="25">
        <v>4000</v>
      </c>
      <c r="C128" s="25" t="s">
        <v>1104</v>
      </c>
      <c r="E128" s="11" t="s">
        <v>1102</v>
      </c>
      <c r="F128" s="25">
        <v>4000</v>
      </c>
      <c r="G128" s="25" t="s">
        <v>1104</v>
      </c>
    </row>
    <row r="131" spans="1:7">
      <c r="B131" s="11" t="s">
        <v>235</v>
      </c>
      <c r="C131" s="11" t="s">
        <v>1184</v>
      </c>
      <c r="F131" s="11" t="s">
        <v>235</v>
      </c>
      <c r="G131" s="11" t="s">
        <v>1184</v>
      </c>
    </row>
    <row r="132" spans="1:7" ht="15">
      <c r="A132" s="11" t="s">
        <v>1099</v>
      </c>
      <c r="B132" s="25">
        <v>100</v>
      </c>
      <c r="C132" s="25" t="s">
        <v>981</v>
      </c>
      <c r="E132" s="11" t="s">
        <v>1099</v>
      </c>
      <c r="F132" s="25">
        <v>100</v>
      </c>
      <c r="G132" s="25" t="s">
        <v>981</v>
      </c>
    </row>
    <row r="133" spans="1:7" ht="15">
      <c r="A133" s="11" t="s">
        <v>1100</v>
      </c>
      <c r="B133" s="25">
        <v>2</v>
      </c>
      <c r="C133" s="25" t="s">
        <v>1103</v>
      </c>
      <c r="E133" s="11" t="s">
        <v>1100</v>
      </c>
      <c r="F133" s="25">
        <v>2</v>
      </c>
      <c r="G133" s="25" t="s">
        <v>1103</v>
      </c>
    </row>
    <row r="134" spans="1:7" ht="15">
      <c r="A134" s="11" t="s">
        <v>1101</v>
      </c>
      <c r="B134" s="32" cm="1">
        <f t="array" ref="B134">DILUTION_EQUATION(B132,B133,,B135,C132,C133,C134,C135)</f>
        <v>50</v>
      </c>
      <c r="C134" s="25" t="s">
        <v>981</v>
      </c>
      <c r="E134" s="11" t="s">
        <v>1101</v>
      </c>
      <c r="F134" s="25">
        <v>50</v>
      </c>
      <c r="G134" s="25" t="s">
        <v>981</v>
      </c>
    </row>
    <row r="135" spans="1:7" ht="15">
      <c r="A135" s="11" t="s">
        <v>1102</v>
      </c>
      <c r="B135" s="25">
        <v>4000</v>
      </c>
      <c r="C135" s="25" t="s">
        <v>1104</v>
      </c>
      <c r="E135" s="11" t="s">
        <v>1102</v>
      </c>
      <c r="F135" s="32" cm="1">
        <f t="array" ref="F135">DILUTION_EQUATION(F132,F133,F134,,G132,G133,G134,G135)</f>
        <v>4000</v>
      </c>
      <c r="G135" s="25" t="s">
        <v>1104</v>
      </c>
    </row>
    <row r="138" spans="1:7">
      <c r="B138" s="11" t="s">
        <v>235</v>
      </c>
      <c r="C138" s="11" t="s">
        <v>1184</v>
      </c>
    </row>
    <row r="139" spans="1:7" ht="15">
      <c r="A139" s="11" t="s">
        <v>1099</v>
      </c>
      <c r="B139" s="25">
        <v>100</v>
      </c>
      <c r="C139" s="25" t="s">
        <v>981</v>
      </c>
    </row>
    <row r="140" spans="1:7" ht="15">
      <c r="A140" s="11" t="s">
        <v>1100</v>
      </c>
      <c r="B140" s="25"/>
      <c r="C140" s="25" t="s">
        <v>1103</v>
      </c>
    </row>
    <row r="141" spans="1:7" ht="15">
      <c r="A141" s="11" t="s">
        <v>1101</v>
      </c>
      <c r="B141" s="25">
        <v>50</v>
      </c>
      <c r="C141" s="25" t="s">
        <v>981</v>
      </c>
    </row>
    <row r="142" spans="1:7" ht="15">
      <c r="A142" s="11" t="s">
        <v>1102</v>
      </c>
      <c r="B142" s="25">
        <v>4000</v>
      </c>
      <c r="C142" s="25" t="s">
        <v>1104</v>
      </c>
    </row>
    <row r="144" spans="1:7" ht="15">
      <c r="B144" s="32" cm="1">
        <f t="array" ref="B144">DILUTION_EQUATION(B139,B140,B141,B142,C139,C140,C141,C142)</f>
        <v>2</v>
      </c>
    </row>
  </sheetData>
  <mergeCells count="123">
    <mergeCell ref="A34:K34"/>
    <mergeCell ref="A35:K35"/>
    <mergeCell ref="A36:K36"/>
    <mergeCell ref="A37:K37"/>
    <mergeCell ref="A38:K38"/>
    <mergeCell ref="A39:K39"/>
    <mergeCell ref="A85:B85"/>
    <mergeCell ref="C85:K85"/>
    <mergeCell ref="A86:B86"/>
    <mergeCell ref="C86:K86"/>
    <mergeCell ref="A43:K43"/>
    <mergeCell ref="A44:K44"/>
    <mergeCell ref="A45:K45"/>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73" zoomScaleNormal="100" workbookViewId="0">
      <selection activeCell="D111" sqref="D111"/>
    </sheetView>
  </sheetViews>
  <sheetFormatPr defaultColWidth="9" defaultRowHeight="14.25"/>
  <cols>
    <col min="1" max="16384" width="9" style="2"/>
  </cols>
  <sheetData>
    <row r="1" spans="1:11">
      <c r="A1" s="3" t="s">
        <v>1540</v>
      </c>
    </row>
    <row r="2" spans="1:11">
      <c r="A2" s="65" t="s">
        <v>1544</v>
      </c>
      <c r="B2" s="65"/>
      <c r="C2" s="65"/>
      <c r="D2" s="65"/>
      <c r="E2" s="65"/>
      <c r="F2" s="65"/>
      <c r="G2" s="65"/>
      <c r="H2" s="65"/>
      <c r="I2" s="65"/>
      <c r="J2" s="65"/>
      <c r="K2" s="65"/>
    </row>
    <row r="3" spans="1:11">
      <c r="A3" s="65" t="s">
        <v>1545</v>
      </c>
      <c r="B3" s="65"/>
      <c r="C3" s="65"/>
      <c r="D3" s="65"/>
      <c r="E3" s="65"/>
      <c r="F3" s="65"/>
      <c r="G3" s="65"/>
      <c r="H3" s="65"/>
      <c r="I3" s="65"/>
      <c r="J3" s="65"/>
      <c r="K3" s="65"/>
    </row>
    <row r="4" spans="1:11">
      <c r="A4" s="65" t="s">
        <v>1546</v>
      </c>
      <c r="B4" s="65"/>
      <c r="C4" s="65"/>
      <c r="D4" s="65"/>
      <c r="E4" s="65"/>
      <c r="F4" s="65"/>
      <c r="G4" s="65"/>
      <c r="H4" s="65"/>
      <c r="I4" s="65"/>
      <c r="J4" s="65"/>
      <c r="K4" s="65"/>
    </row>
    <row r="6" spans="1:11">
      <c r="A6" s="3" t="s">
        <v>1</v>
      </c>
    </row>
    <row r="7" spans="1:11" ht="15">
      <c r="A7" s="65" t="s">
        <v>1550</v>
      </c>
      <c r="B7" s="65"/>
      <c r="C7" s="65"/>
      <c r="D7" s="65"/>
      <c r="E7" s="65"/>
      <c r="F7" s="65"/>
      <c r="G7" s="65"/>
      <c r="H7" s="65"/>
      <c r="I7" s="65"/>
      <c r="J7" s="65"/>
      <c r="K7" s="65"/>
    </row>
    <row r="8" spans="1:11">
      <c r="A8" s="65" t="s">
        <v>1547</v>
      </c>
      <c r="B8" s="65"/>
      <c r="C8" s="65"/>
      <c r="D8" s="65"/>
      <c r="E8" s="65"/>
      <c r="F8" s="65"/>
      <c r="G8" s="65"/>
      <c r="H8" s="65"/>
      <c r="I8" s="65"/>
      <c r="J8" s="65"/>
      <c r="K8" s="65"/>
    </row>
    <row r="9" spans="1:11">
      <c r="A9" s="65" t="s">
        <v>1548</v>
      </c>
      <c r="B9" s="65"/>
      <c r="C9" s="65"/>
      <c r="D9" s="65"/>
      <c r="E9" s="65"/>
      <c r="F9" s="65"/>
      <c r="G9" s="65"/>
      <c r="H9" s="65"/>
      <c r="I9" s="65"/>
      <c r="J9" s="65"/>
      <c r="K9" s="65"/>
    </row>
    <row r="10" spans="1:11">
      <c r="A10" s="65" t="s">
        <v>1549</v>
      </c>
      <c r="B10" s="65"/>
      <c r="C10" s="65"/>
      <c r="D10" s="65"/>
      <c r="E10" s="65"/>
      <c r="F10" s="65"/>
      <c r="G10" s="65"/>
      <c r="H10" s="65"/>
      <c r="I10" s="65"/>
      <c r="J10" s="65"/>
      <c r="K10" s="65"/>
    </row>
    <row r="12" spans="1:11">
      <c r="A12" s="3" t="s">
        <v>1281</v>
      </c>
    </row>
    <row r="13" spans="1:11">
      <c r="A13" s="66" t="s">
        <v>1560</v>
      </c>
      <c r="B13" s="66"/>
      <c r="C13" s="66"/>
      <c r="D13" s="66"/>
      <c r="E13" s="66"/>
      <c r="F13" s="66"/>
      <c r="G13" s="66"/>
      <c r="H13" s="66"/>
      <c r="I13" s="66"/>
      <c r="J13" s="66"/>
      <c r="K13" s="66"/>
    </row>
    <row r="14" spans="1:11">
      <c r="A14" s="67" t="s">
        <v>101</v>
      </c>
      <c r="B14" s="67"/>
      <c r="C14" s="67"/>
      <c r="D14" s="67"/>
      <c r="E14" s="67"/>
      <c r="F14" s="67"/>
      <c r="G14" s="67"/>
      <c r="H14" s="67"/>
      <c r="I14" s="67"/>
      <c r="J14" s="67"/>
      <c r="K14" s="67"/>
    </row>
    <row r="15" spans="1:11">
      <c r="A15" s="67" t="s">
        <v>1339</v>
      </c>
      <c r="B15" s="67"/>
      <c r="C15" s="67"/>
      <c r="D15" s="67"/>
      <c r="E15" s="67"/>
      <c r="F15" s="67"/>
      <c r="G15" s="67"/>
      <c r="H15" s="67"/>
      <c r="I15" s="67"/>
      <c r="J15" s="67"/>
      <c r="K15" s="67"/>
    </row>
    <row r="16" spans="1:11">
      <c r="A16" s="67" t="s">
        <v>1340</v>
      </c>
      <c r="B16" s="67"/>
      <c r="C16" s="67"/>
      <c r="D16" s="67"/>
      <c r="E16" s="67"/>
      <c r="F16" s="67"/>
      <c r="G16" s="67"/>
      <c r="H16" s="67"/>
      <c r="I16" s="67"/>
      <c r="J16" s="67"/>
      <c r="K16" s="67"/>
    </row>
    <row r="17" spans="1:11">
      <c r="A17" s="67" t="s">
        <v>1341</v>
      </c>
      <c r="B17" s="67"/>
      <c r="C17" s="67"/>
      <c r="D17" s="67"/>
      <c r="E17" s="67"/>
      <c r="F17" s="67"/>
      <c r="G17" s="67"/>
      <c r="H17" s="67"/>
      <c r="I17" s="67"/>
      <c r="J17" s="67"/>
      <c r="K17" s="67"/>
    </row>
    <row r="18" spans="1:11">
      <c r="A18" s="67" t="s">
        <v>1301</v>
      </c>
      <c r="B18" s="67"/>
      <c r="C18" s="67"/>
      <c r="D18" s="67"/>
      <c r="E18" s="67"/>
      <c r="F18" s="67"/>
      <c r="G18" s="67"/>
      <c r="H18" s="67"/>
      <c r="I18" s="67"/>
      <c r="J18" s="67"/>
      <c r="K18" s="67"/>
    </row>
    <row r="19" spans="1:11">
      <c r="A19" s="67" t="s">
        <v>1302</v>
      </c>
      <c r="B19" s="67"/>
      <c r="C19" s="67"/>
      <c r="D19" s="67"/>
      <c r="E19" s="67"/>
      <c r="F19" s="67"/>
      <c r="G19" s="67"/>
      <c r="H19" s="67"/>
      <c r="I19" s="67"/>
      <c r="J19" s="67"/>
      <c r="K19" s="67"/>
    </row>
    <row r="20" spans="1:11">
      <c r="A20" s="67" t="s">
        <v>1303</v>
      </c>
      <c r="B20" s="67"/>
      <c r="C20" s="67"/>
      <c r="D20" s="67"/>
      <c r="E20" s="67"/>
      <c r="F20" s="67"/>
      <c r="G20" s="67"/>
      <c r="H20" s="67"/>
      <c r="I20" s="67"/>
      <c r="J20" s="67"/>
      <c r="K20" s="67"/>
    </row>
    <row r="21" spans="1:11">
      <c r="A21" s="67" t="s">
        <v>1414</v>
      </c>
      <c r="B21" s="67"/>
      <c r="C21" s="67"/>
      <c r="D21" s="67"/>
      <c r="E21" s="67"/>
      <c r="F21" s="67"/>
      <c r="G21" s="67"/>
      <c r="H21" s="67"/>
      <c r="I21" s="67"/>
      <c r="J21" s="67"/>
      <c r="K21" s="67"/>
    </row>
    <row r="22" spans="1:11">
      <c r="A22" s="67" t="s">
        <v>1304</v>
      </c>
      <c r="B22" s="67"/>
      <c r="C22" s="67"/>
      <c r="D22" s="67"/>
      <c r="E22" s="67"/>
      <c r="F22" s="67"/>
      <c r="G22" s="67"/>
      <c r="H22" s="67"/>
      <c r="I22" s="67"/>
      <c r="J22" s="67"/>
      <c r="K22" s="67"/>
    </row>
    <row r="23" spans="1:11">
      <c r="A23" s="67" t="s">
        <v>77</v>
      </c>
      <c r="B23" s="67"/>
      <c r="C23" s="67"/>
      <c r="D23" s="67"/>
      <c r="E23" s="67"/>
      <c r="F23" s="67"/>
      <c r="G23" s="67"/>
      <c r="H23" s="67"/>
      <c r="I23" s="67"/>
      <c r="J23" s="67"/>
      <c r="K23" s="67"/>
    </row>
    <row r="24" spans="1:11">
      <c r="A24" s="67" t="s">
        <v>1551</v>
      </c>
      <c r="B24" s="67"/>
      <c r="C24" s="67"/>
      <c r="D24" s="67"/>
      <c r="E24" s="67"/>
      <c r="F24" s="67"/>
      <c r="G24" s="67"/>
      <c r="H24" s="67"/>
      <c r="I24" s="67"/>
      <c r="J24" s="67"/>
      <c r="K24" s="67"/>
    </row>
    <row r="25" spans="1:11">
      <c r="A25" s="67" t="s">
        <v>1552</v>
      </c>
      <c r="B25" s="67"/>
      <c r="C25" s="67"/>
      <c r="D25" s="67"/>
      <c r="E25" s="67"/>
      <c r="F25" s="67"/>
      <c r="G25" s="67"/>
      <c r="H25" s="67"/>
      <c r="I25" s="67"/>
      <c r="J25" s="67"/>
      <c r="K25" s="67"/>
    </row>
    <row r="26" spans="1:11">
      <c r="A26" s="67" t="s">
        <v>1553</v>
      </c>
      <c r="B26" s="67"/>
      <c r="C26" s="67"/>
      <c r="D26" s="67"/>
      <c r="E26" s="67"/>
      <c r="F26" s="67"/>
      <c r="G26" s="67"/>
      <c r="H26" s="67"/>
      <c r="I26" s="67"/>
      <c r="J26" s="67"/>
      <c r="K26" s="67"/>
    </row>
    <row r="27" spans="1:11">
      <c r="A27" s="67" t="s">
        <v>1388</v>
      </c>
      <c r="B27" s="67"/>
      <c r="C27" s="67"/>
      <c r="D27" s="67"/>
      <c r="E27" s="67"/>
      <c r="F27" s="67"/>
      <c r="G27" s="67"/>
      <c r="H27" s="67"/>
      <c r="I27" s="67"/>
      <c r="J27" s="67"/>
      <c r="K27" s="67"/>
    </row>
    <row r="28" spans="1:11">
      <c r="A28" s="67" t="s">
        <v>1554</v>
      </c>
      <c r="B28" s="67"/>
      <c r="C28" s="67"/>
      <c r="D28" s="67"/>
      <c r="E28" s="67"/>
      <c r="F28" s="67"/>
      <c r="G28" s="67"/>
      <c r="H28" s="67"/>
      <c r="I28" s="67"/>
      <c r="J28" s="67"/>
      <c r="K28" s="67"/>
    </row>
    <row r="29" spans="1:11">
      <c r="A29" s="67" t="s">
        <v>1555</v>
      </c>
      <c r="B29" s="67"/>
      <c r="C29" s="67"/>
      <c r="D29" s="67"/>
      <c r="E29" s="67"/>
      <c r="F29" s="67"/>
      <c r="G29" s="67"/>
      <c r="H29" s="67"/>
      <c r="I29" s="67"/>
      <c r="J29" s="67"/>
      <c r="K29" s="67"/>
    </row>
    <row r="30" spans="1:11">
      <c r="A30" s="67" t="s">
        <v>146</v>
      </c>
      <c r="B30" s="67"/>
      <c r="C30" s="67"/>
      <c r="D30" s="67"/>
      <c r="E30" s="67"/>
      <c r="F30" s="67"/>
      <c r="G30" s="67"/>
      <c r="H30" s="67"/>
      <c r="I30" s="67"/>
      <c r="J30" s="67"/>
      <c r="K30" s="67"/>
    </row>
    <row r="31" spans="1:11">
      <c r="A31" s="67" t="s">
        <v>77</v>
      </c>
      <c r="B31" s="67"/>
      <c r="C31" s="67"/>
      <c r="D31" s="67"/>
      <c r="E31" s="67"/>
      <c r="F31" s="67"/>
      <c r="G31" s="67"/>
      <c r="H31" s="67"/>
      <c r="I31" s="67"/>
      <c r="J31" s="67"/>
      <c r="K31" s="67"/>
    </row>
    <row r="32" spans="1:11">
      <c r="A32" s="67" t="s">
        <v>1344</v>
      </c>
      <c r="B32" s="67"/>
      <c r="C32" s="67"/>
      <c r="D32" s="67"/>
      <c r="E32" s="67"/>
      <c r="F32" s="67"/>
      <c r="G32" s="67"/>
      <c r="H32" s="67"/>
      <c r="I32" s="67"/>
      <c r="J32" s="67"/>
      <c r="K32" s="67"/>
    </row>
    <row r="33" spans="1:11">
      <c r="A33" s="67" t="s">
        <v>1369</v>
      </c>
      <c r="B33" s="67"/>
      <c r="C33" s="67"/>
      <c r="D33" s="67"/>
      <c r="E33" s="67"/>
      <c r="F33" s="67"/>
      <c r="G33" s="67"/>
      <c r="H33" s="67"/>
      <c r="I33" s="67"/>
      <c r="J33" s="67"/>
      <c r="K33" s="67"/>
    </row>
    <row r="34" spans="1:11">
      <c r="A34" s="67" t="s">
        <v>1345</v>
      </c>
      <c r="B34" s="67"/>
      <c r="C34" s="67"/>
      <c r="D34" s="67"/>
      <c r="E34" s="67"/>
      <c r="F34" s="67"/>
      <c r="G34" s="67"/>
      <c r="H34" s="67"/>
      <c r="I34" s="67"/>
      <c r="J34" s="67"/>
      <c r="K34" s="67"/>
    </row>
    <row r="35" spans="1:11">
      <c r="A35" s="67" t="s">
        <v>1370</v>
      </c>
      <c r="B35" s="67"/>
      <c r="C35" s="67"/>
      <c r="D35" s="67"/>
      <c r="E35" s="67"/>
      <c r="F35" s="67"/>
      <c r="G35" s="67"/>
      <c r="H35" s="67"/>
      <c r="I35" s="67"/>
      <c r="J35" s="67"/>
      <c r="K35" s="67"/>
    </row>
    <row r="36" spans="1:11">
      <c r="A36" s="67" t="s">
        <v>1371</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1305</v>
      </c>
      <c r="B39" s="67"/>
      <c r="C39" s="67"/>
      <c r="D39" s="67"/>
      <c r="E39" s="67"/>
      <c r="F39" s="67"/>
      <c r="G39" s="67"/>
      <c r="H39" s="67"/>
      <c r="I39" s="67"/>
      <c r="J39" s="67"/>
      <c r="K39" s="67"/>
    </row>
    <row r="40" spans="1:11">
      <c r="A40" s="67" t="s">
        <v>1346</v>
      </c>
      <c r="B40" s="67"/>
      <c r="C40" s="67"/>
      <c r="D40" s="67"/>
      <c r="E40" s="67"/>
      <c r="F40" s="67"/>
      <c r="G40" s="67"/>
      <c r="H40" s="67"/>
      <c r="I40" s="67"/>
      <c r="J40" s="67"/>
      <c r="K40" s="67"/>
    </row>
    <row r="41" spans="1:11">
      <c r="A41" s="67" t="s">
        <v>1556</v>
      </c>
      <c r="B41" s="67"/>
      <c r="C41" s="67"/>
      <c r="D41" s="67"/>
      <c r="E41" s="67"/>
      <c r="F41" s="67"/>
      <c r="G41" s="67"/>
      <c r="H41" s="67"/>
      <c r="I41" s="67"/>
      <c r="J41" s="67"/>
      <c r="K41" s="67"/>
    </row>
    <row r="42" spans="1:11">
      <c r="A42" s="67" t="s">
        <v>1557</v>
      </c>
      <c r="B42" s="67"/>
      <c r="C42" s="67"/>
      <c r="D42" s="67"/>
      <c r="E42" s="67"/>
      <c r="F42" s="67"/>
      <c r="G42" s="67"/>
      <c r="H42" s="67"/>
      <c r="I42" s="67"/>
      <c r="J42" s="67"/>
      <c r="K42" s="67"/>
    </row>
    <row r="43" spans="1:11">
      <c r="A43" s="67" t="s">
        <v>146</v>
      </c>
      <c r="B43" s="67"/>
      <c r="C43" s="67"/>
      <c r="D43" s="67"/>
      <c r="E43" s="67"/>
      <c r="F43" s="67"/>
      <c r="G43" s="67"/>
      <c r="H43" s="67"/>
      <c r="I43" s="67"/>
      <c r="J43" s="67"/>
      <c r="K43" s="67"/>
    </row>
    <row r="44" spans="1:11">
      <c r="A44" s="67" t="s">
        <v>77</v>
      </c>
      <c r="B44" s="67"/>
      <c r="C44" s="67"/>
      <c r="D44" s="67"/>
      <c r="E44" s="67"/>
      <c r="F44" s="67"/>
      <c r="G44" s="67"/>
      <c r="H44" s="67"/>
      <c r="I44" s="67"/>
      <c r="J44" s="67"/>
      <c r="K44" s="67"/>
    </row>
    <row r="45" spans="1:11">
      <c r="A45" s="67" t="s">
        <v>1310</v>
      </c>
      <c r="B45" s="67"/>
      <c r="C45" s="67"/>
      <c r="D45" s="67"/>
      <c r="E45" s="67"/>
      <c r="F45" s="67"/>
      <c r="G45" s="67"/>
      <c r="H45" s="67"/>
      <c r="I45" s="67"/>
      <c r="J45" s="67"/>
      <c r="K45" s="67"/>
    </row>
    <row r="46" spans="1:11">
      <c r="A46" s="67" t="s">
        <v>1349</v>
      </c>
      <c r="B46" s="67"/>
      <c r="C46" s="67"/>
      <c r="D46" s="67"/>
      <c r="E46" s="67"/>
      <c r="F46" s="67"/>
      <c r="G46" s="67"/>
      <c r="H46" s="67"/>
      <c r="I46" s="67"/>
      <c r="J46" s="67"/>
      <c r="K46" s="67"/>
    </row>
    <row r="47" spans="1:11">
      <c r="A47" s="67" t="s">
        <v>1558</v>
      </c>
      <c r="B47" s="67"/>
      <c r="C47" s="67"/>
      <c r="D47" s="67"/>
      <c r="E47" s="67"/>
      <c r="F47" s="67"/>
      <c r="G47" s="67"/>
      <c r="H47" s="67"/>
      <c r="I47" s="67"/>
      <c r="J47" s="67"/>
      <c r="K47" s="67"/>
    </row>
    <row r="48" spans="1:11">
      <c r="A48" s="67" t="s">
        <v>1351</v>
      </c>
      <c r="B48" s="67"/>
      <c r="C48" s="67"/>
      <c r="D48" s="67"/>
      <c r="E48" s="67"/>
      <c r="F48" s="67"/>
      <c r="G48" s="67"/>
      <c r="H48" s="67"/>
      <c r="I48" s="67"/>
      <c r="J48" s="67"/>
      <c r="K48" s="67"/>
    </row>
    <row r="49" spans="1:11">
      <c r="A49" s="67" t="s">
        <v>1559</v>
      </c>
      <c r="B49" s="67"/>
      <c r="C49" s="67"/>
      <c r="D49" s="67"/>
      <c r="E49" s="67"/>
      <c r="F49" s="67"/>
      <c r="G49" s="67"/>
      <c r="H49" s="67"/>
      <c r="I49" s="67"/>
      <c r="J49" s="67"/>
      <c r="K49" s="67"/>
    </row>
    <row r="50" spans="1:11">
      <c r="A50" s="67" t="s">
        <v>1311</v>
      </c>
      <c r="B50" s="67"/>
      <c r="C50" s="67"/>
      <c r="D50" s="67"/>
      <c r="E50" s="67"/>
      <c r="F50" s="67"/>
      <c r="G50" s="67"/>
      <c r="H50" s="67"/>
      <c r="I50" s="67"/>
      <c r="J50" s="67"/>
      <c r="K50" s="67"/>
    </row>
    <row r="51" spans="1:11">
      <c r="A51" s="67" t="s">
        <v>1353</v>
      </c>
      <c r="B51" s="67"/>
      <c r="C51" s="67"/>
      <c r="D51" s="67"/>
      <c r="E51" s="67"/>
      <c r="F51" s="67"/>
      <c r="G51" s="67"/>
      <c r="H51" s="67"/>
      <c r="I51" s="67"/>
      <c r="J51" s="67"/>
      <c r="K51" s="67"/>
    </row>
    <row r="52" spans="1:11">
      <c r="A52" s="67" t="s">
        <v>77</v>
      </c>
      <c r="B52" s="67"/>
      <c r="C52" s="67"/>
      <c r="D52" s="67"/>
      <c r="E52" s="67"/>
      <c r="F52" s="67"/>
      <c r="G52" s="67"/>
      <c r="H52" s="67"/>
      <c r="I52" s="67"/>
      <c r="J52" s="67"/>
      <c r="K52" s="67"/>
    </row>
    <row r="53" spans="1:11">
      <c r="A53" s="67" t="s">
        <v>177</v>
      </c>
      <c r="B53" s="67"/>
      <c r="C53" s="67"/>
      <c r="D53" s="67"/>
      <c r="E53" s="67"/>
      <c r="F53" s="67"/>
      <c r="G53" s="67"/>
      <c r="H53" s="67"/>
      <c r="I53" s="67"/>
      <c r="J53" s="67"/>
      <c r="K53" s="67"/>
    </row>
    <row r="54" spans="1:11">
      <c r="A54" s="67" t="s">
        <v>97</v>
      </c>
      <c r="B54" s="67"/>
      <c r="C54" s="67"/>
      <c r="D54" s="67"/>
      <c r="E54" s="67"/>
      <c r="F54" s="67"/>
      <c r="G54" s="67"/>
      <c r="H54" s="67"/>
      <c r="I54" s="67"/>
      <c r="J54" s="67"/>
      <c r="K54" s="67"/>
    </row>
    <row r="56" spans="1:11">
      <c r="A56" s="3" t="s">
        <v>213</v>
      </c>
    </row>
    <row r="57" spans="1:11">
      <c r="A57" s="63" t="s">
        <v>188</v>
      </c>
      <c r="B57" s="63"/>
      <c r="C57" s="64" t="s">
        <v>2</v>
      </c>
      <c r="D57" s="64"/>
      <c r="E57" s="64"/>
      <c r="F57" s="64"/>
      <c r="G57" s="64"/>
      <c r="H57" s="64"/>
      <c r="I57" s="64"/>
      <c r="J57" s="64"/>
      <c r="K57" s="64"/>
    </row>
    <row r="58" spans="1:11">
      <c r="A58" s="59" t="s">
        <v>1387</v>
      </c>
      <c r="B58" s="59"/>
      <c r="C58" s="62" t="s">
        <v>1561</v>
      </c>
      <c r="D58" s="62"/>
      <c r="E58" s="62"/>
      <c r="F58" s="62"/>
      <c r="G58" s="62"/>
      <c r="H58" s="62"/>
      <c r="I58" s="62"/>
      <c r="J58" s="62"/>
      <c r="K58" s="62"/>
    </row>
    <row r="59" spans="1:11">
      <c r="A59" s="59" t="s">
        <v>1383</v>
      </c>
      <c r="B59" s="59"/>
      <c r="C59" s="62" t="s">
        <v>1562</v>
      </c>
      <c r="D59" s="62"/>
      <c r="E59" s="62"/>
      <c r="F59" s="62"/>
      <c r="G59" s="62"/>
      <c r="H59" s="62"/>
      <c r="I59" s="62"/>
      <c r="J59" s="62"/>
      <c r="K59" s="62"/>
    </row>
    <row r="60" spans="1:11" ht="27.75" customHeight="1">
      <c r="A60" s="59" t="s">
        <v>1312</v>
      </c>
      <c r="B60" s="59"/>
      <c r="C60" s="62" t="s">
        <v>1563</v>
      </c>
      <c r="D60" s="62"/>
      <c r="E60" s="62"/>
      <c r="F60" s="62"/>
      <c r="G60" s="62"/>
      <c r="H60" s="62"/>
      <c r="I60" s="62"/>
      <c r="J60" s="62"/>
      <c r="K60" s="62"/>
    </row>
    <row r="61" spans="1:11" ht="28.5" customHeight="1">
      <c r="A61" s="59" t="s">
        <v>1313</v>
      </c>
      <c r="B61" s="59"/>
      <c r="C61" s="62" t="s">
        <v>1564</v>
      </c>
      <c r="D61" s="62"/>
      <c r="E61" s="62"/>
      <c r="F61" s="62"/>
      <c r="G61" s="62"/>
      <c r="H61" s="62"/>
      <c r="I61" s="62"/>
      <c r="J61" s="62"/>
      <c r="K61" s="62"/>
    </row>
    <row r="63" spans="1:11">
      <c r="A63" s="3" t="s">
        <v>224</v>
      </c>
    </row>
    <row r="64" spans="1:11">
      <c r="A64" s="65" t="s">
        <v>1565</v>
      </c>
      <c r="B64" s="65"/>
      <c r="C64" s="65"/>
      <c r="D64" s="65"/>
      <c r="E64" s="65"/>
      <c r="F64" s="65"/>
      <c r="G64" s="65"/>
      <c r="H64" s="65"/>
      <c r="I64" s="65"/>
      <c r="J64" s="65"/>
      <c r="K64" s="65"/>
    </row>
    <row r="65" spans="1:11">
      <c r="A65" s="65" t="s">
        <v>1566</v>
      </c>
      <c r="B65" s="65"/>
      <c r="C65" s="65"/>
      <c r="D65" s="65"/>
      <c r="E65" s="65"/>
      <c r="F65" s="65"/>
      <c r="G65" s="65"/>
      <c r="H65" s="65"/>
      <c r="I65" s="65"/>
      <c r="J65" s="65"/>
      <c r="K65" s="65"/>
    </row>
    <row r="66" spans="1:11">
      <c r="A66" s="65" t="s">
        <v>1354</v>
      </c>
      <c r="B66" s="65"/>
      <c r="C66" s="65"/>
      <c r="D66" s="65"/>
      <c r="E66" s="65"/>
      <c r="F66" s="65"/>
      <c r="G66" s="65"/>
      <c r="H66" s="65"/>
      <c r="I66" s="65"/>
      <c r="J66" s="65"/>
      <c r="K66" s="65"/>
    </row>
    <row r="67" spans="1:11">
      <c r="A67" s="65" t="s">
        <v>1318</v>
      </c>
      <c r="B67" s="65"/>
      <c r="C67" s="65"/>
      <c r="D67" s="65"/>
      <c r="E67" s="65"/>
      <c r="F67" s="65"/>
      <c r="G67" s="65"/>
      <c r="H67" s="65"/>
      <c r="I67" s="65"/>
      <c r="J67" s="65"/>
      <c r="K67" s="65"/>
    </row>
    <row r="68" spans="1:11">
      <c r="A68" s="75" t="s">
        <v>1567</v>
      </c>
      <c r="B68" s="75"/>
      <c r="C68" s="75"/>
      <c r="D68" s="75"/>
      <c r="E68" s="75"/>
      <c r="F68" s="75"/>
      <c r="G68" s="75"/>
      <c r="H68" s="75"/>
      <c r="I68" s="75"/>
      <c r="J68" s="75"/>
      <c r="K68" s="75"/>
    </row>
    <row r="69" spans="1:11">
      <c r="A69" s="75" t="s">
        <v>1568</v>
      </c>
      <c r="B69" s="75"/>
      <c r="C69" s="75"/>
      <c r="D69" s="75"/>
      <c r="E69" s="75"/>
      <c r="F69" s="75"/>
      <c r="G69" s="75"/>
      <c r="H69" s="75"/>
      <c r="I69" s="75"/>
      <c r="J69" s="75"/>
      <c r="K69" s="75"/>
    </row>
    <row r="70" spans="1:11">
      <c r="A70" s="75" t="s">
        <v>1321</v>
      </c>
      <c r="B70" s="75"/>
      <c r="C70" s="75"/>
      <c r="D70" s="75"/>
      <c r="E70" s="75"/>
      <c r="F70" s="75"/>
      <c r="G70" s="75"/>
      <c r="H70" s="75"/>
      <c r="I70" s="75"/>
      <c r="J70" s="75"/>
      <c r="K70" s="75"/>
    </row>
    <row r="71" spans="1:11">
      <c r="A71" s="65" t="s">
        <v>1322</v>
      </c>
      <c r="B71" s="65"/>
      <c r="C71" s="65"/>
      <c r="D71" s="65"/>
      <c r="E71" s="65"/>
      <c r="F71" s="65"/>
      <c r="G71" s="65"/>
      <c r="H71" s="65"/>
      <c r="I71" s="65"/>
      <c r="J71" s="65"/>
      <c r="K71" s="65"/>
    </row>
    <row r="72" spans="1:11">
      <c r="A72" s="75" t="s">
        <v>1323</v>
      </c>
      <c r="B72" s="75"/>
      <c r="C72" s="75"/>
      <c r="D72" s="75"/>
      <c r="E72" s="75"/>
      <c r="F72" s="75"/>
      <c r="G72" s="75"/>
      <c r="H72" s="75"/>
      <c r="I72" s="75"/>
      <c r="J72" s="75"/>
      <c r="K72" s="75"/>
    </row>
    <row r="73" spans="1:11">
      <c r="A73" s="75" t="s">
        <v>1324</v>
      </c>
      <c r="B73" s="75"/>
      <c r="C73" s="75"/>
      <c r="D73" s="75"/>
      <c r="E73" s="75"/>
      <c r="F73" s="75"/>
      <c r="G73" s="75"/>
      <c r="H73" s="75"/>
      <c r="I73" s="75"/>
      <c r="J73" s="75"/>
      <c r="K73" s="75"/>
    </row>
    <row r="74" spans="1:11">
      <c r="A74" s="75" t="s">
        <v>1325</v>
      </c>
      <c r="B74" s="75"/>
      <c r="C74" s="75"/>
      <c r="D74" s="75"/>
      <c r="E74" s="75"/>
      <c r="F74" s="75"/>
      <c r="G74" s="75"/>
      <c r="H74" s="75"/>
      <c r="I74" s="75"/>
      <c r="J74" s="75"/>
      <c r="K74" s="75"/>
    </row>
    <row r="75" spans="1:11">
      <c r="A75" s="75" t="s">
        <v>1326</v>
      </c>
      <c r="B75" s="75"/>
      <c r="C75" s="75"/>
      <c r="D75" s="75"/>
      <c r="E75" s="75"/>
      <c r="F75" s="75"/>
      <c r="G75" s="75"/>
      <c r="H75" s="75"/>
      <c r="I75" s="75"/>
      <c r="J75" s="75"/>
      <c r="K75" s="75"/>
    </row>
    <row r="76" spans="1:11">
      <c r="A76" s="65" t="s">
        <v>1327</v>
      </c>
      <c r="B76" s="65"/>
      <c r="C76" s="65"/>
      <c r="D76" s="65"/>
      <c r="E76" s="65"/>
      <c r="F76" s="65"/>
      <c r="G76" s="65"/>
      <c r="H76" s="65"/>
      <c r="I76" s="65"/>
      <c r="J76" s="65"/>
      <c r="K76" s="65"/>
    </row>
    <row r="77" spans="1:11">
      <c r="A77" s="65" t="s">
        <v>1569</v>
      </c>
      <c r="B77" s="65"/>
      <c r="C77" s="65"/>
      <c r="D77" s="65"/>
      <c r="E77" s="65"/>
      <c r="F77" s="65"/>
      <c r="G77" s="65"/>
      <c r="H77" s="65"/>
      <c r="I77" s="65"/>
      <c r="J77" s="65"/>
      <c r="K77" s="65"/>
    </row>
    <row r="78" spans="1:11">
      <c r="A78" s="65" t="s">
        <v>1570</v>
      </c>
      <c r="B78" s="65"/>
      <c r="C78" s="65"/>
      <c r="D78" s="65"/>
      <c r="E78" s="65"/>
      <c r="F78" s="65"/>
      <c r="G78" s="65"/>
      <c r="H78" s="65"/>
      <c r="I78" s="65"/>
      <c r="J78" s="65"/>
      <c r="K78" s="65"/>
    </row>
    <row r="79" spans="1:11">
      <c r="A79" s="75" t="s">
        <v>1571</v>
      </c>
      <c r="B79" s="75"/>
      <c r="C79" s="75"/>
      <c r="D79" s="75"/>
      <c r="E79" s="75"/>
      <c r="F79" s="75"/>
      <c r="G79" s="75"/>
      <c r="H79" s="75"/>
      <c r="I79" s="75"/>
      <c r="J79" s="75"/>
      <c r="K79" s="75"/>
    </row>
    <row r="80" spans="1:11">
      <c r="A80" s="65" t="s">
        <v>1572</v>
      </c>
      <c r="B80" s="65"/>
      <c r="C80" s="65"/>
      <c r="D80" s="65"/>
      <c r="E80" s="65"/>
      <c r="F80" s="65"/>
      <c r="G80" s="65"/>
      <c r="H80" s="65"/>
      <c r="I80" s="65"/>
      <c r="J80" s="65"/>
      <c r="K80" s="65"/>
    </row>
    <row r="82" spans="1:11">
      <c r="A82" s="3" t="s">
        <v>519</v>
      </c>
    </row>
    <row r="83" spans="1:11">
      <c r="A83" s="65" t="s">
        <v>1576</v>
      </c>
      <c r="B83" s="65"/>
      <c r="C83" s="65"/>
      <c r="D83" s="65"/>
      <c r="E83" s="65"/>
      <c r="F83" s="65"/>
      <c r="G83" s="65"/>
      <c r="H83" s="65"/>
      <c r="I83" s="65"/>
      <c r="J83" s="65"/>
      <c r="K83" s="65"/>
    </row>
    <row r="84" spans="1:11">
      <c r="A84" s="75" t="s">
        <v>1573</v>
      </c>
      <c r="B84" s="75"/>
      <c r="C84" s="75"/>
      <c r="D84" s="75"/>
      <c r="E84" s="75"/>
      <c r="F84" s="75"/>
      <c r="G84" s="75"/>
      <c r="H84" s="75"/>
      <c r="I84" s="75"/>
      <c r="J84" s="75"/>
      <c r="K84" s="75"/>
    </row>
    <row r="85" spans="1:11">
      <c r="A85" s="75" t="s">
        <v>1574</v>
      </c>
      <c r="B85" s="75"/>
      <c r="C85" s="75"/>
      <c r="D85" s="75"/>
      <c r="E85" s="75"/>
      <c r="F85" s="75"/>
      <c r="G85" s="75"/>
      <c r="H85" s="75"/>
      <c r="I85" s="75"/>
      <c r="J85" s="75"/>
      <c r="K85" s="75"/>
    </row>
    <row r="86" spans="1:11">
      <c r="A86" s="65" t="s">
        <v>1355</v>
      </c>
      <c r="B86" s="65"/>
      <c r="C86" s="65"/>
      <c r="D86" s="65"/>
      <c r="E86" s="65"/>
      <c r="F86" s="65"/>
      <c r="G86" s="65"/>
      <c r="H86" s="65"/>
      <c r="I86" s="65"/>
      <c r="J86" s="65"/>
      <c r="K86" s="65"/>
    </row>
    <row r="87" spans="1:11">
      <c r="A87" s="75" t="s">
        <v>1575</v>
      </c>
      <c r="B87" s="75"/>
      <c r="C87" s="75"/>
      <c r="D87" s="75"/>
      <c r="E87" s="75"/>
      <c r="F87" s="75"/>
      <c r="G87" s="75"/>
      <c r="H87" s="75"/>
      <c r="I87" s="75"/>
      <c r="J87" s="75"/>
      <c r="K87" s="75"/>
    </row>
    <row r="89" spans="1:11">
      <c r="A89" s="3" t="s">
        <v>1367</v>
      </c>
    </row>
    <row r="90" spans="1:11">
      <c r="A90" s="77" t="s">
        <v>1040</v>
      </c>
      <c r="B90" s="77"/>
      <c r="C90" s="11" t="s">
        <v>235</v>
      </c>
      <c r="E90" s="11" t="s">
        <v>1376</v>
      </c>
      <c r="G90" s="74" t="s">
        <v>1578</v>
      </c>
      <c r="H90" s="74"/>
      <c r="I90" s="74"/>
      <c r="J90" s="74"/>
    </row>
    <row r="91" spans="1:11">
      <c r="A91" s="78" t="s">
        <v>1832</v>
      </c>
      <c r="B91" s="78"/>
      <c r="C91" s="13">
        <v>15.23</v>
      </c>
      <c r="E91" s="13" cm="1">
        <f t="array" ref="E91">EXTRACTION_EFFICIENCY(C91,C92)</f>
        <v>0.95128044971892556</v>
      </c>
      <c r="G91" s="79" t="str" cm="1">
        <f t="array" ref="G91">EXTRACTION_EFFICIENCY(C91,C92,TRUE)</f>
        <v>Excellent (95.13%)</v>
      </c>
      <c r="H91" s="79"/>
      <c r="I91" s="79"/>
      <c r="J91" s="79"/>
    </row>
    <row r="92" spans="1:11">
      <c r="A92" s="78" t="s">
        <v>1831</v>
      </c>
      <c r="B92" s="78"/>
      <c r="C92" s="13">
        <v>16.010000000000002</v>
      </c>
    </row>
    <row r="94" spans="1:11">
      <c r="A94" s="3" t="s">
        <v>1368</v>
      </c>
    </row>
    <row r="95" spans="1:11">
      <c r="A95" s="3" t="s">
        <v>1366</v>
      </c>
    </row>
    <row r="96" spans="1:11">
      <c r="A96" s="80" t="s">
        <v>534</v>
      </c>
      <c r="B96" s="80"/>
      <c r="C96" s="11" t="s">
        <v>235</v>
      </c>
    </row>
    <row r="97" spans="1:10">
      <c r="A97" s="78" t="s">
        <v>1526</v>
      </c>
      <c r="B97" s="78"/>
      <c r="C97" s="9">
        <v>0</v>
      </c>
    </row>
    <row r="98" spans="1:10">
      <c r="A98" s="78" t="s">
        <v>1527</v>
      </c>
      <c r="B98" s="78"/>
      <c r="C98" s="9">
        <v>0.5</v>
      </c>
    </row>
    <row r="99" spans="1:10">
      <c r="A99" s="78" t="s">
        <v>1528</v>
      </c>
      <c r="B99" s="78"/>
      <c r="C99" s="9">
        <v>0.7</v>
      </c>
    </row>
    <row r="100" spans="1:10">
      <c r="A100" s="78" t="s">
        <v>1529</v>
      </c>
      <c r="B100" s="78"/>
      <c r="C100" s="9">
        <v>0.85</v>
      </c>
    </row>
    <row r="101" spans="1:10">
      <c r="A101" s="78" t="s">
        <v>1534</v>
      </c>
      <c r="B101" s="78"/>
      <c r="C101" s="9">
        <v>0.95</v>
      </c>
    </row>
    <row r="103" spans="1:10">
      <c r="A103" s="35" t="s">
        <v>1040</v>
      </c>
      <c r="B103" s="35"/>
      <c r="C103" s="11" t="s">
        <v>235</v>
      </c>
      <c r="E103" s="11" t="s">
        <v>1376</v>
      </c>
      <c r="G103" s="74" t="s">
        <v>1578</v>
      </c>
      <c r="H103" s="74"/>
      <c r="I103" s="74"/>
      <c r="J103" s="74"/>
    </row>
    <row r="104" spans="1:10">
      <c r="A104" s="78" t="s">
        <v>1832</v>
      </c>
      <c r="B104" s="78"/>
      <c r="C104" s="13">
        <v>6.97</v>
      </c>
      <c r="E104" s="13" cm="1">
        <f t="array" ref="E104">EXTRACTION_EFFICIENCY(C104,C105)</f>
        <v>0.4799283894512153</v>
      </c>
      <c r="G104" s="79" t="str" cm="1">
        <f t="array" ref="G104">EXTRACTION_EFFICIENCY(C104,C105,TRUE,A97:C101)</f>
        <v>Poor (47.99%)</v>
      </c>
      <c r="H104" s="79"/>
      <c r="I104" s="79"/>
      <c r="J104" s="79"/>
    </row>
    <row r="105" spans="1:10">
      <c r="A105" s="78" t="s">
        <v>1831</v>
      </c>
      <c r="B105" s="78"/>
      <c r="C105" s="13">
        <v>14.523</v>
      </c>
    </row>
  </sheetData>
  <mergeCells count="96">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 ref="A84:K84"/>
    <mergeCell ref="A85:K85"/>
    <mergeCell ref="A86:K86"/>
    <mergeCell ref="A87:K87"/>
    <mergeCell ref="A90:B90"/>
    <mergeCell ref="G90:J90"/>
    <mergeCell ref="A83:K83"/>
    <mergeCell ref="A70:K70"/>
    <mergeCell ref="A71:K71"/>
    <mergeCell ref="A72:K72"/>
    <mergeCell ref="A73:K73"/>
    <mergeCell ref="A74:K74"/>
    <mergeCell ref="A75:K75"/>
    <mergeCell ref="A76:K76"/>
    <mergeCell ref="A77:K77"/>
    <mergeCell ref="A78:K78"/>
    <mergeCell ref="A79:K79"/>
    <mergeCell ref="A80:K80"/>
    <mergeCell ref="A69:K69"/>
    <mergeCell ref="A58:B58"/>
    <mergeCell ref="C58:K58"/>
    <mergeCell ref="A59:B59"/>
    <mergeCell ref="C59:K59"/>
    <mergeCell ref="A60:B60"/>
    <mergeCell ref="C60:K60"/>
    <mergeCell ref="A64:K64"/>
    <mergeCell ref="A65:K65"/>
    <mergeCell ref="A66:K66"/>
    <mergeCell ref="A67:K67"/>
    <mergeCell ref="A68:K68"/>
    <mergeCell ref="A54:K54"/>
    <mergeCell ref="A57:B57"/>
    <mergeCell ref="C57:K57"/>
    <mergeCell ref="A61:B61"/>
    <mergeCell ref="C61:K61"/>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0:K10"/>
    <mergeCell ref="A13:K13"/>
    <mergeCell ref="A14:K14"/>
    <mergeCell ref="A15:K15"/>
    <mergeCell ref="A16:K1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D241" sqref="D241"/>
    </sheetView>
  </sheetViews>
  <sheetFormatPr defaultColWidth="9" defaultRowHeight="14.25"/>
  <cols>
    <col min="1" max="10" width="9" style="2"/>
    <col min="11" max="11" width="16.25" style="2" customWidth="1"/>
    <col min="12" max="16384" width="9" style="2"/>
  </cols>
  <sheetData>
    <row r="1" spans="1:11">
      <c r="A1" s="3" t="s">
        <v>609</v>
      </c>
      <c r="K1" s="17">
        <v>46183</v>
      </c>
    </row>
    <row r="2" spans="1:11">
      <c r="A2" s="83" t="s">
        <v>736</v>
      </c>
      <c r="B2" s="83"/>
      <c r="C2" s="83"/>
      <c r="D2" s="83"/>
      <c r="E2" s="83"/>
      <c r="F2" s="83"/>
      <c r="G2" s="83"/>
      <c r="H2" s="83"/>
      <c r="I2" s="83"/>
      <c r="J2" s="83"/>
      <c r="K2" s="83"/>
    </row>
    <row r="3" spans="1:11">
      <c r="A3" s="83" t="s">
        <v>737</v>
      </c>
      <c r="B3" s="83"/>
      <c r="C3" s="83"/>
      <c r="D3" s="83"/>
      <c r="E3" s="83"/>
      <c r="F3" s="83"/>
      <c r="G3" s="83"/>
      <c r="H3" s="83"/>
      <c r="I3" s="83"/>
      <c r="J3" s="83"/>
      <c r="K3" s="83"/>
    </row>
    <row r="4" spans="1:11">
      <c r="A4" s="83" t="s">
        <v>738</v>
      </c>
      <c r="B4" s="83"/>
      <c r="C4" s="83"/>
      <c r="D4" s="83"/>
      <c r="E4" s="83"/>
      <c r="F4" s="83"/>
      <c r="G4" s="83"/>
      <c r="H4" s="83"/>
      <c r="I4" s="83"/>
      <c r="J4" s="83"/>
      <c r="K4" s="83"/>
    </row>
    <row r="6" spans="1:11">
      <c r="A6" s="3" t="s">
        <v>1</v>
      </c>
    </row>
    <row r="7" spans="1:11">
      <c r="A7" s="83" t="s">
        <v>734</v>
      </c>
      <c r="B7" s="83"/>
      <c r="C7" s="83"/>
      <c r="D7" s="83"/>
      <c r="E7" s="83"/>
      <c r="F7" s="83"/>
      <c r="G7" s="83"/>
      <c r="H7" s="83"/>
      <c r="I7" s="83"/>
      <c r="J7" s="83"/>
      <c r="K7" s="83"/>
    </row>
    <row r="8" spans="1:11">
      <c r="A8" s="85" t="s">
        <v>735</v>
      </c>
      <c r="B8" s="85"/>
      <c r="C8" s="85"/>
      <c r="D8" s="85"/>
      <c r="E8" s="85"/>
      <c r="F8" s="85"/>
      <c r="G8" s="85"/>
      <c r="H8" s="85"/>
      <c r="I8" s="85"/>
      <c r="J8" s="85"/>
      <c r="K8" s="85"/>
    </row>
    <row r="9" spans="1:11">
      <c r="A9" s="82" t="s">
        <v>610</v>
      </c>
      <c r="B9" s="82"/>
      <c r="C9" s="82"/>
      <c r="D9" s="82"/>
      <c r="E9" s="82"/>
      <c r="F9" s="82"/>
      <c r="G9" s="82"/>
      <c r="H9" s="82"/>
      <c r="I9" s="82"/>
      <c r="J9" s="82"/>
      <c r="K9" s="82"/>
    </row>
    <row r="10" spans="1:11">
      <c r="A10" s="82" t="s">
        <v>611</v>
      </c>
      <c r="B10" s="82"/>
      <c r="C10" s="82"/>
      <c r="D10" s="82"/>
      <c r="E10" s="82"/>
      <c r="F10" s="82"/>
      <c r="G10" s="82"/>
      <c r="H10" s="82"/>
      <c r="I10" s="82"/>
      <c r="J10" s="82"/>
      <c r="K10" s="82"/>
    </row>
    <row r="11" spans="1:11">
      <c r="A11" s="82" t="s">
        <v>612</v>
      </c>
      <c r="B11" s="82"/>
      <c r="C11" s="82"/>
      <c r="D11" s="82"/>
      <c r="E11" s="82"/>
      <c r="F11" s="82"/>
      <c r="G11" s="82"/>
      <c r="H11" s="82"/>
      <c r="I11" s="82"/>
      <c r="J11" s="82"/>
      <c r="K11" s="82"/>
    </row>
    <row r="12" spans="1:11">
      <c r="A12" s="82" t="s">
        <v>613</v>
      </c>
      <c r="B12" s="82"/>
      <c r="C12" s="82"/>
      <c r="D12" s="82"/>
      <c r="E12" s="82"/>
      <c r="F12" s="82"/>
      <c r="G12" s="82"/>
      <c r="H12" s="82"/>
      <c r="I12" s="82"/>
      <c r="J12" s="82"/>
      <c r="K12" s="82"/>
    </row>
    <row r="14" spans="1:11">
      <c r="A14" s="3" t="s">
        <v>220</v>
      </c>
    </row>
    <row r="15" spans="1:11">
      <c r="A15" s="66" t="s">
        <v>733</v>
      </c>
      <c r="B15" s="66"/>
      <c r="C15" s="66"/>
      <c r="D15" s="66"/>
      <c r="E15" s="66"/>
      <c r="F15" s="66"/>
      <c r="G15" s="66"/>
      <c r="H15" s="66"/>
      <c r="I15" s="66"/>
      <c r="J15" s="66"/>
      <c r="K15" s="66"/>
    </row>
    <row r="16" spans="1:11">
      <c r="A16" s="66" t="s">
        <v>101</v>
      </c>
      <c r="B16" s="66"/>
      <c r="C16" s="66"/>
      <c r="D16" s="66"/>
      <c r="E16" s="66"/>
      <c r="F16" s="66"/>
      <c r="G16" s="66"/>
      <c r="H16" s="66"/>
      <c r="I16" s="66"/>
      <c r="J16" s="66"/>
      <c r="K16" s="66"/>
    </row>
    <row r="17" spans="1:11">
      <c r="A17" s="66" t="s">
        <v>617</v>
      </c>
      <c r="B17" s="66"/>
      <c r="C17" s="66"/>
      <c r="D17" s="66"/>
      <c r="E17" s="66"/>
      <c r="F17" s="66"/>
      <c r="G17" s="66"/>
      <c r="H17" s="66"/>
      <c r="I17" s="66"/>
      <c r="J17" s="66"/>
      <c r="K17" s="66"/>
    </row>
    <row r="18" spans="1:11">
      <c r="A18" s="66" t="s">
        <v>618</v>
      </c>
      <c r="B18" s="66"/>
      <c r="C18" s="66"/>
      <c r="D18" s="66"/>
      <c r="E18" s="66"/>
      <c r="F18" s="66"/>
      <c r="G18" s="66"/>
      <c r="H18" s="66"/>
      <c r="I18" s="66"/>
      <c r="J18" s="66"/>
      <c r="K18" s="66"/>
    </row>
    <row r="19" spans="1:11">
      <c r="A19" s="66" t="s">
        <v>619</v>
      </c>
      <c r="B19" s="66"/>
      <c r="C19" s="66"/>
      <c r="D19" s="66"/>
      <c r="E19" s="66"/>
      <c r="F19" s="66"/>
      <c r="G19" s="66"/>
      <c r="H19" s="66"/>
      <c r="I19" s="66"/>
      <c r="J19" s="66"/>
      <c r="K19" s="66"/>
    </row>
    <row r="20" spans="1:11">
      <c r="A20" s="66" t="s">
        <v>620</v>
      </c>
      <c r="B20" s="66"/>
      <c r="C20" s="66"/>
      <c r="D20" s="66"/>
      <c r="E20" s="66"/>
      <c r="F20" s="66"/>
      <c r="G20" s="66"/>
      <c r="H20" s="66"/>
      <c r="I20" s="66"/>
      <c r="J20" s="66"/>
      <c r="K20" s="66"/>
    </row>
    <row r="21" spans="1:11">
      <c r="A21" s="66" t="s">
        <v>621</v>
      </c>
      <c r="B21" s="66"/>
      <c r="C21" s="66"/>
      <c r="D21" s="66"/>
      <c r="E21" s="66"/>
      <c r="F21" s="66"/>
      <c r="G21" s="66"/>
      <c r="H21" s="66"/>
      <c r="I21" s="66"/>
      <c r="J21" s="66"/>
      <c r="K21" s="66"/>
    </row>
    <row r="22" spans="1:11">
      <c r="A22" s="66" t="s">
        <v>622</v>
      </c>
      <c r="B22" s="66"/>
      <c r="C22" s="66"/>
      <c r="D22" s="66"/>
      <c r="E22" s="66"/>
      <c r="F22" s="66"/>
      <c r="G22" s="66"/>
      <c r="H22" s="66"/>
      <c r="I22" s="66"/>
      <c r="J22" s="66"/>
      <c r="K22" s="66"/>
    </row>
    <row r="23" spans="1:11">
      <c r="A23" s="66" t="s">
        <v>623</v>
      </c>
      <c r="B23" s="66"/>
      <c r="C23" s="66"/>
      <c r="D23" s="66"/>
      <c r="E23" s="66"/>
      <c r="F23" s="66"/>
      <c r="G23" s="66"/>
      <c r="H23" s="66"/>
      <c r="I23" s="66"/>
      <c r="J23" s="66"/>
      <c r="K23" s="66"/>
    </row>
    <row r="24" spans="1:11">
      <c r="A24" s="66" t="s">
        <v>624</v>
      </c>
      <c r="B24" s="66"/>
      <c r="C24" s="66"/>
      <c r="D24" s="66"/>
      <c r="E24" s="66"/>
      <c r="F24" s="66"/>
      <c r="G24" s="66"/>
      <c r="H24" s="66"/>
      <c r="I24" s="66"/>
      <c r="J24" s="66"/>
      <c r="K24" s="66"/>
    </row>
    <row r="25" spans="1:11">
      <c r="A25" s="66" t="s">
        <v>625</v>
      </c>
      <c r="B25" s="66"/>
      <c r="C25" s="66"/>
      <c r="D25" s="66"/>
      <c r="E25" s="66"/>
      <c r="F25" s="66"/>
      <c r="G25" s="66"/>
      <c r="H25" s="66"/>
      <c r="I25" s="66"/>
      <c r="J25" s="66"/>
      <c r="K25" s="66"/>
    </row>
    <row r="26" spans="1:11">
      <c r="A26" s="66" t="s">
        <v>626</v>
      </c>
      <c r="B26" s="66"/>
      <c r="C26" s="66"/>
      <c r="D26" s="66"/>
      <c r="E26" s="66"/>
      <c r="F26" s="66"/>
      <c r="G26" s="66"/>
      <c r="H26" s="66"/>
      <c r="I26" s="66"/>
      <c r="J26" s="66"/>
      <c r="K26" s="66"/>
    </row>
    <row r="27" spans="1:11">
      <c r="A27" s="66" t="s">
        <v>627</v>
      </c>
      <c r="B27" s="66"/>
      <c r="C27" s="66"/>
      <c r="D27" s="66"/>
      <c r="E27" s="66"/>
      <c r="F27" s="66"/>
      <c r="G27" s="66"/>
      <c r="H27" s="66"/>
      <c r="I27" s="66"/>
      <c r="J27" s="66"/>
      <c r="K27" s="66"/>
    </row>
    <row r="28" spans="1:11">
      <c r="A28" s="66" t="s">
        <v>628</v>
      </c>
      <c r="B28" s="66"/>
      <c r="C28" s="66"/>
      <c r="D28" s="66"/>
      <c r="E28" s="66"/>
      <c r="F28" s="66"/>
      <c r="G28" s="66"/>
      <c r="H28" s="66"/>
      <c r="I28" s="66"/>
      <c r="J28" s="66"/>
      <c r="K28" s="66"/>
    </row>
    <row r="29" spans="1:11">
      <c r="A29" s="66" t="s">
        <v>629</v>
      </c>
      <c r="B29" s="66"/>
      <c r="C29" s="66"/>
      <c r="D29" s="66"/>
      <c r="E29" s="66"/>
      <c r="F29" s="66"/>
      <c r="G29" s="66"/>
      <c r="H29" s="66"/>
      <c r="I29" s="66"/>
      <c r="J29" s="66"/>
      <c r="K29" s="66"/>
    </row>
    <row r="30" spans="1:11">
      <c r="A30" s="66" t="s">
        <v>630</v>
      </c>
      <c r="B30" s="66"/>
      <c r="C30" s="66"/>
      <c r="D30" s="66"/>
      <c r="E30" s="66"/>
      <c r="F30" s="66"/>
      <c r="G30" s="66"/>
      <c r="H30" s="66"/>
      <c r="I30" s="66"/>
      <c r="J30" s="66"/>
      <c r="K30" s="66"/>
    </row>
    <row r="31" spans="1:11">
      <c r="A31" s="66" t="s">
        <v>81</v>
      </c>
      <c r="B31" s="66"/>
      <c r="C31" s="66"/>
      <c r="D31" s="66"/>
      <c r="E31" s="66"/>
      <c r="F31" s="66"/>
      <c r="G31" s="66"/>
      <c r="H31" s="66"/>
      <c r="I31" s="66"/>
      <c r="J31" s="66"/>
      <c r="K31" s="66"/>
    </row>
    <row r="32" spans="1:11">
      <c r="A32" s="66" t="s">
        <v>631</v>
      </c>
      <c r="B32" s="66"/>
      <c r="C32" s="66"/>
      <c r="D32" s="66"/>
      <c r="E32" s="66"/>
      <c r="F32" s="66"/>
      <c r="G32" s="66"/>
      <c r="H32" s="66"/>
      <c r="I32" s="66"/>
      <c r="J32" s="66"/>
      <c r="K32" s="66"/>
    </row>
    <row r="33" spans="1:11">
      <c r="A33" s="66" t="s">
        <v>632</v>
      </c>
      <c r="B33" s="66"/>
      <c r="C33" s="66"/>
      <c r="D33" s="66"/>
      <c r="E33" s="66"/>
      <c r="F33" s="66"/>
      <c r="G33" s="66"/>
      <c r="H33" s="66"/>
      <c r="I33" s="66"/>
      <c r="J33" s="66"/>
      <c r="K33" s="66"/>
    </row>
    <row r="34" spans="1:11">
      <c r="A34" s="66" t="s">
        <v>633</v>
      </c>
      <c r="B34" s="66"/>
      <c r="C34" s="66"/>
      <c r="D34" s="66"/>
      <c r="E34" s="66"/>
      <c r="F34" s="66"/>
      <c r="G34" s="66"/>
      <c r="H34" s="66"/>
      <c r="I34" s="66"/>
      <c r="J34" s="66"/>
      <c r="K34" s="66"/>
    </row>
    <row r="35" spans="1:11">
      <c r="A35" s="66" t="s">
        <v>634</v>
      </c>
      <c r="B35" s="66"/>
      <c r="C35" s="66"/>
      <c r="D35" s="66"/>
      <c r="E35" s="66"/>
      <c r="F35" s="66"/>
      <c r="G35" s="66"/>
      <c r="H35" s="66"/>
      <c r="I35" s="66"/>
      <c r="J35" s="66"/>
      <c r="K35" s="66"/>
    </row>
    <row r="36" spans="1:11">
      <c r="A36" s="66" t="s">
        <v>635</v>
      </c>
      <c r="B36" s="66"/>
      <c r="C36" s="66"/>
      <c r="D36" s="66"/>
      <c r="E36" s="66"/>
      <c r="F36" s="66"/>
      <c r="G36" s="66"/>
      <c r="H36" s="66"/>
      <c r="I36" s="66"/>
      <c r="J36" s="66"/>
      <c r="K36" s="66"/>
    </row>
    <row r="37" spans="1:11">
      <c r="A37" s="66" t="s">
        <v>636</v>
      </c>
      <c r="B37" s="66"/>
      <c r="C37" s="66"/>
      <c r="D37" s="66"/>
      <c r="E37" s="66"/>
      <c r="F37" s="66"/>
      <c r="G37" s="66"/>
      <c r="H37" s="66"/>
      <c r="I37" s="66"/>
      <c r="J37" s="66"/>
      <c r="K37" s="66"/>
    </row>
    <row r="38" spans="1:11">
      <c r="A38" s="66" t="s">
        <v>637</v>
      </c>
      <c r="B38" s="66"/>
      <c r="C38" s="66"/>
      <c r="D38" s="66"/>
      <c r="E38" s="66"/>
      <c r="F38" s="66"/>
      <c r="G38" s="66"/>
      <c r="H38" s="66"/>
      <c r="I38" s="66"/>
      <c r="J38" s="66"/>
      <c r="K38" s="66"/>
    </row>
    <row r="39" spans="1:11">
      <c r="A39" s="66" t="s">
        <v>638</v>
      </c>
      <c r="B39" s="66"/>
      <c r="C39" s="66"/>
      <c r="D39" s="66"/>
      <c r="E39" s="66"/>
      <c r="F39" s="66"/>
      <c r="G39" s="66"/>
      <c r="H39" s="66"/>
      <c r="I39" s="66"/>
      <c r="J39" s="66"/>
      <c r="K39" s="66"/>
    </row>
    <row r="40" spans="1:11">
      <c r="A40" s="66" t="s">
        <v>639</v>
      </c>
      <c r="B40" s="66"/>
      <c r="C40" s="66"/>
      <c r="D40" s="66"/>
      <c r="E40" s="66"/>
      <c r="F40" s="66"/>
      <c r="G40" s="66"/>
      <c r="H40" s="66"/>
      <c r="I40" s="66"/>
      <c r="J40" s="66"/>
      <c r="K40" s="66"/>
    </row>
    <row r="41" spans="1:11">
      <c r="A41" s="66" t="s">
        <v>640</v>
      </c>
      <c r="B41" s="66"/>
      <c r="C41" s="66"/>
      <c r="D41" s="66"/>
      <c r="E41" s="66"/>
      <c r="F41" s="66"/>
      <c r="G41" s="66"/>
      <c r="H41" s="66"/>
      <c r="I41" s="66"/>
      <c r="J41" s="66"/>
      <c r="K41" s="66"/>
    </row>
    <row r="42" spans="1:11">
      <c r="A42" s="66" t="s">
        <v>641</v>
      </c>
      <c r="B42" s="66"/>
      <c r="C42" s="66"/>
      <c r="D42" s="66"/>
      <c r="E42" s="66"/>
      <c r="F42" s="66"/>
      <c r="G42" s="66"/>
      <c r="H42" s="66"/>
      <c r="I42" s="66"/>
      <c r="J42" s="66"/>
      <c r="K42" s="66"/>
    </row>
    <row r="43" spans="1:11">
      <c r="A43" s="66" t="s">
        <v>642</v>
      </c>
      <c r="B43" s="66"/>
      <c r="C43" s="66"/>
      <c r="D43" s="66"/>
      <c r="E43" s="66"/>
      <c r="F43" s="66"/>
      <c r="G43" s="66"/>
      <c r="H43" s="66"/>
      <c r="I43" s="66"/>
      <c r="J43" s="66"/>
      <c r="K43" s="66"/>
    </row>
    <row r="44" spans="1:11">
      <c r="A44" s="66" t="s">
        <v>643</v>
      </c>
      <c r="B44" s="66"/>
      <c r="C44" s="66"/>
      <c r="D44" s="66"/>
      <c r="E44" s="66"/>
      <c r="F44" s="66"/>
      <c r="G44" s="66"/>
      <c r="H44" s="66"/>
      <c r="I44" s="66"/>
      <c r="J44" s="66"/>
      <c r="K44" s="66"/>
    </row>
    <row r="45" spans="1:11">
      <c r="A45" s="66" t="s">
        <v>644</v>
      </c>
      <c r="B45" s="66"/>
      <c r="C45" s="66"/>
      <c r="D45" s="66"/>
      <c r="E45" s="66"/>
      <c r="F45" s="66"/>
      <c r="G45" s="66"/>
      <c r="H45" s="66"/>
      <c r="I45" s="66"/>
      <c r="J45" s="66"/>
      <c r="K45" s="66"/>
    </row>
    <row r="46" spans="1:11">
      <c r="A46" s="66" t="s">
        <v>645</v>
      </c>
      <c r="B46" s="66"/>
      <c r="C46" s="66"/>
      <c r="D46" s="66"/>
      <c r="E46" s="66"/>
      <c r="F46" s="66"/>
      <c r="G46" s="66"/>
      <c r="H46" s="66"/>
      <c r="I46" s="66"/>
      <c r="J46" s="66"/>
      <c r="K46" s="66"/>
    </row>
    <row r="47" spans="1:11">
      <c r="A47" s="66" t="s">
        <v>614</v>
      </c>
      <c r="B47" s="66"/>
      <c r="C47" s="66"/>
      <c r="D47" s="66"/>
      <c r="E47" s="66"/>
      <c r="F47" s="66"/>
      <c r="G47" s="66"/>
      <c r="H47" s="66"/>
      <c r="I47" s="66"/>
      <c r="J47" s="66"/>
      <c r="K47" s="66"/>
    </row>
    <row r="48" spans="1:11">
      <c r="A48" s="66" t="s">
        <v>646</v>
      </c>
      <c r="B48" s="66"/>
      <c r="C48" s="66"/>
      <c r="D48" s="66"/>
      <c r="E48" s="66"/>
      <c r="F48" s="66"/>
      <c r="G48" s="66"/>
      <c r="H48" s="66"/>
      <c r="I48" s="66"/>
      <c r="J48" s="66"/>
      <c r="K48" s="66"/>
    </row>
    <row r="49" spans="1:11">
      <c r="A49" s="66" t="s">
        <v>647</v>
      </c>
      <c r="B49" s="66"/>
      <c r="C49" s="66"/>
      <c r="D49" s="66"/>
      <c r="E49" s="66"/>
      <c r="F49" s="66"/>
      <c r="G49" s="66"/>
      <c r="H49" s="66"/>
      <c r="I49" s="66"/>
      <c r="J49" s="66"/>
      <c r="K49" s="66"/>
    </row>
    <row r="50" spans="1:11">
      <c r="A50" s="66" t="s">
        <v>648</v>
      </c>
      <c r="B50" s="66"/>
      <c r="C50" s="66"/>
      <c r="D50" s="66"/>
      <c r="E50" s="66"/>
      <c r="F50" s="66"/>
      <c r="G50" s="66"/>
      <c r="H50" s="66"/>
      <c r="I50" s="66"/>
      <c r="J50" s="66"/>
      <c r="K50" s="66"/>
    </row>
    <row r="51" spans="1:11">
      <c r="A51" s="66" t="s">
        <v>649</v>
      </c>
      <c r="B51" s="66"/>
      <c r="C51" s="66"/>
      <c r="D51" s="66"/>
      <c r="E51" s="66"/>
      <c r="F51" s="66"/>
      <c r="G51" s="66"/>
      <c r="H51" s="66"/>
      <c r="I51" s="66"/>
      <c r="J51" s="66"/>
      <c r="K51" s="66"/>
    </row>
    <row r="52" spans="1:11">
      <c r="A52" s="66" t="s">
        <v>265</v>
      </c>
      <c r="B52" s="66"/>
      <c r="C52" s="66"/>
      <c r="D52" s="66"/>
      <c r="E52" s="66"/>
      <c r="F52" s="66"/>
      <c r="G52" s="66"/>
      <c r="H52" s="66"/>
      <c r="I52" s="66"/>
      <c r="J52" s="66"/>
      <c r="K52" s="66"/>
    </row>
    <row r="53" spans="1:11">
      <c r="A53" s="66" t="s">
        <v>80</v>
      </c>
      <c r="B53" s="66"/>
      <c r="C53" s="66"/>
      <c r="D53" s="66"/>
      <c r="E53" s="66"/>
      <c r="F53" s="66"/>
      <c r="G53" s="66"/>
      <c r="H53" s="66"/>
      <c r="I53" s="66"/>
      <c r="J53" s="66"/>
      <c r="K53" s="66"/>
    </row>
    <row r="54" spans="1:11">
      <c r="A54" s="66" t="s">
        <v>81</v>
      </c>
      <c r="B54" s="66"/>
      <c r="C54" s="66"/>
      <c r="D54" s="66"/>
      <c r="E54" s="66"/>
      <c r="F54" s="66"/>
      <c r="G54" s="66"/>
      <c r="H54" s="66"/>
      <c r="I54" s="66"/>
      <c r="J54" s="66"/>
      <c r="K54" s="66"/>
    </row>
    <row r="55" spans="1:11">
      <c r="A55" s="66" t="s">
        <v>650</v>
      </c>
      <c r="B55" s="66"/>
      <c r="C55" s="66"/>
      <c r="D55" s="66"/>
      <c r="E55" s="66"/>
      <c r="F55" s="66"/>
      <c r="G55" s="66"/>
      <c r="H55" s="66"/>
      <c r="I55" s="66"/>
      <c r="J55" s="66"/>
      <c r="K55" s="66"/>
    </row>
    <row r="56" spans="1:11">
      <c r="A56" s="66" t="s">
        <v>651</v>
      </c>
      <c r="B56" s="66"/>
      <c r="C56" s="66"/>
      <c r="D56" s="66"/>
      <c r="E56" s="66"/>
      <c r="F56" s="66"/>
      <c r="G56" s="66"/>
      <c r="H56" s="66"/>
      <c r="I56" s="66"/>
      <c r="J56" s="66"/>
      <c r="K56" s="66"/>
    </row>
    <row r="57" spans="1:11">
      <c r="A57" s="66" t="s">
        <v>652</v>
      </c>
      <c r="B57" s="66"/>
      <c r="C57" s="66"/>
      <c r="D57" s="66"/>
      <c r="E57" s="66"/>
      <c r="F57" s="66"/>
      <c r="G57" s="66"/>
      <c r="H57" s="66"/>
      <c r="I57" s="66"/>
      <c r="J57" s="66"/>
      <c r="K57" s="66"/>
    </row>
    <row r="58" spans="1:11">
      <c r="A58" s="66" t="s">
        <v>653</v>
      </c>
      <c r="B58" s="66"/>
      <c r="C58" s="66"/>
      <c r="D58" s="66"/>
      <c r="E58" s="66"/>
      <c r="F58" s="66"/>
      <c r="G58" s="66"/>
      <c r="H58" s="66"/>
      <c r="I58" s="66"/>
      <c r="J58" s="66"/>
      <c r="K58" s="66"/>
    </row>
    <row r="59" spans="1:11">
      <c r="A59" s="66" t="s">
        <v>654</v>
      </c>
      <c r="B59" s="66"/>
      <c r="C59" s="66"/>
      <c r="D59" s="66"/>
      <c r="E59" s="66"/>
      <c r="F59" s="66"/>
      <c r="G59" s="66"/>
      <c r="H59" s="66"/>
      <c r="I59" s="66"/>
      <c r="J59" s="66"/>
      <c r="K59" s="66"/>
    </row>
    <row r="60" spans="1:11">
      <c r="A60" s="66" t="s">
        <v>264</v>
      </c>
      <c r="B60" s="66"/>
      <c r="C60" s="66"/>
      <c r="D60" s="66"/>
      <c r="E60" s="66"/>
      <c r="F60" s="66"/>
      <c r="G60" s="66"/>
      <c r="H60" s="66"/>
      <c r="I60" s="66"/>
      <c r="J60" s="66"/>
      <c r="K60" s="66"/>
    </row>
    <row r="61" spans="1:11">
      <c r="A61" s="66" t="s">
        <v>655</v>
      </c>
      <c r="B61" s="66"/>
      <c r="C61" s="66"/>
      <c r="D61" s="66"/>
      <c r="E61" s="66"/>
      <c r="F61" s="66"/>
      <c r="G61" s="66"/>
      <c r="H61" s="66"/>
      <c r="I61" s="66"/>
      <c r="J61" s="66"/>
      <c r="K61" s="66"/>
    </row>
    <row r="62" spans="1:11">
      <c r="A62" s="66" t="s">
        <v>656</v>
      </c>
      <c r="B62" s="66"/>
      <c r="C62" s="66"/>
      <c r="D62" s="66"/>
      <c r="E62" s="66"/>
      <c r="F62" s="66"/>
      <c r="G62" s="66"/>
      <c r="H62" s="66"/>
      <c r="I62" s="66"/>
      <c r="J62" s="66"/>
      <c r="K62" s="66"/>
    </row>
    <row r="63" spans="1:11">
      <c r="A63" s="66" t="s">
        <v>82</v>
      </c>
      <c r="B63" s="66"/>
      <c r="C63" s="66"/>
      <c r="D63" s="66"/>
      <c r="E63" s="66"/>
      <c r="F63" s="66"/>
      <c r="G63" s="66"/>
      <c r="H63" s="66"/>
      <c r="I63" s="66"/>
      <c r="J63" s="66"/>
      <c r="K63" s="66"/>
    </row>
    <row r="64" spans="1:11">
      <c r="A64" s="66" t="s">
        <v>657</v>
      </c>
      <c r="B64" s="66"/>
      <c r="C64" s="66"/>
      <c r="D64" s="66"/>
      <c r="E64" s="66"/>
      <c r="F64" s="66"/>
      <c r="G64" s="66"/>
      <c r="H64" s="66"/>
      <c r="I64" s="66"/>
      <c r="J64" s="66"/>
      <c r="K64" s="66"/>
    </row>
    <row r="65" spans="1:11">
      <c r="A65" s="66" t="s">
        <v>81</v>
      </c>
      <c r="B65" s="66"/>
      <c r="C65" s="66"/>
      <c r="D65" s="66"/>
      <c r="E65" s="66"/>
      <c r="F65" s="66"/>
      <c r="G65" s="66"/>
      <c r="H65" s="66"/>
      <c r="I65" s="66"/>
      <c r="J65" s="66"/>
      <c r="K65" s="66"/>
    </row>
    <row r="66" spans="1:11">
      <c r="A66" s="66" t="s">
        <v>658</v>
      </c>
      <c r="B66" s="66"/>
      <c r="C66" s="66"/>
      <c r="D66" s="66"/>
      <c r="E66" s="66"/>
      <c r="F66" s="66"/>
      <c r="G66" s="66"/>
      <c r="H66" s="66"/>
      <c r="I66" s="66"/>
      <c r="J66" s="66"/>
      <c r="K66" s="66"/>
    </row>
    <row r="67" spans="1:11">
      <c r="A67" s="66" t="s">
        <v>659</v>
      </c>
      <c r="B67" s="66"/>
      <c r="C67" s="66"/>
      <c r="D67" s="66"/>
      <c r="E67" s="66"/>
      <c r="F67" s="66"/>
      <c r="G67" s="66"/>
      <c r="H67" s="66"/>
      <c r="I67" s="66"/>
      <c r="J67" s="66"/>
      <c r="K67" s="66"/>
    </row>
    <row r="68" spans="1:11">
      <c r="A68" s="66" t="s">
        <v>660</v>
      </c>
      <c r="B68" s="66"/>
      <c r="C68" s="66"/>
      <c r="D68" s="66"/>
      <c r="E68" s="66"/>
      <c r="F68" s="66"/>
      <c r="G68" s="66"/>
      <c r="H68" s="66"/>
      <c r="I68" s="66"/>
      <c r="J68" s="66"/>
      <c r="K68" s="66"/>
    </row>
    <row r="69" spans="1:11">
      <c r="A69" s="66" t="s">
        <v>661</v>
      </c>
      <c r="B69" s="66"/>
      <c r="C69" s="66"/>
      <c r="D69" s="66"/>
      <c r="E69" s="66"/>
      <c r="F69" s="66"/>
      <c r="G69" s="66"/>
      <c r="H69" s="66"/>
      <c r="I69" s="66"/>
      <c r="J69" s="66"/>
      <c r="K69" s="66"/>
    </row>
    <row r="70" spans="1:11">
      <c r="A70" s="66" t="s">
        <v>662</v>
      </c>
      <c r="B70" s="66"/>
      <c r="C70" s="66"/>
      <c r="D70" s="66"/>
      <c r="E70" s="66"/>
      <c r="F70" s="66"/>
      <c r="G70" s="66"/>
      <c r="H70" s="66"/>
      <c r="I70" s="66"/>
      <c r="J70" s="66"/>
      <c r="K70" s="66"/>
    </row>
    <row r="71" spans="1:11">
      <c r="A71" s="66" t="s">
        <v>663</v>
      </c>
      <c r="B71" s="66"/>
      <c r="C71" s="66"/>
      <c r="D71" s="66"/>
      <c r="E71" s="66"/>
      <c r="F71" s="66"/>
      <c r="G71" s="66"/>
      <c r="H71" s="66"/>
      <c r="I71" s="66"/>
      <c r="J71" s="66"/>
      <c r="K71" s="66"/>
    </row>
    <row r="72" spans="1:11">
      <c r="A72" s="66" t="s">
        <v>81</v>
      </c>
      <c r="B72" s="66"/>
      <c r="C72" s="66"/>
      <c r="D72" s="66"/>
      <c r="E72" s="66"/>
      <c r="F72" s="66"/>
      <c r="G72" s="66"/>
      <c r="H72" s="66"/>
      <c r="I72" s="66"/>
      <c r="J72" s="66"/>
      <c r="K72" s="66"/>
    </row>
    <row r="73" spans="1:11">
      <c r="A73" s="66" t="s">
        <v>664</v>
      </c>
      <c r="B73" s="66"/>
      <c r="C73" s="66"/>
      <c r="D73" s="66"/>
      <c r="E73" s="66"/>
      <c r="F73" s="66"/>
      <c r="G73" s="66"/>
      <c r="H73" s="66"/>
      <c r="I73" s="66"/>
      <c r="J73" s="66"/>
      <c r="K73" s="66"/>
    </row>
    <row r="74" spans="1:11">
      <c r="A74" s="66" t="s">
        <v>665</v>
      </c>
      <c r="B74" s="66"/>
      <c r="C74" s="66"/>
      <c r="D74" s="66"/>
      <c r="E74" s="66"/>
      <c r="F74" s="66"/>
      <c r="G74" s="66"/>
      <c r="H74" s="66"/>
      <c r="I74" s="66"/>
      <c r="J74" s="66"/>
      <c r="K74" s="66"/>
    </row>
    <row r="75" spans="1:11">
      <c r="A75" s="66" t="s">
        <v>666</v>
      </c>
      <c r="B75" s="66"/>
      <c r="C75" s="66"/>
      <c r="D75" s="66"/>
      <c r="E75" s="66"/>
      <c r="F75" s="66"/>
      <c r="G75" s="66"/>
      <c r="H75" s="66"/>
      <c r="I75" s="66"/>
      <c r="J75" s="66"/>
      <c r="K75" s="66"/>
    </row>
    <row r="76" spans="1:11">
      <c r="A76" s="66" t="s">
        <v>77</v>
      </c>
      <c r="B76" s="66"/>
      <c r="C76" s="66"/>
      <c r="D76" s="66"/>
      <c r="E76" s="66"/>
      <c r="F76" s="66"/>
      <c r="G76" s="66"/>
      <c r="H76" s="66"/>
      <c r="I76" s="66"/>
      <c r="J76" s="66"/>
      <c r="K76" s="66"/>
    </row>
    <row r="77" spans="1:11">
      <c r="A77" s="66" t="s">
        <v>667</v>
      </c>
      <c r="B77" s="66"/>
      <c r="C77" s="66"/>
      <c r="D77" s="66"/>
      <c r="E77" s="66"/>
      <c r="F77" s="66"/>
      <c r="G77" s="66"/>
      <c r="H77" s="66"/>
      <c r="I77" s="66"/>
      <c r="J77" s="66"/>
      <c r="K77" s="66"/>
    </row>
    <row r="78" spans="1:11">
      <c r="A78" s="66" t="s">
        <v>668</v>
      </c>
      <c r="B78" s="66"/>
      <c r="C78" s="66"/>
      <c r="D78" s="66"/>
      <c r="E78" s="66"/>
      <c r="F78" s="66"/>
      <c r="G78" s="66"/>
      <c r="H78" s="66"/>
      <c r="I78" s="66"/>
      <c r="J78" s="66"/>
      <c r="K78" s="66"/>
    </row>
    <row r="79" spans="1:11">
      <c r="A79" s="66" t="s">
        <v>407</v>
      </c>
      <c r="B79" s="66"/>
      <c r="C79" s="66"/>
      <c r="D79" s="66"/>
      <c r="E79" s="66"/>
      <c r="F79" s="66"/>
      <c r="G79" s="66"/>
      <c r="H79" s="66"/>
      <c r="I79" s="66"/>
      <c r="J79" s="66"/>
      <c r="K79" s="66"/>
    </row>
    <row r="80" spans="1:11">
      <c r="A80" s="66" t="s">
        <v>669</v>
      </c>
      <c r="B80" s="66"/>
      <c r="C80" s="66"/>
      <c r="D80" s="66"/>
      <c r="E80" s="66"/>
      <c r="F80" s="66"/>
      <c r="G80" s="66"/>
      <c r="H80" s="66"/>
      <c r="I80" s="66"/>
      <c r="J80" s="66"/>
      <c r="K80" s="66"/>
    </row>
    <row r="81" spans="1:11">
      <c r="A81" s="66" t="s">
        <v>670</v>
      </c>
      <c r="B81" s="66"/>
      <c r="C81" s="66"/>
      <c r="D81" s="66"/>
      <c r="E81" s="66"/>
      <c r="F81" s="66"/>
      <c r="G81" s="66"/>
      <c r="H81" s="66"/>
      <c r="I81" s="66"/>
      <c r="J81" s="66"/>
      <c r="K81" s="66"/>
    </row>
    <row r="82" spans="1:11">
      <c r="A82" s="66" t="s">
        <v>671</v>
      </c>
      <c r="B82" s="66"/>
      <c r="C82" s="66"/>
      <c r="D82" s="66"/>
      <c r="E82" s="66"/>
      <c r="F82" s="66"/>
      <c r="G82" s="66"/>
      <c r="H82" s="66"/>
      <c r="I82" s="66"/>
      <c r="J82" s="66"/>
      <c r="K82" s="66"/>
    </row>
    <row r="83" spans="1:11">
      <c r="A83" s="66" t="s">
        <v>672</v>
      </c>
      <c r="B83" s="66"/>
      <c r="C83" s="66"/>
      <c r="D83" s="66"/>
      <c r="E83" s="66"/>
      <c r="F83" s="66"/>
      <c r="G83" s="66"/>
      <c r="H83" s="66"/>
      <c r="I83" s="66"/>
      <c r="J83" s="66"/>
      <c r="K83" s="66"/>
    </row>
    <row r="84" spans="1:11">
      <c r="A84" s="66" t="s">
        <v>673</v>
      </c>
      <c r="B84" s="66"/>
      <c r="C84" s="66"/>
      <c r="D84" s="66"/>
      <c r="E84" s="66"/>
      <c r="F84" s="66"/>
      <c r="G84" s="66"/>
      <c r="H84" s="66"/>
      <c r="I84" s="66"/>
      <c r="J84" s="66"/>
      <c r="K84" s="66"/>
    </row>
    <row r="85" spans="1:11">
      <c r="A85" s="66" t="s">
        <v>674</v>
      </c>
      <c r="B85" s="66"/>
      <c r="C85" s="66"/>
      <c r="D85" s="66"/>
      <c r="E85" s="66"/>
      <c r="F85" s="66"/>
      <c r="G85" s="66"/>
      <c r="H85" s="66"/>
      <c r="I85" s="66"/>
      <c r="J85" s="66"/>
      <c r="K85" s="66"/>
    </row>
    <row r="86" spans="1:11">
      <c r="A86" s="66" t="s">
        <v>675</v>
      </c>
      <c r="B86" s="66"/>
      <c r="C86" s="66"/>
      <c r="D86" s="66"/>
      <c r="E86" s="66"/>
      <c r="F86" s="66"/>
      <c r="G86" s="66"/>
      <c r="H86" s="66"/>
      <c r="I86" s="66"/>
      <c r="J86" s="66"/>
      <c r="K86" s="66"/>
    </row>
    <row r="87" spans="1:11">
      <c r="A87" s="66" t="s">
        <v>676</v>
      </c>
      <c r="B87" s="66"/>
      <c r="C87" s="66"/>
      <c r="D87" s="66"/>
      <c r="E87" s="66"/>
      <c r="F87" s="66"/>
      <c r="G87" s="66"/>
      <c r="H87" s="66"/>
      <c r="I87" s="66"/>
      <c r="J87" s="66"/>
      <c r="K87" s="66"/>
    </row>
    <row r="88" spans="1:11">
      <c r="A88" s="66" t="s">
        <v>76</v>
      </c>
      <c r="B88" s="66"/>
      <c r="C88" s="66"/>
      <c r="D88" s="66"/>
      <c r="E88" s="66"/>
      <c r="F88" s="66"/>
      <c r="G88" s="66"/>
      <c r="H88" s="66"/>
      <c r="I88" s="66"/>
      <c r="J88" s="66"/>
      <c r="K88" s="66"/>
    </row>
    <row r="89" spans="1:11">
      <c r="A89" s="66" t="s">
        <v>77</v>
      </c>
      <c r="B89" s="66"/>
      <c r="C89" s="66"/>
      <c r="D89" s="66"/>
      <c r="E89" s="66"/>
      <c r="F89" s="66"/>
      <c r="G89" s="66"/>
      <c r="H89" s="66"/>
      <c r="I89" s="66"/>
      <c r="J89" s="66"/>
      <c r="K89" s="66"/>
    </row>
    <row r="90" spans="1:11">
      <c r="A90" s="66" t="s">
        <v>677</v>
      </c>
      <c r="B90" s="66"/>
      <c r="C90" s="66"/>
      <c r="D90" s="66"/>
      <c r="E90" s="66"/>
      <c r="F90" s="66"/>
      <c r="G90" s="66"/>
      <c r="H90" s="66"/>
      <c r="I90" s="66"/>
      <c r="J90" s="66"/>
      <c r="K90" s="66"/>
    </row>
    <row r="91" spans="1:11">
      <c r="A91" s="66" t="s">
        <v>678</v>
      </c>
      <c r="B91" s="66"/>
      <c r="C91" s="66"/>
      <c r="D91" s="66"/>
      <c r="E91" s="66"/>
      <c r="F91" s="66"/>
      <c r="G91" s="66"/>
      <c r="H91" s="66"/>
      <c r="I91" s="66"/>
      <c r="J91" s="66"/>
      <c r="K91" s="66"/>
    </row>
    <row r="92" spans="1:11">
      <c r="A92" s="66" t="s">
        <v>678</v>
      </c>
      <c r="B92" s="66"/>
      <c r="C92" s="66"/>
      <c r="D92" s="66"/>
      <c r="E92" s="66"/>
      <c r="F92" s="66"/>
      <c r="G92" s="66"/>
      <c r="H92" s="66"/>
      <c r="I92" s="66"/>
      <c r="J92" s="66"/>
      <c r="K92" s="66"/>
    </row>
    <row r="93" spans="1:11">
      <c r="A93" s="66" t="s">
        <v>438</v>
      </c>
      <c r="B93" s="66"/>
      <c r="C93" s="66"/>
      <c r="D93" s="66"/>
      <c r="E93" s="66"/>
      <c r="F93" s="66"/>
      <c r="G93" s="66"/>
      <c r="H93" s="66"/>
      <c r="I93" s="66"/>
      <c r="J93" s="66"/>
      <c r="K93" s="66"/>
    </row>
    <row r="94" spans="1:11">
      <c r="A94" s="66" t="s">
        <v>647</v>
      </c>
      <c r="B94" s="66"/>
      <c r="C94" s="66"/>
      <c r="D94" s="66"/>
      <c r="E94" s="66"/>
      <c r="F94" s="66"/>
      <c r="G94" s="66"/>
      <c r="H94" s="66"/>
      <c r="I94" s="66"/>
      <c r="J94" s="66"/>
      <c r="K94" s="66"/>
    </row>
    <row r="95" spans="1:11">
      <c r="A95" s="66" t="s">
        <v>679</v>
      </c>
      <c r="B95" s="66"/>
      <c r="C95" s="66"/>
      <c r="D95" s="66"/>
      <c r="E95" s="66"/>
      <c r="F95" s="66"/>
      <c r="G95" s="66"/>
      <c r="H95" s="66"/>
      <c r="I95" s="66"/>
      <c r="J95" s="66"/>
      <c r="K95" s="66"/>
    </row>
    <row r="96" spans="1:11">
      <c r="A96" s="66" t="s">
        <v>680</v>
      </c>
      <c r="B96" s="66"/>
      <c r="C96" s="66"/>
      <c r="D96" s="66"/>
      <c r="E96" s="66"/>
      <c r="F96" s="66"/>
      <c r="G96" s="66"/>
      <c r="H96" s="66"/>
      <c r="I96" s="66"/>
      <c r="J96" s="66"/>
      <c r="K96" s="66"/>
    </row>
    <row r="97" spans="1:11">
      <c r="A97" s="66" t="s">
        <v>490</v>
      </c>
      <c r="B97" s="66"/>
      <c r="C97" s="66"/>
      <c r="D97" s="66"/>
      <c r="E97" s="66"/>
      <c r="F97" s="66"/>
      <c r="G97" s="66"/>
      <c r="H97" s="66"/>
      <c r="I97" s="66"/>
      <c r="J97" s="66"/>
      <c r="K97" s="66"/>
    </row>
    <row r="98" spans="1:11">
      <c r="A98" s="66" t="s">
        <v>681</v>
      </c>
      <c r="B98" s="66"/>
      <c r="C98" s="66"/>
      <c r="D98" s="66"/>
      <c r="E98" s="66"/>
      <c r="F98" s="66"/>
      <c r="G98" s="66"/>
      <c r="H98" s="66"/>
      <c r="I98" s="66"/>
      <c r="J98" s="66"/>
      <c r="K98" s="66"/>
    </row>
    <row r="99" spans="1:11">
      <c r="A99" s="66" t="s">
        <v>682</v>
      </c>
      <c r="B99" s="66"/>
      <c r="C99" s="66"/>
      <c r="D99" s="66"/>
      <c r="E99" s="66"/>
      <c r="F99" s="66"/>
      <c r="G99" s="66"/>
      <c r="H99" s="66"/>
      <c r="I99" s="66"/>
      <c r="J99" s="66"/>
      <c r="K99" s="66"/>
    </row>
    <row r="100" spans="1:11">
      <c r="A100" s="66" t="s">
        <v>683</v>
      </c>
      <c r="B100" s="66"/>
      <c r="C100" s="66"/>
      <c r="D100" s="66"/>
      <c r="E100" s="66"/>
      <c r="F100" s="66"/>
      <c r="G100" s="66"/>
      <c r="H100" s="66"/>
      <c r="I100" s="66"/>
      <c r="J100" s="66"/>
      <c r="K100" s="66"/>
    </row>
    <row r="101" spans="1:11">
      <c r="A101" s="66" t="s">
        <v>684</v>
      </c>
      <c r="B101" s="66"/>
      <c r="C101" s="66"/>
      <c r="D101" s="66"/>
      <c r="E101" s="66"/>
      <c r="F101" s="66"/>
      <c r="G101" s="66"/>
      <c r="H101" s="66"/>
      <c r="I101" s="66"/>
      <c r="J101" s="66"/>
      <c r="K101" s="66"/>
    </row>
    <row r="102" spans="1:11">
      <c r="A102" s="66" t="s">
        <v>685</v>
      </c>
      <c r="B102" s="66"/>
      <c r="C102" s="66"/>
      <c r="D102" s="66"/>
      <c r="E102" s="66"/>
      <c r="F102" s="66"/>
      <c r="G102" s="66"/>
      <c r="H102" s="66"/>
      <c r="I102" s="66"/>
      <c r="J102" s="66"/>
      <c r="K102" s="66"/>
    </row>
    <row r="103" spans="1:11">
      <c r="A103" s="66" t="s">
        <v>686</v>
      </c>
      <c r="B103" s="66"/>
      <c r="C103" s="66"/>
      <c r="D103" s="66"/>
      <c r="E103" s="66"/>
      <c r="F103" s="66"/>
      <c r="G103" s="66"/>
      <c r="H103" s="66"/>
      <c r="I103" s="66"/>
      <c r="J103" s="66"/>
      <c r="K103" s="66"/>
    </row>
    <row r="104" spans="1:11">
      <c r="A104" s="66" t="s">
        <v>687</v>
      </c>
      <c r="B104" s="66"/>
      <c r="C104" s="66"/>
      <c r="D104" s="66"/>
      <c r="E104" s="66"/>
      <c r="F104" s="66"/>
      <c r="G104" s="66"/>
      <c r="H104" s="66"/>
      <c r="I104" s="66"/>
      <c r="J104" s="66"/>
      <c r="K104" s="66"/>
    </row>
    <row r="105" spans="1:11">
      <c r="A105" s="66" t="s">
        <v>688</v>
      </c>
      <c r="B105" s="66"/>
      <c r="C105" s="66"/>
      <c r="D105" s="66"/>
      <c r="E105" s="66"/>
      <c r="F105" s="66"/>
      <c r="G105" s="66"/>
      <c r="H105" s="66"/>
      <c r="I105" s="66"/>
      <c r="J105" s="66"/>
      <c r="K105" s="66"/>
    </row>
    <row r="106" spans="1:11">
      <c r="A106" s="66" t="s">
        <v>78</v>
      </c>
      <c r="B106" s="66"/>
      <c r="C106" s="66"/>
      <c r="D106" s="66"/>
      <c r="E106" s="66"/>
      <c r="F106" s="66"/>
      <c r="G106" s="66"/>
      <c r="H106" s="66"/>
      <c r="I106" s="66"/>
      <c r="J106" s="66"/>
      <c r="K106" s="66"/>
    </row>
    <row r="107" spans="1:11">
      <c r="A107" s="66" t="s">
        <v>79</v>
      </c>
      <c r="B107" s="66"/>
      <c r="C107" s="66"/>
      <c r="D107" s="66"/>
      <c r="E107" s="66"/>
      <c r="F107" s="66"/>
      <c r="G107" s="66"/>
      <c r="H107" s="66"/>
      <c r="I107" s="66"/>
      <c r="J107" s="66"/>
      <c r="K107" s="66"/>
    </row>
    <row r="108" spans="1:11">
      <c r="A108" s="66" t="s">
        <v>80</v>
      </c>
      <c r="B108" s="66"/>
      <c r="C108" s="66"/>
      <c r="D108" s="66"/>
      <c r="E108" s="66"/>
      <c r="F108" s="66"/>
      <c r="G108" s="66"/>
      <c r="H108" s="66"/>
      <c r="I108" s="66"/>
      <c r="J108" s="66"/>
      <c r="K108" s="66"/>
    </row>
    <row r="109" spans="1:11">
      <c r="A109" s="66" t="s">
        <v>76</v>
      </c>
      <c r="B109" s="66"/>
      <c r="C109" s="66"/>
      <c r="D109" s="66"/>
      <c r="E109" s="66"/>
      <c r="F109" s="66"/>
      <c r="G109" s="66"/>
      <c r="H109" s="66"/>
      <c r="I109" s="66"/>
      <c r="J109" s="66"/>
      <c r="K109" s="66"/>
    </row>
    <row r="110" spans="1:11">
      <c r="A110" s="66" t="s">
        <v>77</v>
      </c>
      <c r="B110" s="66"/>
      <c r="C110" s="66"/>
      <c r="D110" s="66"/>
      <c r="E110" s="66"/>
      <c r="F110" s="66"/>
      <c r="G110" s="66"/>
      <c r="H110" s="66"/>
      <c r="I110" s="66"/>
      <c r="J110" s="66"/>
      <c r="K110" s="66"/>
    </row>
    <row r="111" spans="1:11">
      <c r="A111" s="66" t="s">
        <v>689</v>
      </c>
      <c r="B111" s="66"/>
      <c r="C111" s="66"/>
      <c r="D111" s="66"/>
      <c r="E111" s="66"/>
      <c r="F111" s="66"/>
      <c r="G111" s="66"/>
      <c r="H111" s="66"/>
      <c r="I111" s="66"/>
      <c r="J111" s="66"/>
      <c r="K111" s="66"/>
    </row>
    <row r="112" spans="1:11">
      <c r="A112" s="66" t="s">
        <v>690</v>
      </c>
      <c r="B112" s="66"/>
      <c r="C112" s="66"/>
      <c r="D112" s="66"/>
      <c r="E112" s="66"/>
      <c r="F112" s="66"/>
      <c r="G112" s="66"/>
      <c r="H112" s="66"/>
      <c r="I112" s="66"/>
      <c r="J112" s="66"/>
      <c r="K112" s="66"/>
    </row>
    <row r="113" spans="1:11">
      <c r="A113" s="66" t="s">
        <v>691</v>
      </c>
      <c r="B113" s="66"/>
      <c r="C113" s="66"/>
      <c r="D113" s="66"/>
      <c r="E113" s="66"/>
      <c r="F113" s="66"/>
      <c r="G113" s="66"/>
      <c r="H113" s="66"/>
      <c r="I113" s="66"/>
      <c r="J113" s="66"/>
      <c r="K113" s="66"/>
    </row>
    <row r="114" spans="1:11">
      <c r="A114" s="66" t="s">
        <v>692</v>
      </c>
      <c r="B114" s="66"/>
      <c r="C114" s="66"/>
      <c r="D114" s="66"/>
      <c r="E114" s="66"/>
      <c r="F114" s="66"/>
      <c r="G114" s="66"/>
      <c r="H114" s="66"/>
      <c r="I114" s="66"/>
      <c r="J114" s="66"/>
      <c r="K114" s="66"/>
    </row>
    <row r="115" spans="1:11">
      <c r="A115" s="66" t="s">
        <v>693</v>
      </c>
      <c r="B115" s="66"/>
      <c r="C115" s="66"/>
      <c r="D115" s="66"/>
      <c r="E115" s="66"/>
      <c r="F115" s="66"/>
      <c r="G115" s="66"/>
      <c r="H115" s="66"/>
      <c r="I115" s="66"/>
      <c r="J115" s="66"/>
      <c r="K115" s="66"/>
    </row>
    <row r="116" spans="1:11">
      <c r="A116" s="66" t="s">
        <v>694</v>
      </c>
      <c r="B116" s="66"/>
      <c r="C116" s="66"/>
      <c r="D116" s="66"/>
      <c r="E116" s="66"/>
      <c r="F116" s="66"/>
      <c r="G116" s="66"/>
      <c r="H116" s="66"/>
      <c r="I116" s="66"/>
      <c r="J116" s="66"/>
      <c r="K116" s="66"/>
    </row>
    <row r="117" spans="1:11">
      <c r="A117" s="66" t="s">
        <v>695</v>
      </c>
      <c r="B117" s="66"/>
      <c r="C117" s="66"/>
      <c r="D117" s="66"/>
      <c r="E117" s="66"/>
      <c r="F117" s="66"/>
      <c r="G117" s="66"/>
      <c r="H117" s="66"/>
      <c r="I117" s="66"/>
      <c r="J117" s="66"/>
      <c r="K117" s="66"/>
    </row>
    <row r="118" spans="1:11">
      <c r="A118" s="66" t="s">
        <v>696</v>
      </c>
      <c r="B118" s="66"/>
      <c r="C118" s="66"/>
      <c r="D118" s="66"/>
      <c r="E118" s="66"/>
      <c r="F118" s="66"/>
      <c r="G118" s="66"/>
      <c r="H118" s="66"/>
      <c r="I118" s="66"/>
      <c r="J118" s="66"/>
      <c r="K118" s="66"/>
    </row>
    <row r="119" spans="1:11">
      <c r="A119" s="66" t="s">
        <v>697</v>
      </c>
      <c r="B119" s="66"/>
      <c r="C119" s="66"/>
      <c r="D119" s="66"/>
      <c r="E119" s="66"/>
      <c r="F119" s="66"/>
      <c r="G119" s="66"/>
      <c r="H119" s="66"/>
      <c r="I119" s="66"/>
      <c r="J119" s="66"/>
      <c r="K119" s="66"/>
    </row>
    <row r="120" spans="1:11">
      <c r="A120" s="66" t="s">
        <v>698</v>
      </c>
      <c r="B120" s="66"/>
      <c r="C120" s="66"/>
      <c r="D120" s="66"/>
      <c r="E120" s="66"/>
      <c r="F120" s="66"/>
      <c r="G120" s="66"/>
      <c r="H120" s="66"/>
      <c r="I120" s="66"/>
      <c r="J120" s="66"/>
      <c r="K120" s="66"/>
    </row>
    <row r="121" spans="1:11">
      <c r="A121" s="66" t="s">
        <v>699</v>
      </c>
      <c r="B121" s="66"/>
      <c r="C121" s="66"/>
      <c r="D121" s="66"/>
      <c r="E121" s="66"/>
      <c r="F121" s="66"/>
      <c r="G121" s="66"/>
      <c r="H121" s="66"/>
      <c r="I121" s="66"/>
      <c r="J121" s="66"/>
      <c r="K121" s="66"/>
    </row>
    <row r="122" spans="1:11">
      <c r="A122" s="66" t="s">
        <v>700</v>
      </c>
      <c r="B122" s="66"/>
      <c r="C122" s="66"/>
      <c r="D122" s="66"/>
      <c r="E122" s="66"/>
      <c r="F122" s="66"/>
      <c r="G122" s="66"/>
      <c r="H122" s="66"/>
      <c r="I122" s="66"/>
      <c r="J122" s="66"/>
      <c r="K122" s="66"/>
    </row>
    <row r="123" spans="1:11">
      <c r="A123" s="66" t="s">
        <v>701</v>
      </c>
      <c r="B123" s="66"/>
      <c r="C123" s="66"/>
      <c r="D123" s="66"/>
      <c r="E123" s="66"/>
      <c r="F123" s="66"/>
      <c r="G123" s="66"/>
      <c r="H123" s="66"/>
      <c r="I123" s="66"/>
      <c r="J123" s="66"/>
      <c r="K123" s="66"/>
    </row>
    <row r="124" spans="1:11">
      <c r="A124" s="66" t="s">
        <v>702</v>
      </c>
      <c r="B124" s="66"/>
      <c r="C124" s="66"/>
      <c r="D124" s="66"/>
      <c r="E124" s="66"/>
      <c r="F124" s="66"/>
      <c r="G124" s="66"/>
      <c r="H124" s="66"/>
      <c r="I124" s="66"/>
      <c r="J124" s="66"/>
      <c r="K124" s="66"/>
    </row>
    <row r="125" spans="1:11">
      <c r="A125" s="66" t="s">
        <v>703</v>
      </c>
      <c r="B125" s="66"/>
      <c r="C125" s="66"/>
      <c r="D125" s="66"/>
      <c r="E125" s="66"/>
      <c r="F125" s="66"/>
      <c r="G125" s="66"/>
      <c r="H125" s="66"/>
      <c r="I125" s="66"/>
      <c r="J125" s="66"/>
      <c r="K125" s="66"/>
    </row>
    <row r="126" spans="1:11">
      <c r="A126" s="66" t="s">
        <v>704</v>
      </c>
      <c r="B126" s="66"/>
      <c r="C126" s="66"/>
      <c r="D126" s="66"/>
      <c r="E126" s="66"/>
      <c r="F126" s="66"/>
      <c r="G126" s="66"/>
      <c r="H126" s="66"/>
      <c r="I126" s="66"/>
      <c r="J126" s="66"/>
      <c r="K126" s="66"/>
    </row>
    <row r="127" spans="1:11">
      <c r="A127" s="66" t="s">
        <v>705</v>
      </c>
      <c r="B127" s="66"/>
      <c r="C127" s="66"/>
      <c r="D127" s="66"/>
      <c r="E127" s="66"/>
      <c r="F127" s="66"/>
      <c r="G127" s="66"/>
      <c r="H127" s="66"/>
      <c r="I127" s="66"/>
      <c r="J127" s="66"/>
      <c r="K127" s="66"/>
    </row>
    <row r="128" spans="1:11">
      <c r="A128" s="66" t="s">
        <v>82</v>
      </c>
      <c r="B128" s="66"/>
      <c r="C128" s="66"/>
      <c r="D128" s="66"/>
      <c r="E128" s="66"/>
      <c r="F128" s="66"/>
      <c r="G128" s="66"/>
      <c r="H128" s="66"/>
      <c r="I128" s="66"/>
      <c r="J128" s="66"/>
      <c r="K128" s="66"/>
    </row>
    <row r="129" spans="1:11">
      <c r="A129" s="66" t="s">
        <v>706</v>
      </c>
      <c r="B129" s="66"/>
      <c r="C129" s="66"/>
      <c r="D129" s="66"/>
      <c r="E129" s="66"/>
      <c r="F129" s="66"/>
      <c r="G129" s="66"/>
      <c r="H129" s="66"/>
      <c r="I129" s="66"/>
      <c r="J129" s="66"/>
      <c r="K129" s="66"/>
    </row>
    <row r="130" spans="1:11">
      <c r="A130" s="66" t="s">
        <v>702</v>
      </c>
      <c r="B130" s="66"/>
      <c r="C130" s="66"/>
      <c r="D130" s="66"/>
      <c r="E130" s="66"/>
      <c r="F130" s="66"/>
      <c r="G130" s="66"/>
      <c r="H130" s="66"/>
      <c r="I130" s="66"/>
      <c r="J130" s="66"/>
      <c r="K130" s="66"/>
    </row>
    <row r="131" spans="1:11">
      <c r="A131" s="66" t="s">
        <v>703</v>
      </c>
      <c r="B131" s="66"/>
      <c r="C131" s="66"/>
      <c r="D131" s="66"/>
      <c r="E131" s="66"/>
      <c r="F131" s="66"/>
      <c r="G131" s="66"/>
      <c r="H131" s="66"/>
      <c r="I131" s="66"/>
      <c r="J131" s="66"/>
      <c r="K131" s="66"/>
    </row>
    <row r="132" spans="1:11">
      <c r="A132" s="66" t="s">
        <v>704</v>
      </c>
      <c r="B132" s="66"/>
      <c r="C132" s="66"/>
      <c r="D132" s="66"/>
      <c r="E132" s="66"/>
      <c r="F132" s="66"/>
      <c r="G132" s="66"/>
      <c r="H132" s="66"/>
      <c r="I132" s="66"/>
      <c r="J132" s="66"/>
      <c r="K132" s="66"/>
    </row>
    <row r="133" spans="1:11">
      <c r="A133" s="66" t="s">
        <v>707</v>
      </c>
      <c r="B133" s="66"/>
      <c r="C133" s="66"/>
      <c r="D133" s="66"/>
      <c r="E133" s="66"/>
      <c r="F133" s="66"/>
      <c r="G133" s="66"/>
      <c r="H133" s="66"/>
      <c r="I133" s="66"/>
      <c r="J133" s="66"/>
      <c r="K133" s="66"/>
    </row>
    <row r="134" spans="1:11">
      <c r="A134" s="66" t="s">
        <v>82</v>
      </c>
      <c r="B134" s="66"/>
      <c r="C134" s="66"/>
      <c r="D134" s="66"/>
      <c r="E134" s="66"/>
      <c r="F134" s="66"/>
      <c r="G134" s="66"/>
      <c r="H134" s="66"/>
      <c r="I134" s="66"/>
      <c r="J134" s="66"/>
      <c r="K134" s="66"/>
    </row>
    <row r="135" spans="1:11">
      <c r="A135" s="66" t="s">
        <v>708</v>
      </c>
      <c r="B135" s="66"/>
      <c r="C135" s="66"/>
      <c r="D135" s="66"/>
      <c r="E135" s="66"/>
      <c r="F135" s="66"/>
      <c r="G135" s="66"/>
      <c r="H135" s="66"/>
      <c r="I135" s="66"/>
      <c r="J135" s="66"/>
      <c r="K135" s="66"/>
    </row>
    <row r="136" spans="1:11">
      <c r="A136" s="66" t="s">
        <v>709</v>
      </c>
      <c r="B136" s="66"/>
      <c r="C136" s="66"/>
      <c r="D136" s="66"/>
      <c r="E136" s="66"/>
      <c r="F136" s="66"/>
      <c r="G136" s="66"/>
      <c r="H136" s="66"/>
      <c r="I136" s="66"/>
      <c r="J136" s="66"/>
      <c r="K136" s="66"/>
    </row>
    <row r="137" spans="1:11">
      <c r="A137" s="66" t="s">
        <v>710</v>
      </c>
      <c r="B137" s="66"/>
      <c r="C137" s="66"/>
      <c r="D137" s="66"/>
      <c r="E137" s="66"/>
      <c r="F137" s="66"/>
      <c r="G137" s="66"/>
      <c r="H137" s="66"/>
      <c r="I137" s="66"/>
      <c r="J137" s="66"/>
      <c r="K137" s="66"/>
    </row>
    <row r="138" spans="1:11">
      <c r="A138" s="66" t="s">
        <v>76</v>
      </c>
      <c r="B138" s="66"/>
      <c r="C138" s="66"/>
      <c r="D138" s="66"/>
      <c r="E138" s="66"/>
      <c r="F138" s="66"/>
      <c r="G138" s="66"/>
      <c r="H138" s="66"/>
      <c r="I138" s="66"/>
      <c r="J138" s="66"/>
      <c r="K138" s="66"/>
    </row>
    <row r="139" spans="1:11">
      <c r="A139" s="66" t="s">
        <v>77</v>
      </c>
      <c r="B139" s="66"/>
      <c r="C139" s="66"/>
      <c r="D139" s="66"/>
      <c r="E139" s="66"/>
      <c r="F139" s="66"/>
      <c r="G139" s="66"/>
      <c r="H139" s="66"/>
      <c r="I139" s="66"/>
      <c r="J139" s="66"/>
      <c r="K139" s="66"/>
    </row>
    <row r="140" spans="1:11">
      <c r="A140" s="66" t="s">
        <v>711</v>
      </c>
      <c r="B140" s="66"/>
      <c r="C140" s="66"/>
      <c r="D140" s="66"/>
      <c r="E140" s="66"/>
      <c r="F140" s="66"/>
      <c r="G140" s="66"/>
      <c r="H140" s="66"/>
      <c r="I140" s="66"/>
      <c r="J140" s="66"/>
      <c r="K140" s="66"/>
    </row>
    <row r="141" spans="1:11">
      <c r="A141" s="66" t="s">
        <v>712</v>
      </c>
      <c r="B141" s="66"/>
      <c r="C141" s="66"/>
      <c r="D141" s="66"/>
      <c r="E141" s="66"/>
      <c r="F141" s="66"/>
      <c r="G141" s="66"/>
      <c r="H141" s="66"/>
      <c r="I141" s="66"/>
      <c r="J141" s="66"/>
      <c r="K141" s="66"/>
    </row>
    <row r="142" spans="1:11">
      <c r="A142" s="66" t="s">
        <v>407</v>
      </c>
      <c r="B142" s="66"/>
      <c r="C142" s="66"/>
      <c r="D142" s="66"/>
      <c r="E142" s="66"/>
      <c r="F142" s="66"/>
      <c r="G142" s="66"/>
      <c r="H142" s="66"/>
      <c r="I142" s="66"/>
      <c r="J142" s="66"/>
      <c r="K142" s="66"/>
    </row>
    <row r="143" spans="1:11">
      <c r="A143" s="66" t="s">
        <v>713</v>
      </c>
      <c r="B143" s="66"/>
      <c r="C143" s="66"/>
      <c r="D143" s="66"/>
      <c r="E143" s="66"/>
      <c r="F143" s="66"/>
      <c r="G143" s="66"/>
      <c r="H143" s="66"/>
      <c r="I143" s="66"/>
      <c r="J143" s="66"/>
      <c r="K143" s="66"/>
    </row>
    <row r="144" spans="1:11">
      <c r="A144" s="66" t="s">
        <v>714</v>
      </c>
      <c r="B144" s="66"/>
      <c r="C144" s="66"/>
      <c r="D144" s="66"/>
      <c r="E144" s="66"/>
      <c r="F144" s="66"/>
      <c r="G144" s="66"/>
      <c r="H144" s="66"/>
      <c r="I144" s="66"/>
      <c r="J144" s="66"/>
      <c r="K144" s="66"/>
    </row>
    <row r="145" spans="1:11">
      <c r="A145" s="66" t="s">
        <v>715</v>
      </c>
      <c r="B145" s="66"/>
      <c r="C145" s="66"/>
      <c r="D145" s="66"/>
      <c r="E145" s="66"/>
      <c r="F145" s="66"/>
      <c r="G145" s="66"/>
      <c r="H145" s="66"/>
      <c r="I145" s="66"/>
      <c r="J145" s="66"/>
      <c r="K145" s="66"/>
    </row>
    <row r="146" spans="1:11">
      <c r="A146" s="66" t="s">
        <v>716</v>
      </c>
      <c r="B146" s="66"/>
      <c r="C146" s="66"/>
      <c r="D146" s="66"/>
      <c r="E146" s="66"/>
      <c r="F146" s="66"/>
      <c r="G146" s="66"/>
      <c r="H146" s="66"/>
      <c r="I146" s="66"/>
      <c r="J146" s="66"/>
      <c r="K146" s="66"/>
    </row>
    <row r="147" spans="1:11">
      <c r="A147" s="66" t="s">
        <v>717</v>
      </c>
      <c r="B147" s="66"/>
      <c r="C147" s="66"/>
      <c r="D147" s="66"/>
      <c r="E147" s="66"/>
      <c r="F147" s="66"/>
      <c r="G147" s="66"/>
      <c r="H147" s="66"/>
      <c r="I147" s="66"/>
      <c r="J147" s="66"/>
      <c r="K147" s="66"/>
    </row>
    <row r="148" spans="1:11">
      <c r="A148" s="66" t="s">
        <v>718</v>
      </c>
      <c r="B148" s="66"/>
      <c r="C148" s="66"/>
      <c r="D148" s="66"/>
      <c r="E148" s="66"/>
      <c r="F148" s="66"/>
      <c r="G148" s="66"/>
      <c r="H148" s="66"/>
      <c r="I148" s="66"/>
      <c r="J148" s="66"/>
      <c r="K148" s="66"/>
    </row>
    <row r="149" spans="1:11">
      <c r="A149" s="66" t="s">
        <v>80</v>
      </c>
      <c r="B149" s="66"/>
      <c r="C149" s="66"/>
      <c r="D149" s="66"/>
      <c r="E149" s="66"/>
      <c r="F149" s="66"/>
      <c r="G149" s="66"/>
      <c r="H149" s="66"/>
      <c r="I149" s="66"/>
      <c r="J149" s="66"/>
      <c r="K149" s="66"/>
    </row>
    <row r="150" spans="1:11">
      <c r="A150" s="66" t="s">
        <v>81</v>
      </c>
      <c r="B150" s="66"/>
      <c r="C150" s="66"/>
      <c r="D150" s="66"/>
      <c r="E150" s="66"/>
      <c r="F150" s="66"/>
      <c r="G150" s="66"/>
      <c r="H150" s="66"/>
      <c r="I150" s="66"/>
      <c r="J150" s="66"/>
      <c r="K150" s="66"/>
    </row>
    <row r="151" spans="1:11">
      <c r="A151" s="66" t="s">
        <v>719</v>
      </c>
      <c r="B151" s="66"/>
      <c r="C151" s="66"/>
      <c r="D151" s="66"/>
      <c r="E151" s="66"/>
      <c r="F151" s="66"/>
      <c r="G151" s="66"/>
      <c r="H151" s="66"/>
      <c r="I151" s="66"/>
      <c r="J151" s="66"/>
      <c r="K151" s="66"/>
    </row>
    <row r="152" spans="1:11">
      <c r="A152" s="66" t="s">
        <v>77</v>
      </c>
      <c r="B152" s="66"/>
      <c r="C152" s="66"/>
      <c r="D152" s="66"/>
      <c r="E152" s="66"/>
      <c r="F152" s="66"/>
      <c r="G152" s="66"/>
      <c r="H152" s="66"/>
      <c r="I152" s="66"/>
      <c r="J152" s="66"/>
      <c r="K152" s="66"/>
    </row>
    <row r="153" spans="1:11">
      <c r="A153" s="66" t="s">
        <v>720</v>
      </c>
      <c r="B153" s="66"/>
      <c r="C153" s="66"/>
      <c r="D153" s="66"/>
      <c r="E153" s="66"/>
      <c r="F153" s="66"/>
      <c r="G153" s="66"/>
      <c r="H153" s="66"/>
      <c r="I153" s="66"/>
      <c r="J153" s="66"/>
      <c r="K153" s="66"/>
    </row>
    <row r="154" spans="1:11">
      <c r="A154" s="66" t="s">
        <v>721</v>
      </c>
      <c r="B154" s="66"/>
      <c r="C154" s="66"/>
      <c r="D154" s="66"/>
      <c r="E154" s="66"/>
      <c r="F154" s="66"/>
      <c r="G154" s="66"/>
      <c r="H154" s="66"/>
      <c r="I154" s="66"/>
      <c r="J154" s="66"/>
      <c r="K154" s="66"/>
    </row>
    <row r="155" spans="1:11">
      <c r="A155" s="66" t="s">
        <v>722</v>
      </c>
      <c r="B155" s="66"/>
      <c r="C155" s="66"/>
      <c r="D155" s="66"/>
      <c r="E155" s="66"/>
      <c r="F155" s="66"/>
      <c r="G155" s="66"/>
      <c r="H155" s="66"/>
      <c r="I155" s="66"/>
      <c r="J155" s="66"/>
      <c r="K155" s="66"/>
    </row>
    <row r="156" spans="1:11">
      <c r="A156" s="66" t="s">
        <v>723</v>
      </c>
      <c r="B156" s="66"/>
      <c r="C156" s="66"/>
      <c r="D156" s="66"/>
      <c r="E156" s="66"/>
      <c r="F156" s="66"/>
      <c r="G156" s="66"/>
      <c r="H156" s="66"/>
      <c r="I156" s="66"/>
      <c r="J156" s="66"/>
      <c r="K156" s="66"/>
    </row>
    <row r="157" spans="1:11">
      <c r="A157" s="66" t="s">
        <v>724</v>
      </c>
      <c r="B157" s="66"/>
      <c r="C157" s="66"/>
      <c r="D157" s="66"/>
      <c r="E157" s="66"/>
      <c r="F157" s="66"/>
      <c r="G157" s="66"/>
      <c r="H157" s="66"/>
      <c r="I157" s="66"/>
      <c r="J157" s="66"/>
      <c r="K157" s="66"/>
    </row>
    <row r="158" spans="1:11">
      <c r="A158" s="66" t="s">
        <v>725</v>
      </c>
      <c r="B158" s="66"/>
      <c r="C158" s="66"/>
      <c r="D158" s="66"/>
      <c r="E158" s="66"/>
      <c r="F158" s="66"/>
      <c r="G158" s="66"/>
      <c r="H158" s="66"/>
      <c r="I158" s="66"/>
      <c r="J158" s="66"/>
      <c r="K158" s="66"/>
    </row>
    <row r="159" spans="1:11">
      <c r="A159" s="66" t="s">
        <v>647</v>
      </c>
      <c r="B159" s="66"/>
      <c r="C159" s="66"/>
      <c r="D159" s="66"/>
      <c r="E159" s="66"/>
      <c r="F159" s="66"/>
      <c r="G159" s="66"/>
      <c r="H159" s="66"/>
      <c r="I159" s="66"/>
      <c r="J159" s="66"/>
      <c r="K159" s="66"/>
    </row>
    <row r="160" spans="1:11">
      <c r="A160" s="66" t="s">
        <v>726</v>
      </c>
      <c r="B160" s="66"/>
      <c r="C160" s="66"/>
      <c r="D160" s="66"/>
      <c r="E160" s="66"/>
      <c r="F160" s="66"/>
      <c r="G160" s="66"/>
      <c r="H160" s="66"/>
      <c r="I160" s="66"/>
      <c r="J160" s="66"/>
      <c r="K160" s="66"/>
    </row>
    <row r="161" spans="1:11">
      <c r="A161" s="66" t="s">
        <v>727</v>
      </c>
      <c r="B161" s="66"/>
      <c r="C161" s="66"/>
      <c r="D161" s="66"/>
      <c r="E161" s="66"/>
      <c r="F161" s="66"/>
      <c r="G161" s="66"/>
      <c r="H161" s="66"/>
      <c r="I161" s="66"/>
      <c r="J161" s="66"/>
      <c r="K161" s="66"/>
    </row>
    <row r="162" spans="1:11">
      <c r="A162" s="66" t="s">
        <v>728</v>
      </c>
      <c r="B162" s="66"/>
      <c r="C162" s="66"/>
      <c r="D162" s="66"/>
      <c r="E162" s="66"/>
      <c r="F162" s="66"/>
      <c r="G162" s="66"/>
      <c r="H162" s="66"/>
      <c r="I162" s="66"/>
      <c r="J162" s="66"/>
      <c r="K162" s="66"/>
    </row>
    <row r="163" spans="1:11">
      <c r="A163" s="66" t="s">
        <v>729</v>
      </c>
      <c r="B163" s="66"/>
      <c r="C163" s="66"/>
      <c r="D163" s="66"/>
      <c r="E163" s="66"/>
      <c r="F163" s="66"/>
      <c r="G163" s="66"/>
      <c r="H163" s="66"/>
      <c r="I163" s="66"/>
      <c r="J163" s="66"/>
      <c r="K163" s="66"/>
    </row>
    <row r="164" spans="1:11">
      <c r="A164" s="66" t="s">
        <v>615</v>
      </c>
      <c r="B164" s="66"/>
      <c r="C164" s="66"/>
      <c r="D164" s="66"/>
      <c r="E164" s="66"/>
      <c r="F164" s="66"/>
      <c r="G164" s="66"/>
      <c r="H164" s="66"/>
      <c r="I164" s="66"/>
      <c r="J164" s="66"/>
      <c r="K164" s="66"/>
    </row>
    <row r="165" spans="1:11">
      <c r="A165" s="66" t="s">
        <v>730</v>
      </c>
      <c r="B165" s="66"/>
      <c r="C165" s="66"/>
      <c r="D165" s="66"/>
      <c r="E165" s="66"/>
      <c r="F165" s="66"/>
      <c r="G165" s="66"/>
      <c r="H165" s="66"/>
      <c r="I165" s="66"/>
      <c r="J165" s="66"/>
      <c r="K165" s="66"/>
    </row>
    <row r="166" spans="1:11">
      <c r="A166" s="66" t="s">
        <v>82</v>
      </c>
      <c r="B166" s="66"/>
      <c r="C166" s="66"/>
      <c r="D166" s="66"/>
      <c r="E166" s="66"/>
      <c r="F166" s="66"/>
      <c r="G166" s="66"/>
      <c r="H166" s="66"/>
      <c r="I166" s="66"/>
      <c r="J166" s="66"/>
      <c r="K166" s="66"/>
    </row>
    <row r="167" spans="1:11">
      <c r="A167" s="66" t="s">
        <v>731</v>
      </c>
      <c r="B167" s="66"/>
      <c r="C167" s="66"/>
      <c r="D167" s="66"/>
      <c r="E167" s="66"/>
      <c r="F167" s="66"/>
      <c r="G167" s="66"/>
      <c r="H167" s="66"/>
      <c r="I167" s="66"/>
      <c r="J167" s="66"/>
      <c r="K167" s="66"/>
    </row>
    <row r="168" spans="1:11">
      <c r="A168" s="66" t="s">
        <v>76</v>
      </c>
      <c r="B168" s="66"/>
      <c r="C168" s="66"/>
      <c r="D168" s="66"/>
      <c r="E168" s="66"/>
      <c r="F168" s="66"/>
      <c r="G168" s="66"/>
      <c r="H168" s="66"/>
      <c r="I168" s="66"/>
      <c r="J168" s="66"/>
      <c r="K168" s="66"/>
    </row>
    <row r="169" spans="1:11">
      <c r="A169" s="66" t="s">
        <v>77</v>
      </c>
      <c r="B169" s="66"/>
      <c r="C169" s="66"/>
      <c r="D169" s="66"/>
      <c r="E169" s="66"/>
      <c r="F169" s="66"/>
      <c r="G169" s="66"/>
      <c r="H169" s="66"/>
      <c r="I169" s="66"/>
      <c r="J169" s="66"/>
      <c r="K169" s="66"/>
    </row>
    <row r="170" spans="1:11">
      <c r="A170" s="66" t="s">
        <v>177</v>
      </c>
      <c r="B170" s="66"/>
      <c r="C170" s="66"/>
      <c r="D170" s="66"/>
      <c r="E170" s="66"/>
      <c r="F170" s="66"/>
      <c r="G170" s="66"/>
      <c r="H170" s="66"/>
      <c r="I170" s="66"/>
      <c r="J170" s="66"/>
      <c r="K170" s="66"/>
    </row>
    <row r="171" spans="1:11">
      <c r="A171" s="66" t="s">
        <v>97</v>
      </c>
      <c r="B171" s="66"/>
      <c r="C171" s="66"/>
      <c r="D171" s="66"/>
      <c r="E171" s="66"/>
      <c r="F171" s="66"/>
      <c r="G171" s="66"/>
      <c r="H171" s="66"/>
      <c r="I171" s="66"/>
      <c r="J171" s="66"/>
      <c r="K171" s="66"/>
    </row>
    <row r="173" spans="1:11">
      <c r="A173" s="3" t="s">
        <v>213</v>
      </c>
    </row>
    <row r="174" spans="1:11">
      <c r="A174" s="63" t="s">
        <v>188</v>
      </c>
      <c r="B174" s="63"/>
      <c r="C174" s="64" t="s">
        <v>2</v>
      </c>
      <c r="D174" s="64"/>
      <c r="E174" s="64"/>
      <c r="F174" s="64"/>
      <c r="G174" s="64"/>
      <c r="H174" s="64"/>
      <c r="I174" s="64"/>
      <c r="J174" s="64"/>
      <c r="K174" s="64"/>
    </row>
    <row r="175" spans="1:11" ht="29.25" customHeight="1">
      <c r="A175" s="59" t="s">
        <v>739</v>
      </c>
      <c r="B175" s="59"/>
      <c r="C175" s="60" t="s">
        <v>740</v>
      </c>
      <c r="D175" s="60"/>
      <c r="E175" s="60"/>
      <c r="F175" s="60"/>
      <c r="G175" s="60"/>
      <c r="H175" s="60"/>
      <c r="I175" s="60"/>
      <c r="J175" s="60"/>
      <c r="K175" s="60"/>
    </row>
    <row r="176" spans="1:11" ht="30" customHeight="1">
      <c r="A176" s="59" t="s">
        <v>741</v>
      </c>
      <c r="B176" s="59"/>
      <c r="C176" s="60" t="s">
        <v>817</v>
      </c>
      <c r="D176" s="60"/>
      <c r="E176" s="60"/>
      <c r="F176" s="60"/>
      <c r="G176" s="60"/>
      <c r="H176" s="60"/>
      <c r="I176" s="60"/>
      <c r="J176" s="60"/>
      <c r="K176" s="60"/>
    </row>
    <row r="177" spans="1:11" ht="29.25" customHeight="1">
      <c r="A177" s="59" t="s">
        <v>71</v>
      </c>
      <c r="B177" s="59"/>
      <c r="C177" s="60" t="s">
        <v>818</v>
      </c>
      <c r="D177" s="60"/>
      <c r="E177" s="60"/>
      <c r="F177" s="60"/>
      <c r="G177" s="60"/>
      <c r="H177" s="60"/>
      <c r="I177" s="60"/>
      <c r="J177" s="60"/>
      <c r="K177" s="60"/>
    </row>
    <row r="178" spans="1:11" ht="14.25" customHeight="1">
      <c r="A178" s="59" t="s">
        <v>742</v>
      </c>
      <c r="B178" s="59"/>
      <c r="C178" s="60" t="s">
        <v>819</v>
      </c>
      <c r="D178" s="60"/>
      <c r="E178" s="60"/>
      <c r="F178" s="60"/>
      <c r="G178" s="60"/>
      <c r="H178" s="60"/>
      <c r="I178" s="60"/>
      <c r="J178" s="60"/>
      <c r="K178" s="60"/>
    </row>
    <row r="179" spans="1:11" ht="30" customHeight="1">
      <c r="A179" s="59" t="s">
        <v>743</v>
      </c>
      <c r="B179" s="59"/>
      <c r="C179" s="60" t="s">
        <v>820</v>
      </c>
      <c r="D179" s="60"/>
      <c r="E179" s="60"/>
      <c r="F179" s="60"/>
      <c r="G179" s="60"/>
      <c r="H179" s="60"/>
      <c r="I179" s="60"/>
      <c r="J179" s="60"/>
      <c r="K179" s="60"/>
    </row>
    <row r="180" spans="1:11" ht="14.25" customHeight="1">
      <c r="A180" s="59" t="s">
        <v>13</v>
      </c>
      <c r="B180" s="59"/>
      <c r="C180" s="60" t="s">
        <v>821</v>
      </c>
      <c r="D180" s="60"/>
      <c r="E180" s="60"/>
      <c r="F180" s="60"/>
      <c r="G180" s="60"/>
      <c r="H180" s="60"/>
      <c r="I180" s="60"/>
      <c r="J180" s="60"/>
      <c r="K180" s="60"/>
    </row>
    <row r="181" spans="1:11" ht="29.25" customHeight="1">
      <c r="A181" s="59" t="s">
        <v>744</v>
      </c>
      <c r="B181" s="59"/>
      <c r="C181" s="60" t="s">
        <v>822</v>
      </c>
      <c r="D181" s="60"/>
      <c r="E181" s="60"/>
      <c r="F181" s="60"/>
      <c r="G181" s="60"/>
      <c r="H181" s="60"/>
      <c r="I181" s="60"/>
      <c r="J181" s="60"/>
      <c r="K181" s="60"/>
    </row>
    <row r="183" spans="1:11">
      <c r="A183" s="3" t="s">
        <v>840</v>
      </c>
    </row>
    <row r="184" spans="1:11">
      <c r="A184" s="6" t="s">
        <v>891</v>
      </c>
      <c r="B184" s="6" t="s">
        <v>892</v>
      </c>
      <c r="C184" s="64" t="s">
        <v>893</v>
      </c>
      <c r="D184" s="64"/>
      <c r="E184" s="64"/>
      <c r="F184" s="64" t="s">
        <v>894</v>
      </c>
      <c r="G184" s="64"/>
      <c r="H184" s="64"/>
      <c r="I184" s="64" t="s">
        <v>895</v>
      </c>
      <c r="J184" s="64"/>
      <c r="K184" s="64"/>
    </row>
    <row r="185" spans="1:11" ht="85.5" customHeight="1">
      <c r="A185" s="22" t="s">
        <v>837</v>
      </c>
      <c r="B185" s="19" t="s">
        <v>896</v>
      </c>
      <c r="C185" s="62" t="s">
        <v>897</v>
      </c>
      <c r="D185" s="62"/>
      <c r="E185" s="62"/>
      <c r="F185" s="62" t="s">
        <v>898</v>
      </c>
      <c r="G185" s="62"/>
      <c r="H185" s="62"/>
      <c r="I185" s="62" t="s">
        <v>906</v>
      </c>
      <c r="J185" s="62"/>
      <c r="K185" s="62"/>
    </row>
    <row r="186" spans="1:11" ht="65.25" customHeight="1">
      <c r="A186" s="22" t="s">
        <v>838</v>
      </c>
      <c r="B186" s="19" t="s">
        <v>896</v>
      </c>
      <c r="C186" s="62" t="s">
        <v>899</v>
      </c>
      <c r="D186" s="62"/>
      <c r="E186" s="62"/>
      <c r="F186" s="62" t="s">
        <v>900</v>
      </c>
      <c r="G186" s="62"/>
      <c r="H186" s="62"/>
      <c r="I186" s="62" t="s">
        <v>901</v>
      </c>
      <c r="J186" s="62"/>
      <c r="K186" s="62"/>
    </row>
    <row r="187" spans="1:11" ht="54" customHeight="1">
      <c r="A187" s="22" t="s">
        <v>839</v>
      </c>
      <c r="B187" s="19" t="s">
        <v>902</v>
      </c>
      <c r="C187" s="62" t="s">
        <v>903</v>
      </c>
      <c r="D187" s="62"/>
      <c r="E187" s="62"/>
      <c r="F187" s="62" t="s">
        <v>904</v>
      </c>
      <c r="G187" s="62"/>
      <c r="H187" s="62"/>
      <c r="I187" s="62" t="s">
        <v>905</v>
      </c>
      <c r="J187" s="62"/>
      <c r="K187" s="62"/>
    </row>
    <row r="189" spans="1:11" ht="14.25" customHeight="1">
      <c r="A189" s="3" t="s">
        <v>907</v>
      </c>
    </row>
    <row r="190" spans="1:11" ht="14.25" customHeight="1">
      <c r="A190" s="63" t="s">
        <v>908</v>
      </c>
      <c r="B190" s="63"/>
      <c r="C190" s="70" t="s">
        <v>893</v>
      </c>
      <c r="D190" s="70"/>
      <c r="E190" s="70"/>
      <c r="F190" s="23"/>
      <c r="G190" s="23"/>
      <c r="H190" s="23"/>
      <c r="I190" s="23"/>
      <c r="J190" s="23"/>
      <c r="K190" s="23"/>
    </row>
    <row r="191" spans="1:11" ht="14.25" customHeight="1">
      <c r="A191" s="76" t="s">
        <v>909</v>
      </c>
      <c r="B191" s="76"/>
      <c r="C191" s="62" t="s">
        <v>910</v>
      </c>
      <c r="D191" s="62"/>
      <c r="E191" s="62"/>
      <c r="F191" s="24"/>
      <c r="G191" s="24"/>
      <c r="H191" s="24"/>
      <c r="I191" s="24"/>
      <c r="J191" s="24"/>
      <c r="K191" s="24"/>
    </row>
    <row r="192" spans="1:11">
      <c r="A192" s="76" t="s">
        <v>911</v>
      </c>
      <c r="B192" s="76"/>
      <c r="C192" s="62" t="s">
        <v>912</v>
      </c>
      <c r="D192" s="62"/>
      <c r="E192" s="62"/>
      <c r="F192" s="24"/>
      <c r="G192" s="24"/>
      <c r="H192" s="24"/>
      <c r="I192" s="24"/>
      <c r="J192" s="24"/>
      <c r="K192" s="24"/>
    </row>
    <row r="193" spans="1:11">
      <c r="A193" s="76" t="s">
        <v>913</v>
      </c>
      <c r="B193" s="76"/>
      <c r="C193" s="62" t="s">
        <v>914</v>
      </c>
      <c r="D193" s="62"/>
      <c r="E193" s="62"/>
      <c r="F193" s="24"/>
      <c r="G193" s="24"/>
      <c r="H193" s="24"/>
      <c r="I193" s="24"/>
      <c r="J193" s="24"/>
      <c r="K193" s="24"/>
    </row>
    <row r="194" spans="1:11">
      <c r="A194" s="76" t="s">
        <v>915</v>
      </c>
      <c r="B194" s="76"/>
      <c r="C194" s="62" t="s">
        <v>916</v>
      </c>
      <c r="D194" s="62"/>
      <c r="E194" s="62"/>
      <c r="F194" s="24"/>
      <c r="G194" s="24"/>
      <c r="H194" s="24"/>
      <c r="I194" s="24"/>
      <c r="J194" s="24"/>
      <c r="K194" s="24"/>
    </row>
    <row r="196" spans="1:11">
      <c r="A196" s="3" t="s">
        <v>866</v>
      </c>
    </row>
    <row r="197" spans="1:11">
      <c r="A197" s="63" t="s">
        <v>235</v>
      </c>
      <c r="B197" s="63"/>
      <c r="C197" s="64" t="s">
        <v>2</v>
      </c>
      <c r="D197" s="64"/>
      <c r="E197" s="64"/>
      <c r="F197" s="64"/>
      <c r="G197" s="64"/>
      <c r="H197" s="64"/>
      <c r="I197" s="64"/>
      <c r="J197" s="64"/>
      <c r="K197" s="64"/>
    </row>
    <row r="198" spans="1:11">
      <c r="A198" s="61" t="s">
        <v>841</v>
      </c>
      <c r="B198" s="61"/>
      <c r="C198" s="62" t="s">
        <v>842</v>
      </c>
      <c r="D198" s="62"/>
      <c r="E198" s="62"/>
      <c r="F198" s="62"/>
      <c r="G198" s="62"/>
      <c r="H198" s="62"/>
      <c r="I198" s="62"/>
      <c r="J198" s="62"/>
      <c r="K198" s="62"/>
    </row>
    <row r="199" spans="1:11">
      <c r="A199" s="61" t="s">
        <v>521</v>
      </c>
      <c r="B199" s="61"/>
      <c r="C199" s="62" t="s">
        <v>843</v>
      </c>
      <c r="D199" s="62"/>
      <c r="E199" s="62"/>
      <c r="F199" s="62"/>
      <c r="G199" s="62"/>
      <c r="H199" s="62"/>
      <c r="I199" s="62"/>
      <c r="J199" s="62"/>
      <c r="K199" s="62"/>
    </row>
    <row r="200" spans="1:11">
      <c r="A200" s="61" t="s">
        <v>844</v>
      </c>
      <c r="B200" s="61"/>
      <c r="C200" s="62" t="s">
        <v>845</v>
      </c>
      <c r="D200" s="62"/>
      <c r="E200" s="62"/>
      <c r="F200" s="62"/>
      <c r="G200" s="62"/>
      <c r="H200" s="62"/>
      <c r="I200" s="62"/>
      <c r="J200" s="62"/>
      <c r="K200" s="62"/>
    </row>
    <row r="201" spans="1:11">
      <c r="A201" s="61" t="s">
        <v>846</v>
      </c>
      <c r="B201" s="61"/>
      <c r="C201" s="62" t="s">
        <v>847</v>
      </c>
      <c r="D201" s="62"/>
      <c r="E201" s="62"/>
      <c r="F201" s="62"/>
      <c r="G201" s="62"/>
      <c r="H201" s="62"/>
      <c r="I201" s="62"/>
      <c r="J201" s="62"/>
      <c r="K201" s="62"/>
    </row>
    <row r="202" spans="1:11">
      <c r="A202" s="61" t="s">
        <v>848</v>
      </c>
      <c r="B202" s="61"/>
      <c r="C202" s="62" t="s">
        <v>849</v>
      </c>
      <c r="D202" s="62"/>
      <c r="E202" s="62"/>
      <c r="F202" s="62"/>
      <c r="G202" s="62"/>
      <c r="H202" s="62"/>
      <c r="I202" s="62"/>
      <c r="J202" s="62"/>
      <c r="K202" s="62"/>
    </row>
    <row r="203" spans="1:11">
      <c r="A203" s="61" t="s">
        <v>850</v>
      </c>
      <c r="B203" s="61"/>
      <c r="C203" s="62" t="s">
        <v>851</v>
      </c>
      <c r="D203" s="62"/>
      <c r="E203" s="62"/>
      <c r="F203" s="62"/>
      <c r="G203" s="62"/>
      <c r="H203" s="62"/>
      <c r="I203" s="62"/>
      <c r="J203" s="62"/>
      <c r="K203" s="62"/>
    </row>
    <row r="204" spans="1:11">
      <c r="A204" s="61" t="s">
        <v>852</v>
      </c>
      <c r="B204" s="61"/>
      <c r="C204" s="62" t="s">
        <v>853</v>
      </c>
      <c r="D204" s="62"/>
      <c r="E204" s="62"/>
      <c r="F204" s="62"/>
      <c r="G204" s="62"/>
      <c r="H204" s="62"/>
      <c r="I204" s="62"/>
      <c r="J204" s="62"/>
      <c r="K204" s="62"/>
    </row>
    <row r="205" spans="1:11">
      <c r="A205" s="61" t="s">
        <v>854</v>
      </c>
      <c r="B205" s="61"/>
      <c r="C205" s="62" t="s">
        <v>855</v>
      </c>
      <c r="D205" s="62"/>
      <c r="E205" s="62"/>
      <c r="F205" s="62"/>
      <c r="G205" s="62"/>
      <c r="H205" s="62"/>
      <c r="I205" s="62"/>
      <c r="J205" s="62"/>
      <c r="K205" s="62"/>
    </row>
    <row r="206" spans="1:11">
      <c r="A206" s="61" t="s">
        <v>856</v>
      </c>
      <c r="B206" s="61"/>
      <c r="C206" s="62" t="s">
        <v>857</v>
      </c>
      <c r="D206" s="62"/>
      <c r="E206" s="62"/>
      <c r="F206" s="62"/>
      <c r="G206" s="62"/>
      <c r="H206" s="62"/>
      <c r="I206" s="62"/>
      <c r="J206" s="62"/>
      <c r="K206" s="62"/>
    </row>
    <row r="207" spans="1:11">
      <c r="A207" s="61" t="s">
        <v>858</v>
      </c>
      <c r="B207" s="61"/>
      <c r="C207" s="62" t="s">
        <v>859</v>
      </c>
      <c r="D207" s="62"/>
      <c r="E207" s="62"/>
      <c r="F207" s="62"/>
      <c r="G207" s="62"/>
      <c r="H207" s="62"/>
      <c r="I207" s="62"/>
      <c r="J207" s="62"/>
      <c r="K207" s="62"/>
    </row>
    <row r="208" spans="1:11">
      <c r="A208" s="61" t="s">
        <v>860</v>
      </c>
      <c r="B208" s="61"/>
      <c r="C208" s="62" t="s">
        <v>861</v>
      </c>
      <c r="D208" s="62"/>
      <c r="E208" s="62"/>
      <c r="F208" s="62"/>
      <c r="G208" s="62"/>
      <c r="H208" s="62"/>
      <c r="I208" s="62"/>
      <c r="J208" s="62"/>
      <c r="K208" s="62"/>
    </row>
    <row r="209" spans="1:11">
      <c r="A209" s="61" t="s">
        <v>862</v>
      </c>
      <c r="B209" s="61"/>
      <c r="C209" s="62" t="s">
        <v>863</v>
      </c>
      <c r="D209" s="62"/>
      <c r="E209" s="62"/>
      <c r="F209" s="62"/>
      <c r="G209" s="62"/>
      <c r="H209" s="62"/>
      <c r="I209" s="62"/>
      <c r="J209" s="62"/>
      <c r="K209" s="62"/>
    </row>
    <row r="210" spans="1:11">
      <c r="A210" s="61" t="s">
        <v>864</v>
      </c>
      <c r="B210" s="61"/>
      <c r="C210" s="62" t="s">
        <v>865</v>
      </c>
      <c r="D210" s="62"/>
      <c r="E210" s="62"/>
      <c r="F210" s="62"/>
      <c r="G210" s="62"/>
      <c r="H210" s="62"/>
      <c r="I210" s="62"/>
      <c r="J210" s="62"/>
      <c r="K210" s="62"/>
    </row>
    <row r="212" spans="1:11">
      <c r="A212" s="3" t="s">
        <v>224</v>
      </c>
    </row>
    <row r="213" spans="1:11">
      <c r="A213" s="83" t="s">
        <v>867</v>
      </c>
      <c r="B213" s="83"/>
      <c r="C213" s="83"/>
      <c r="D213" s="83"/>
      <c r="E213" s="83"/>
      <c r="F213" s="83"/>
      <c r="G213" s="83"/>
      <c r="H213" s="83"/>
      <c r="I213" s="83"/>
      <c r="J213" s="83"/>
      <c r="K213" s="83"/>
    </row>
    <row r="214" spans="1:11" ht="15">
      <c r="A214" s="83" t="s">
        <v>879</v>
      </c>
      <c r="B214" s="83"/>
      <c r="C214" s="83"/>
      <c r="D214" s="83"/>
      <c r="E214" s="83"/>
      <c r="F214" s="83"/>
      <c r="G214" s="83"/>
      <c r="H214" s="83"/>
      <c r="I214" s="83"/>
      <c r="J214" s="83"/>
      <c r="K214" s="83"/>
    </row>
    <row r="215" spans="1:11">
      <c r="A215" s="83" t="s">
        <v>872</v>
      </c>
      <c r="B215" s="83"/>
      <c r="C215" s="83"/>
      <c r="D215" s="83"/>
      <c r="E215" s="83"/>
      <c r="F215" s="83"/>
      <c r="G215" s="83"/>
      <c r="H215" s="83"/>
      <c r="I215" s="83"/>
      <c r="J215" s="83"/>
      <c r="K215" s="83"/>
    </row>
    <row r="216" spans="1:11">
      <c r="A216" s="83" t="s">
        <v>868</v>
      </c>
      <c r="B216" s="83"/>
      <c r="C216" s="83"/>
      <c r="D216" s="83"/>
      <c r="E216" s="83"/>
      <c r="F216" s="83"/>
      <c r="G216" s="83"/>
      <c r="H216" s="83"/>
      <c r="I216" s="83"/>
      <c r="J216" s="83"/>
      <c r="K216" s="83"/>
    </row>
    <row r="217" spans="1:11">
      <c r="A217" s="83" t="s">
        <v>869</v>
      </c>
      <c r="B217" s="83"/>
      <c r="C217" s="83"/>
      <c r="D217" s="83"/>
      <c r="E217" s="83"/>
      <c r="F217" s="83"/>
      <c r="G217" s="83"/>
      <c r="H217" s="83"/>
      <c r="I217" s="83"/>
      <c r="J217" s="83"/>
      <c r="K217" s="83"/>
    </row>
    <row r="218" spans="1:11" ht="15">
      <c r="A218" s="81" t="s">
        <v>874</v>
      </c>
      <c r="B218" s="82"/>
      <c r="C218" s="82"/>
      <c r="D218" s="82"/>
      <c r="E218" s="82"/>
      <c r="F218" s="82"/>
      <c r="G218" s="82"/>
      <c r="H218" s="82"/>
      <c r="I218" s="82"/>
      <c r="J218" s="82"/>
      <c r="K218" s="82"/>
    </row>
    <row r="219" spans="1:11" ht="15">
      <c r="A219" s="81" t="s">
        <v>875</v>
      </c>
      <c r="B219" s="82"/>
      <c r="C219" s="82"/>
      <c r="D219" s="82"/>
      <c r="E219" s="82"/>
      <c r="F219" s="82"/>
      <c r="G219" s="82"/>
      <c r="H219" s="82"/>
      <c r="I219" s="82"/>
      <c r="J219" s="82"/>
      <c r="K219" s="82"/>
    </row>
    <row r="220" spans="1:11" ht="15">
      <c r="A220" s="81" t="s">
        <v>876</v>
      </c>
      <c r="B220" s="82"/>
      <c r="C220" s="82"/>
      <c r="D220" s="82"/>
      <c r="E220" s="82"/>
      <c r="F220" s="82"/>
      <c r="G220" s="82"/>
      <c r="H220" s="82"/>
      <c r="I220" s="82"/>
      <c r="J220" s="82"/>
      <c r="K220" s="82"/>
    </row>
    <row r="221" spans="1:11" ht="15">
      <c r="A221" s="81" t="s">
        <v>877</v>
      </c>
      <c r="B221" s="82"/>
      <c r="C221" s="82"/>
      <c r="D221" s="82"/>
      <c r="E221" s="82"/>
      <c r="F221" s="82"/>
      <c r="G221" s="82"/>
      <c r="H221" s="82"/>
      <c r="I221" s="82"/>
      <c r="J221" s="82"/>
      <c r="K221" s="82"/>
    </row>
    <row r="222" spans="1:11" ht="15">
      <c r="A222" s="81" t="s">
        <v>878</v>
      </c>
      <c r="B222" s="82"/>
      <c r="C222" s="82"/>
      <c r="D222" s="82"/>
      <c r="E222" s="82"/>
      <c r="F222" s="82"/>
      <c r="G222" s="82"/>
      <c r="H222" s="82"/>
      <c r="I222" s="82"/>
      <c r="J222" s="82"/>
      <c r="K222" s="82"/>
    </row>
    <row r="223" spans="1:11">
      <c r="A223" s="83" t="s">
        <v>870</v>
      </c>
      <c r="B223" s="83"/>
      <c r="C223" s="83"/>
      <c r="D223" s="83"/>
      <c r="E223" s="83"/>
      <c r="F223" s="83"/>
      <c r="G223" s="83"/>
      <c r="H223" s="83"/>
      <c r="I223" s="83"/>
      <c r="J223" s="83"/>
      <c r="K223" s="83"/>
    </row>
    <row r="224" spans="1:11">
      <c r="A224" s="83" t="s">
        <v>873</v>
      </c>
      <c r="B224" s="83"/>
      <c r="C224" s="83"/>
      <c r="D224" s="83"/>
      <c r="E224" s="83"/>
      <c r="F224" s="83"/>
      <c r="G224" s="83"/>
      <c r="H224" s="83"/>
      <c r="I224" s="83"/>
      <c r="J224" s="83"/>
      <c r="K224" s="83"/>
    </row>
    <row r="225" spans="1:11">
      <c r="A225" s="83" t="s">
        <v>871</v>
      </c>
      <c r="B225" s="83"/>
      <c r="C225" s="83"/>
      <c r="D225" s="83"/>
      <c r="E225" s="83"/>
      <c r="F225" s="83"/>
      <c r="G225" s="83"/>
      <c r="H225" s="83"/>
      <c r="I225" s="83"/>
      <c r="J225" s="83"/>
      <c r="K225" s="83"/>
    </row>
    <row r="227" spans="1:11">
      <c r="A227" s="3" t="s">
        <v>519</v>
      </c>
    </row>
    <row r="228" spans="1:11">
      <c r="A228" s="83" t="s">
        <v>515</v>
      </c>
      <c r="B228" s="83"/>
      <c r="C228" s="83"/>
      <c r="D228" s="83"/>
      <c r="E228" s="83"/>
      <c r="F228" s="83"/>
      <c r="G228" s="83"/>
      <c r="H228" s="83"/>
      <c r="I228" s="83"/>
      <c r="J228" s="83"/>
      <c r="K228" s="83"/>
    </row>
    <row r="229" spans="1:11">
      <c r="A229" s="83" t="s">
        <v>880</v>
      </c>
      <c r="B229" s="83"/>
      <c r="C229" s="83"/>
      <c r="D229" s="83"/>
      <c r="E229" s="83"/>
      <c r="F229" s="83"/>
      <c r="G229" s="83"/>
      <c r="H229" s="83"/>
      <c r="I229" s="83"/>
      <c r="J229" s="83"/>
      <c r="K229" s="83"/>
    </row>
    <row r="230" spans="1:11">
      <c r="A230" s="83" t="s">
        <v>881</v>
      </c>
      <c r="B230" s="83"/>
      <c r="C230" s="83"/>
      <c r="D230" s="83"/>
      <c r="E230" s="83"/>
      <c r="F230" s="83"/>
      <c r="G230" s="83"/>
      <c r="H230" s="83"/>
      <c r="I230" s="83"/>
      <c r="J230" s="83"/>
      <c r="K230" s="83"/>
    </row>
    <row r="231" spans="1:11">
      <c r="A231" s="83" t="s">
        <v>882</v>
      </c>
      <c r="B231" s="83"/>
      <c r="C231" s="83"/>
      <c r="D231" s="83"/>
      <c r="E231" s="83"/>
      <c r="F231" s="83"/>
      <c r="G231" s="83"/>
      <c r="H231" s="83"/>
      <c r="I231" s="83"/>
      <c r="J231" s="83"/>
      <c r="K231" s="83"/>
    </row>
    <row r="232" spans="1:11">
      <c r="A232" s="83" t="s">
        <v>883</v>
      </c>
      <c r="B232" s="83"/>
      <c r="C232" s="83"/>
      <c r="D232" s="83"/>
      <c r="E232" s="83"/>
      <c r="F232" s="83"/>
      <c r="G232" s="83"/>
      <c r="H232" s="83"/>
      <c r="I232" s="83"/>
      <c r="J232" s="83"/>
      <c r="K232" s="83"/>
    </row>
    <row r="233" spans="1:11">
      <c r="A233" s="83" t="s">
        <v>884</v>
      </c>
      <c r="B233" s="83"/>
      <c r="C233" s="83"/>
      <c r="D233" s="83"/>
      <c r="E233" s="83"/>
      <c r="F233" s="83"/>
      <c r="G233" s="83"/>
      <c r="H233" s="83"/>
      <c r="I233" s="83"/>
      <c r="J233" s="83"/>
      <c r="K233" s="83"/>
    </row>
    <row r="234" spans="1:11">
      <c r="A234" s="83" t="s">
        <v>885</v>
      </c>
      <c r="B234" s="83"/>
      <c r="C234" s="83"/>
      <c r="D234" s="83"/>
      <c r="E234" s="83"/>
      <c r="F234" s="83"/>
      <c r="G234" s="83"/>
      <c r="H234" s="83"/>
      <c r="I234" s="83"/>
      <c r="J234" s="83"/>
      <c r="K234" s="83"/>
    </row>
    <row r="235" spans="1:11">
      <c r="A235" s="83" t="s">
        <v>886</v>
      </c>
      <c r="B235" s="83"/>
      <c r="C235" s="83"/>
      <c r="D235" s="83"/>
      <c r="E235" s="83"/>
      <c r="F235" s="83"/>
      <c r="G235" s="83"/>
      <c r="H235" s="83"/>
      <c r="I235" s="83"/>
      <c r="J235" s="83"/>
      <c r="K235" s="83"/>
    </row>
    <row r="236" spans="1:11">
      <c r="A236" s="83" t="s">
        <v>887</v>
      </c>
      <c r="B236" s="83"/>
      <c r="C236" s="83"/>
      <c r="D236" s="83"/>
      <c r="E236" s="83"/>
      <c r="F236" s="83"/>
      <c r="G236" s="83"/>
      <c r="H236" s="83"/>
      <c r="I236" s="83"/>
      <c r="J236" s="83"/>
      <c r="K236" s="83"/>
    </row>
    <row r="238" spans="1:11">
      <c r="A238" s="3" t="s">
        <v>888</v>
      </c>
    </row>
    <row r="240" spans="1:11">
      <c r="A240" s="71" t="s">
        <v>551</v>
      </c>
      <c r="B240" s="71"/>
      <c r="D240" s="84" t="s">
        <v>890</v>
      </c>
      <c r="E240" s="84"/>
      <c r="F240" s="84"/>
      <c r="G240" s="84"/>
      <c r="H240" s="84"/>
      <c r="I240" s="84"/>
    </row>
    <row r="241" spans="1:9">
      <c r="A241" s="11" t="s">
        <v>739</v>
      </c>
      <c r="B241" s="11" t="s">
        <v>889</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5:K15"/>
    <mergeCell ref="A16:K16"/>
    <mergeCell ref="A17:K17"/>
    <mergeCell ref="A18:K18"/>
    <mergeCell ref="A19:K19"/>
    <mergeCell ref="A20:K20"/>
    <mergeCell ref="A27:K27"/>
    <mergeCell ref="A28:K28"/>
    <mergeCell ref="A29:K29"/>
    <mergeCell ref="A30:K30"/>
    <mergeCell ref="A31:K31"/>
    <mergeCell ref="A32:K32"/>
    <mergeCell ref="A21:K21"/>
    <mergeCell ref="A22:K22"/>
    <mergeCell ref="A23:K23"/>
    <mergeCell ref="A24:K24"/>
    <mergeCell ref="A25:K25"/>
    <mergeCell ref="A26:K26"/>
    <mergeCell ref="A39:K39"/>
    <mergeCell ref="A40:K40"/>
    <mergeCell ref="A41:K41"/>
    <mergeCell ref="A42:K42"/>
    <mergeCell ref="A43:K43"/>
    <mergeCell ref="A44:K44"/>
    <mergeCell ref="A33:K33"/>
    <mergeCell ref="A34:K34"/>
    <mergeCell ref="A35:K35"/>
    <mergeCell ref="A36:K36"/>
    <mergeCell ref="A37:K37"/>
    <mergeCell ref="A38:K38"/>
    <mergeCell ref="A51:K51"/>
    <mergeCell ref="A52:K52"/>
    <mergeCell ref="A53:K53"/>
    <mergeCell ref="A54:K54"/>
    <mergeCell ref="A55:K55"/>
    <mergeCell ref="A56:K56"/>
    <mergeCell ref="A45:K45"/>
    <mergeCell ref="A46:K46"/>
    <mergeCell ref="A47:K47"/>
    <mergeCell ref="A48:K48"/>
    <mergeCell ref="A49:K49"/>
    <mergeCell ref="A50:K50"/>
    <mergeCell ref="A63:K63"/>
    <mergeCell ref="A64:K64"/>
    <mergeCell ref="A65:K65"/>
    <mergeCell ref="A66:K66"/>
    <mergeCell ref="A67:K67"/>
    <mergeCell ref="A68:K68"/>
    <mergeCell ref="A57:K57"/>
    <mergeCell ref="A58:K58"/>
    <mergeCell ref="A59:K59"/>
    <mergeCell ref="A60:K60"/>
    <mergeCell ref="A61:K61"/>
    <mergeCell ref="A62:K62"/>
    <mergeCell ref="A75:K75"/>
    <mergeCell ref="A76:K76"/>
    <mergeCell ref="A77:K77"/>
    <mergeCell ref="A78:K78"/>
    <mergeCell ref="A79:K79"/>
    <mergeCell ref="A80:K80"/>
    <mergeCell ref="A69:K69"/>
    <mergeCell ref="A70:K70"/>
    <mergeCell ref="A71:K71"/>
    <mergeCell ref="A72:K72"/>
    <mergeCell ref="A73:K73"/>
    <mergeCell ref="A74:K74"/>
    <mergeCell ref="A87:K87"/>
    <mergeCell ref="A88:K88"/>
    <mergeCell ref="A89:K89"/>
    <mergeCell ref="A90:K90"/>
    <mergeCell ref="A91:K91"/>
    <mergeCell ref="A92:K92"/>
    <mergeCell ref="A81:K81"/>
    <mergeCell ref="A82:K82"/>
    <mergeCell ref="A83:K83"/>
    <mergeCell ref="A84:K84"/>
    <mergeCell ref="A85:K85"/>
    <mergeCell ref="A86:K86"/>
    <mergeCell ref="A99:K99"/>
    <mergeCell ref="A100:K100"/>
    <mergeCell ref="A101:K101"/>
    <mergeCell ref="A102:K102"/>
    <mergeCell ref="A103:K103"/>
    <mergeCell ref="A104:K104"/>
    <mergeCell ref="A93:K93"/>
    <mergeCell ref="A94:K94"/>
    <mergeCell ref="A95:K95"/>
    <mergeCell ref="A96:K96"/>
    <mergeCell ref="A97:K97"/>
    <mergeCell ref="A98:K98"/>
    <mergeCell ref="A111:K111"/>
    <mergeCell ref="A112:K112"/>
    <mergeCell ref="A113:K113"/>
    <mergeCell ref="A114:K114"/>
    <mergeCell ref="A115:K115"/>
    <mergeCell ref="A116:K116"/>
    <mergeCell ref="A105:K105"/>
    <mergeCell ref="A106:K106"/>
    <mergeCell ref="A107:K107"/>
    <mergeCell ref="A108:K108"/>
    <mergeCell ref="A109:K109"/>
    <mergeCell ref="A110:K110"/>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74:B174"/>
    <mergeCell ref="C174:K174"/>
    <mergeCell ref="C176:K176"/>
    <mergeCell ref="A177:B177"/>
    <mergeCell ref="C177:K177"/>
    <mergeCell ref="A178:B178"/>
    <mergeCell ref="C178:K178"/>
    <mergeCell ref="A179:B179"/>
    <mergeCell ref="C179:K179"/>
    <mergeCell ref="I185:K185"/>
    <mergeCell ref="A180:B180"/>
    <mergeCell ref="C180:K180"/>
    <mergeCell ref="A181:B181"/>
    <mergeCell ref="C181:K181"/>
    <mergeCell ref="F186:H186"/>
    <mergeCell ref="F187:H187"/>
    <mergeCell ref="I186:K186"/>
    <mergeCell ref="I187:K187"/>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100" zoomScaleNormal="100" workbookViewId="0">
      <selection activeCell="K122" sqref="K122"/>
    </sheetView>
  </sheetViews>
  <sheetFormatPr defaultColWidth="9.125" defaultRowHeight="14.25"/>
  <cols>
    <col min="1" max="3" width="9.125" style="2"/>
    <col min="4" max="4" width="9.25" style="2" bestFit="1" customWidth="1"/>
    <col min="5" max="5" width="10.375" style="2" customWidth="1"/>
    <col min="6" max="6" width="9.75" style="2" customWidth="1"/>
    <col min="7" max="10" width="9.125" style="2"/>
    <col min="11" max="11" width="10.125" style="2" bestFit="1" customWidth="1"/>
    <col min="12" max="16384" width="9.125" style="2"/>
  </cols>
  <sheetData>
    <row r="1" spans="1:11">
      <c r="A1" s="3" t="s">
        <v>404</v>
      </c>
      <c r="K1" s="17">
        <v>46182</v>
      </c>
    </row>
    <row r="2" spans="1:11">
      <c r="A2" s="65" t="s">
        <v>451</v>
      </c>
      <c r="B2" s="65"/>
      <c r="C2" s="65"/>
      <c r="D2" s="65"/>
      <c r="E2" s="65"/>
      <c r="F2" s="65"/>
      <c r="G2" s="65"/>
      <c r="H2" s="65"/>
      <c r="I2" s="65"/>
      <c r="J2" s="65"/>
      <c r="K2" s="65"/>
    </row>
    <row r="3" spans="1:11">
      <c r="A3" s="65" t="s">
        <v>452</v>
      </c>
      <c r="B3" s="65"/>
      <c r="C3" s="65"/>
      <c r="D3" s="65"/>
      <c r="E3" s="65"/>
      <c r="F3" s="65"/>
      <c r="G3" s="65"/>
      <c r="H3" s="65"/>
      <c r="I3" s="65"/>
      <c r="J3" s="65"/>
      <c r="K3" s="65"/>
    </row>
    <row r="4" spans="1:11">
      <c r="A4" s="65" t="s">
        <v>453</v>
      </c>
      <c r="B4" s="65"/>
      <c r="C4" s="65"/>
      <c r="D4" s="65"/>
      <c r="E4" s="65"/>
      <c r="F4" s="65"/>
      <c r="G4" s="65"/>
      <c r="H4" s="65"/>
      <c r="I4" s="65"/>
      <c r="J4" s="65"/>
      <c r="K4" s="65"/>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66" t="s">
        <v>732</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405</v>
      </c>
      <c r="B14" s="67"/>
      <c r="C14" s="67"/>
      <c r="D14" s="67"/>
      <c r="E14" s="67"/>
      <c r="F14" s="67"/>
      <c r="G14" s="67"/>
      <c r="H14" s="67"/>
      <c r="I14" s="67"/>
      <c r="J14" s="67"/>
      <c r="K14" s="67"/>
    </row>
    <row r="15" spans="1:11">
      <c r="A15" s="67" t="s">
        <v>406</v>
      </c>
      <c r="B15" s="67"/>
      <c r="C15" s="67"/>
      <c r="D15" s="67"/>
      <c r="E15" s="67"/>
      <c r="F15" s="67"/>
      <c r="G15" s="67"/>
      <c r="H15" s="67"/>
      <c r="I15" s="67"/>
      <c r="J15" s="67"/>
      <c r="K15" s="67"/>
    </row>
    <row r="16" spans="1:11">
      <c r="A16" s="67" t="s">
        <v>407</v>
      </c>
      <c r="B16" s="67"/>
      <c r="C16" s="67"/>
      <c r="D16" s="67"/>
      <c r="E16" s="67"/>
      <c r="F16" s="67"/>
      <c r="G16" s="67"/>
      <c r="H16" s="67"/>
      <c r="I16" s="67"/>
      <c r="J16" s="67"/>
      <c r="K16" s="67"/>
    </row>
    <row r="17" spans="1:11">
      <c r="A17" s="67" t="s">
        <v>408</v>
      </c>
      <c r="B17" s="67"/>
      <c r="C17" s="67"/>
      <c r="D17" s="67"/>
      <c r="E17" s="67"/>
      <c r="F17" s="67"/>
      <c r="G17" s="67"/>
      <c r="H17" s="67"/>
      <c r="I17" s="67"/>
      <c r="J17" s="67"/>
      <c r="K17" s="67"/>
    </row>
    <row r="18" spans="1:11">
      <c r="A18" s="67" t="s">
        <v>409</v>
      </c>
      <c r="B18" s="67"/>
      <c r="C18" s="67"/>
      <c r="D18" s="67"/>
      <c r="E18" s="67"/>
      <c r="F18" s="67"/>
      <c r="G18" s="67"/>
      <c r="H18" s="67"/>
      <c r="I18" s="67"/>
      <c r="J18" s="67"/>
      <c r="K18" s="67"/>
    </row>
    <row r="19" spans="1:11">
      <c r="A19" s="67" t="s">
        <v>410</v>
      </c>
      <c r="B19" s="67"/>
      <c r="C19" s="67"/>
      <c r="D19" s="67"/>
      <c r="E19" s="67"/>
      <c r="F19" s="67"/>
      <c r="G19" s="67"/>
      <c r="H19" s="67"/>
      <c r="I19" s="67"/>
      <c r="J19" s="67"/>
      <c r="K19" s="67"/>
    </row>
    <row r="20" spans="1:11">
      <c r="A20" s="67" t="s">
        <v>411</v>
      </c>
      <c r="B20" s="67"/>
      <c r="C20" s="67"/>
      <c r="D20" s="67"/>
      <c r="E20" s="67"/>
      <c r="F20" s="67"/>
      <c r="G20" s="67"/>
      <c r="H20" s="67"/>
      <c r="I20" s="67"/>
      <c r="J20" s="67"/>
      <c r="K20" s="67"/>
    </row>
    <row r="21" spans="1:11">
      <c r="A21" s="67" t="s">
        <v>412</v>
      </c>
      <c r="B21" s="67"/>
      <c r="C21" s="67"/>
      <c r="D21" s="67"/>
      <c r="E21" s="67"/>
      <c r="F21" s="67"/>
      <c r="G21" s="67"/>
      <c r="H21" s="67"/>
      <c r="I21" s="67"/>
      <c r="J21" s="67"/>
      <c r="K21" s="67"/>
    </row>
    <row r="22" spans="1:11">
      <c r="A22" s="67" t="s">
        <v>413</v>
      </c>
      <c r="B22" s="67"/>
      <c r="C22" s="67"/>
      <c r="D22" s="67"/>
      <c r="E22" s="67"/>
      <c r="F22" s="67"/>
      <c r="G22" s="67"/>
      <c r="H22" s="67"/>
      <c r="I22" s="67"/>
      <c r="J22" s="67"/>
      <c r="K22" s="67"/>
    </row>
    <row r="23" spans="1:11">
      <c r="A23" s="67" t="s">
        <v>414</v>
      </c>
      <c r="B23" s="67"/>
      <c r="C23" s="67"/>
      <c r="D23" s="67"/>
      <c r="E23" s="67"/>
      <c r="F23" s="67"/>
      <c r="G23" s="67"/>
      <c r="H23" s="67"/>
      <c r="I23" s="67"/>
      <c r="J23" s="67"/>
      <c r="K23" s="67"/>
    </row>
    <row r="24" spans="1:11">
      <c r="A24" s="67" t="s">
        <v>415</v>
      </c>
      <c r="B24" s="67"/>
      <c r="C24" s="67"/>
      <c r="D24" s="67"/>
      <c r="E24" s="67"/>
      <c r="F24" s="67"/>
      <c r="G24" s="67"/>
      <c r="H24" s="67"/>
      <c r="I24" s="67"/>
      <c r="J24" s="67"/>
      <c r="K24" s="67"/>
    </row>
    <row r="25" spans="1:11">
      <c r="A25" s="67" t="s">
        <v>416</v>
      </c>
      <c r="B25" s="67"/>
      <c r="C25" s="67"/>
      <c r="D25" s="67"/>
      <c r="E25" s="67"/>
      <c r="F25" s="67"/>
      <c r="G25" s="67"/>
      <c r="H25" s="67"/>
      <c r="I25" s="67"/>
      <c r="J25" s="67"/>
      <c r="K25" s="67"/>
    </row>
    <row r="26" spans="1:11">
      <c r="A26" s="67" t="s">
        <v>417</v>
      </c>
      <c r="B26" s="67"/>
      <c r="C26" s="67"/>
      <c r="D26" s="67"/>
      <c r="E26" s="67"/>
      <c r="F26" s="67"/>
      <c r="G26" s="67"/>
      <c r="H26" s="67"/>
      <c r="I26" s="67"/>
      <c r="J26" s="67"/>
      <c r="K26" s="67"/>
    </row>
    <row r="27" spans="1:11">
      <c r="A27" s="67" t="s">
        <v>418</v>
      </c>
      <c r="B27" s="67"/>
      <c r="C27" s="67"/>
      <c r="D27" s="67"/>
      <c r="E27" s="67"/>
      <c r="F27" s="67"/>
      <c r="G27" s="67"/>
      <c r="H27" s="67"/>
      <c r="I27" s="67"/>
      <c r="J27" s="67"/>
      <c r="K27" s="67"/>
    </row>
    <row r="28" spans="1:11">
      <c r="A28" s="67" t="s">
        <v>419</v>
      </c>
      <c r="B28" s="67"/>
      <c r="C28" s="67"/>
      <c r="D28" s="67"/>
      <c r="E28" s="67"/>
      <c r="F28" s="67"/>
      <c r="G28" s="67"/>
      <c r="H28" s="67"/>
      <c r="I28" s="67"/>
      <c r="J28" s="67"/>
      <c r="K28" s="67"/>
    </row>
    <row r="29" spans="1:11">
      <c r="A29" s="67" t="s">
        <v>420</v>
      </c>
      <c r="B29" s="67"/>
      <c r="C29" s="67"/>
      <c r="D29" s="67"/>
      <c r="E29" s="67"/>
      <c r="F29" s="67"/>
      <c r="G29" s="67"/>
      <c r="H29" s="67"/>
      <c r="I29" s="67"/>
      <c r="J29" s="67"/>
      <c r="K29" s="67"/>
    </row>
    <row r="30" spans="1:11">
      <c r="A30" s="67" t="s">
        <v>421</v>
      </c>
      <c r="B30" s="67"/>
      <c r="C30" s="67"/>
      <c r="D30" s="67"/>
      <c r="E30" s="67"/>
      <c r="F30" s="67"/>
      <c r="G30" s="67"/>
      <c r="H30" s="67"/>
      <c r="I30" s="67"/>
      <c r="J30" s="67"/>
      <c r="K30" s="67"/>
    </row>
    <row r="31" spans="1:11">
      <c r="A31" s="67" t="s">
        <v>422</v>
      </c>
      <c r="B31" s="67"/>
      <c r="C31" s="67"/>
      <c r="D31" s="67"/>
      <c r="E31" s="67"/>
      <c r="F31" s="67"/>
      <c r="G31" s="67"/>
      <c r="H31" s="67"/>
      <c r="I31" s="67"/>
      <c r="J31" s="67"/>
      <c r="K31" s="67"/>
    </row>
    <row r="32" spans="1:11">
      <c r="A32" s="67" t="s">
        <v>79</v>
      </c>
      <c r="B32" s="67"/>
      <c r="C32" s="67"/>
      <c r="D32" s="67"/>
      <c r="E32" s="67"/>
      <c r="F32" s="67"/>
      <c r="G32" s="67"/>
      <c r="H32" s="67"/>
      <c r="I32" s="67"/>
      <c r="J32" s="67"/>
      <c r="K32" s="67"/>
    </row>
    <row r="33" spans="1:11">
      <c r="A33" s="67" t="s">
        <v>82</v>
      </c>
      <c r="B33" s="67"/>
      <c r="C33" s="67"/>
      <c r="D33" s="67"/>
      <c r="E33" s="67"/>
      <c r="F33" s="67"/>
      <c r="G33" s="67"/>
      <c r="H33" s="67"/>
      <c r="I33" s="67"/>
      <c r="J33" s="67"/>
      <c r="K33" s="67"/>
    </row>
    <row r="34" spans="1:11">
      <c r="A34" s="67" t="s">
        <v>423</v>
      </c>
      <c r="B34" s="67"/>
      <c r="C34" s="67"/>
      <c r="D34" s="67"/>
      <c r="E34" s="67"/>
      <c r="F34" s="67"/>
      <c r="G34" s="67"/>
      <c r="H34" s="67"/>
      <c r="I34" s="67"/>
      <c r="J34" s="67"/>
      <c r="K34" s="67"/>
    </row>
    <row r="35" spans="1:11">
      <c r="A35" s="67" t="s">
        <v>76</v>
      </c>
      <c r="B35" s="67"/>
      <c r="C35" s="67"/>
      <c r="D35" s="67"/>
      <c r="E35" s="67"/>
      <c r="F35" s="67"/>
      <c r="G35" s="67"/>
      <c r="H35" s="67"/>
      <c r="I35" s="67"/>
      <c r="J35" s="67"/>
      <c r="K35" s="67"/>
    </row>
    <row r="36" spans="1:11">
      <c r="A36" s="67" t="s">
        <v>77</v>
      </c>
      <c r="B36" s="67"/>
      <c r="C36" s="67"/>
      <c r="D36" s="67"/>
      <c r="E36" s="67"/>
      <c r="F36" s="67"/>
      <c r="G36" s="67"/>
      <c r="H36" s="67"/>
      <c r="I36" s="67"/>
      <c r="J36" s="67"/>
      <c r="K36" s="67"/>
    </row>
    <row r="37" spans="1:11">
      <c r="A37" s="67" t="s">
        <v>424</v>
      </c>
      <c r="B37" s="67"/>
      <c r="C37" s="67"/>
      <c r="D37" s="67"/>
      <c r="E37" s="67"/>
      <c r="F37" s="67"/>
      <c r="G37" s="67"/>
      <c r="H37" s="67"/>
      <c r="I37" s="67"/>
      <c r="J37" s="67"/>
      <c r="K37" s="67"/>
    </row>
    <row r="38" spans="1:11">
      <c r="A38" s="67" t="s">
        <v>425</v>
      </c>
      <c r="B38" s="67"/>
      <c r="C38" s="67"/>
      <c r="D38" s="67"/>
      <c r="E38" s="67"/>
      <c r="F38" s="67"/>
      <c r="G38" s="67"/>
      <c r="H38" s="67"/>
      <c r="I38" s="67"/>
      <c r="J38" s="67"/>
      <c r="K38" s="67"/>
    </row>
    <row r="39" spans="1:11">
      <c r="A39" s="67" t="s">
        <v>426</v>
      </c>
      <c r="B39" s="67"/>
      <c r="C39" s="67"/>
      <c r="D39" s="67"/>
      <c r="E39" s="67"/>
      <c r="F39" s="67"/>
      <c r="G39" s="67"/>
      <c r="H39" s="67"/>
      <c r="I39" s="67"/>
      <c r="J39" s="67"/>
      <c r="K39" s="67"/>
    </row>
    <row r="40" spans="1:11">
      <c r="A40" s="67" t="s">
        <v>427</v>
      </c>
      <c r="B40" s="67"/>
      <c r="C40" s="67"/>
      <c r="D40" s="67"/>
      <c r="E40" s="67"/>
      <c r="F40" s="67"/>
      <c r="G40" s="67"/>
      <c r="H40" s="67"/>
      <c r="I40" s="67"/>
      <c r="J40" s="67"/>
      <c r="K40" s="67"/>
    </row>
    <row r="41" spans="1:11">
      <c r="A41" s="67" t="s">
        <v>428</v>
      </c>
      <c r="B41" s="67"/>
      <c r="C41" s="67"/>
      <c r="D41" s="67"/>
      <c r="E41" s="67"/>
      <c r="F41" s="67"/>
      <c r="G41" s="67"/>
      <c r="H41" s="67"/>
      <c r="I41" s="67"/>
      <c r="J41" s="67"/>
      <c r="K41" s="67"/>
    </row>
    <row r="42" spans="1:11">
      <c r="A42" s="67" t="s">
        <v>429</v>
      </c>
      <c r="B42" s="67"/>
      <c r="C42" s="67"/>
      <c r="D42" s="67"/>
      <c r="E42" s="67"/>
      <c r="F42" s="67"/>
      <c r="G42" s="67"/>
      <c r="H42" s="67"/>
      <c r="I42" s="67"/>
      <c r="J42" s="67"/>
      <c r="K42" s="67"/>
    </row>
    <row r="43" spans="1:11">
      <c r="A43" s="67" t="s">
        <v>430</v>
      </c>
      <c r="B43" s="67"/>
      <c r="C43" s="67"/>
      <c r="D43" s="67"/>
      <c r="E43" s="67"/>
      <c r="F43" s="67"/>
      <c r="G43" s="67"/>
      <c r="H43" s="67"/>
      <c r="I43" s="67"/>
      <c r="J43" s="67"/>
      <c r="K43" s="67"/>
    </row>
    <row r="44" spans="1:11">
      <c r="A44" s="67" t="s">
        <v>431</v>
      </c>
      <c r="B44" s="67"/>
      <c r="C44" s="67"/>
      <c r="D44" s="67"/>
      <c r="E44" s="67"/>
      <c r="F44" s="67"/>
      <c r="G44" s="67"/>
      <c r="H44" s="67"/>
      <c r="I44" s="67"/>
      <c r="J44" s="67"/>
      <c r="K44" s="67"/>
    </row>
    <row r="45" spans="1:11">
      <c r="A45" s="67" t="s">
        <v>432</v>
      </c>
      <c r="B45" s="67"/>
      <c r="C45" s="67"/>
      <c r="D45" s="67"/>
      <c r="E45" s="67"/>
      <c r="F45" s="67"/>
      <c r="G45" s="67"/>
      <c r="H45" s="67"/>
      <c r="I45" s="67"/>
      <c r="J45" s="67"/>
      <c r="K45" s="67"/>
    </row>
    <row r="46" spans="1:11">
      <c r="A46" s="67" t="s">
        <v>433</v>
      </c>
      <c r="B46" s="67"/>
      <c r="C46" s="67"/>
      <c r="D46" s="67"/>
      <c r="E46" s="67"/>
      <c r="F46" s="67"/>
      <c r="G46" s="67"/>
      <c r="H46" s="67"/>
      <c r="I46" s="67"/>
      <c r="J46" s="67"/>
      <c r="K46" s="67"/>
    </row>
    <row r="47" spans="1:11">
      <c r="A47" s="67" t="s">
        <v>434</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435</v>
      </c>
      <c r="B49" s="67"/>
      <c r="C49" s="67"/>
      <c r="D49" s="67"/>
      <c r="E49" s="67"/>
      <c r="F49" s="67"/>
      <c r="G49" s="67"/>
      <c r="H49" s="67"/>
      <c r="I49" s="67"/>
      <c r="J49" s="67"/>
      <c r="K49" s="67"/>
    </row>
    <row r="50" spans="1:11">
      <c r="A50" s="67" t="s">
        <v>436</v>
      </c>
      <c r="B50" s="67"/>
      <c r="C50" s="67"/>
      <c r="D50" s="67"/>
      <c r="E50" s="67"/>
      <c r="F50" s="67"/>
      <c r="G50" s="67"/>
      <c r="H50" s="67"/>
      <c r="I50" s="67"/>
      <c r="J50" s="67"/>
      <c r="K50" s="67"/>
    </row>
    <row r="51" spans="1:11">
      <c r="A51" s="67" t="s">
        <v>437</v>
      </c>
      <c r="B51" s="67"/>
      <c r="C51" s="67"/>
      <c r="D51" s="67"/>
      <c r="E51" s="67"/>
      <c r="F51" s="67"/>
      <c r="G51" s="67"/>
      <c r="H51" s="67"/>
      <c r="I51" s="67"/>
      <c r="J51" s="67"/>
      <c r="K51" s="67"/>
    </row>
    <row r="52" spans="1:11">
      <c r="A52" s="67" t="s">
        <v>438</v>
      </c>
      <c r="B52" s="67"/>
      <c r="C52" s="67"/>
      <c r="D52" s="67"/>
      <c r="E52" s="67"/>
      <c r="F52" s="67"/>
      <c r="G52" s="67"/>
      <c r="H52" s="67"/>
      <c r="I52" s="67"/>
      <c r="J52" s="67"/>
      <c r="K52" s="67"/>
    </row>
    <row r="53" spans="1:11">
      <c r="A53" s="67" t="s">
        <v>439</v>
      </c>
      <c r="B53" s="67"/>
      <c r="C53" s="67"/>
      <c r="D53" s="67"/>
      <c r="E53" s="67"/>
      <c r="F53" s="67"/>
      <c r="G53" s="67"/>
      <c r="H53" s="67"/>
      <c r="I53" s="67"/>
      <c r="J53" s="67"/>
      <c r="K53" s="67"/>
    </row>
    <row r="54" spans="1:11">
      <c r="A54" s="67" t="s">
        <v>440</v>
      </c>
      <c r="B54" s="67"/>
      <c r="C54" s="67"/>
      <c r="D54" s="67"/>
      <c r="E54" s="67"/>
      <c r="F54" s="67"/>
      <c r="G54" s="67"/>
      <c r="H54" s="67"/>
      <c r="I54" s="67"/>
      <c r="J54" s="67"/>
      <c r="K54" s="67"/>
    </row>
    <row r="55" spans="1:11">
      <c r="A55" s="67" t="s">
        <v>441</v>
      </c>
      <c r="B55" s="67"/>
      <c r="C55" s="67"/>
      <c r="D55" s="67"/>
      <c r="E55" s="67"/>
      <c r="F55" s="67"/>
      <c r="G55" s="67"/>
      <c r="H55" s="67"/>
      <c r="I55" s="67"/>
      <c r="J55" s="67"/>
      <c r="K55" s="67"/>
    </row>
    <row r="56" spans="1:11">
      <c r="A56" s="67" t="s">
        <v>442</v>
      </c>
      <c r="B56" s="67"/>
      <c r="C56" s="67"/>
      <c r="D56" s="67"/>
      <c r="E56" s="67"/>
      <c r="F56" s="67"/>
      <c r="G56" s="67"/>
      <c r="H56" s="67"/>
      <c r="I56" s="67"/>
      <c r="J56" s="67"/>
      <c r="K56" s="67"/>
    </row>
    <row r="57" spans="1:11">
      <c r="A57" s="67" t="s">
        <v>443</v>
      </c>
      <c r="B57" s="67"/>
      <c r="C57" s="67"/>
      <c r="D57" s="67"/>
      <c r="E57" s="67"/>
      <c r="F57" s="67"/>
      <c r="G57" s="67"/>
      <c r="H57" s="67"/>
      <c r="I57" s="67"/>
      <c r="J57" s="67"/>
      <c r="K57" s="67"/>
    </row>
    <row r="58" spans="1:11">
      <c r="A58" s="67" t="s">
        <v>444</v>
      </c>
      <c r="B58" s="67"/>
      <c r="C58" s="67"/>
      <c r="D58" s="67"/>
      <c r="E58" s="67"/>
      <c r="F58" s="67"/>
      <c r="G58" s="67"/>
      <c r="H58" s="67"/>
      <c r="I58" s="67"/>
      <c r="J58" s="67"/>
      <c r="K58" s="67"/>
    </row>
    <row r="59" spans="1:11">
      <c r="A59" s="67" t="s">
        <v>80</v>
      </c>
      <c r="B59" s="67"/>
      <c r="C59" s="67"/>
      <c r="D59" s="67"/>
      <c r="E59" s="67"/>
      <c r="F59" s="67"/>
      <c r="G59" s="67"/>
      <c r="H59" s="67"/>
      <c r="I59" s="67"/>
      <c r="J59" s="67"/>
      <c r="K59" s="67"/>
    </row>
    <row r="60" spans="1:11">
      <c r="A60" s="67" t="s">
        <v>76</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445</v>
      </c>
      <c r="B62" s="67"/>
      <c r="C62" s="67"/>
      <c r="D62" s="67"/>
      <c r="E62" s="67"/>
      <c r="F62" s="67"/>
      <c r="G62" s="67"/>
      <c r="H62" s="67"/>
      <c r="I62" s="67"/>
      <c r="J62" s="67"/>
      <c r="K62" s="67"/>
    </row>
    <row r="63" spans="1:11">
      <c r="A63" s="67" t="s">
        <v>446</v>
      </c>
      <c r="B63" s="67"/>
      <c r="C63" s="67"/>
      <c r="D63" s="67"/>
      <c r="E63" s="67"/>
      <c r="F63" s="67"/>
      <c r="G63" s="67"/>
      <c r="H63" s="67"/>
      <c r="I63" s="67"/>
      <c r="J63" s="67"/>
      <c r="K63" s="67"/>
    </row>
    <row r="64" spans="1:11">
      <c r="A64" s="67" t="s">
        <v>447</v>
      </c>
      <c r="B64" s="67"/>
      <c r="C64" s="67"/>
      <c r="D64" s="67"/>
      <c r="E64" s="67"/>
      <c r="F64" s="67"/>
      <c r="G64" s="67"/>
      <c r="H64" s="67"/>
      <c r="I64" s="67"/>
      <c r="J64" s="67"/>
      <c r="K64" s="67"/>
    </row>
    <row r="65" spans="1:11">
      <c r="A65" s="67" t="s">
        <v>448</v>
      </c>
      <c r="B65" s="67"/>
      <c r="C65" s="67"/>
      <c r="D65" s="67"/>
      <c r="E65" s="67"/>
      <c r="F65" s="67"/>
      <c r="G65" s="67"/>
      <c r="H65" s="67"/>
      <c r="I65" s="67"/>
      <c r="J65" s="67"/>
      <c r="K65" s="67"/>
    </row>
    <row r="66" spans="1:11">
      <c r="A66" s="67" t="s">
        <v>449</v>
      </c>
      <c r="B66" s="67"/>
      <c r="C66" s="67"/>
      <c r="D66" s="67"/>
      <c r="E66" s="67"/>
      <c r="F66" s="67"/>
      <c r="G66" s="67"/>
      <c r="H66" s="67"/>
      <c r="I66" s="67"/>
      <c r="J66" s="67"/>
      <c r="K66" s="67"/>
    </row>
    <row r="67" spans="1:11">
      <c r="A67" s="67" t="s">
        <v>97</v>
      </c>
      <c r="B67" s="67"/>
      <c r="C67" s="67"/>
      <c r="D67" s="67"/>
      <c r="E67" s="67"/>
      <c r="F67" s="67"/>
      <c r="G67" s="67"/>
      <c r="H67" s="67"/>
      <c r="I67" s="67"/>
      <c r="J67" s="67"/>
      <c r="K67" s="67"/>
    </row>
    <row r="69" spans="1:11">
      <c r="A69" s="3" t="s">
        <v>213</v>
      </c>
    </row>
    <row r="70" spans="1:11">
      <c r="A70" s="63" t="s">
        <v>188</v>
      </c>
      <c r="B70" s="63"/>
      <c r="C70" s="64" t="s">
        <v>2</v>
      </c>
      <c r="D70" s="64"/>
      <c r="E70" s="64"/>
      <c r="F70" s="64"/>
      <c r="G70" s="64"/>
      <c r="H70" s="64"/>
      <c r="I70" s="64"/>
      <c r="J70" s="64"/>
      <c r="K70" s="64"/>
    </row>
    <row r="71" spans="1:11">
      <c r="A71" s="59" t="s">
        <v>3</v>
      </c>
      <c r="B71" s="59"/>
      <c r="C71" s="62" t="s">
        <v>456</v>
      </c>
      <c r="D71" s="62"/>
      <c r="E71" s="62"/>
      <c r="F71" s="62"/>
      <c r="G71" s="62"/>
      <c r="H71" s="62"/>
      <c r="I71" s="62"/>
      <c r="J71" s="62"/>
      <c r="K71" s="62"/>
    </row>
    <row r="72" spans="1:11">
      <c r="A72" s="59" t="s">
        <v>70</v>
      </c>
      <c r="B72" s="59"/>
      <c r="C72" s="62" t="s">
        <v>834</v>
      </c>
      <c r="D72" s="62"/>
      <c r="E72" s="62"/>
      <c r="F72" s="62"/>
      <c r="G72" s="62"/>
      <c r="H72" s="62"/>
      <c r="I72" s="62"/>
      <c r="J72" s="62"/>
      <c r="K72" s="62"/>
    </row>
    <row r="73" spans="1:11">
      <c r="A73" s="59" t="s">
        <v>13</v>
      </c>
      <c r="B73" s="59"/>
      <c r="C73" s="62" t="s">
        <v>831</v>
      </c>
      <c r="D73" s="62"/>
      <c r="E73" s="62"/>
      <c r="F73" s="62"/>
      <c r="G73" s="62"/>
      <c r="H73" s="62"/>
      <c r="I73" s="62"/>
      <c r="J73" s="62"/>
      <c r="K73" s="62"/>
    </row>
    <row r="74" spans="1:11">
      <c r="A74" s="59" t="s">
        <v>71</v>
      </c>
      <c r="B74" s="59"/>
      <c r="C74" s="62" t="s">
        <v>591</v>
      </c>
      <c r="D74" s="62"/>
      <c r="E74" s="62"/>
      <c r="F74" s="62"/>
      <c r="G74" s="62"/>
      <c r="H74" s="62"/>
      <c r="I74" s="62"/>
      <c r="J74" s="62"/>
      <c r="K74" s="62"/>
    </row>
    <row r="75" spans="1:11">
      <c r="A75" s="59" t="s">
        <v>72</v>
      </c>
      <c r="B75" s="59"/>
      <c r="C75" s="62" t="s">
        <v>835</v>
      </c>
      <c r="D75" s="62"/>
      <c r="E75" s="62"/>
      <c r="F75" s="62"/>
      <c r="G75" s="62"/>
      <c r="H75" s="62"/>
      <c r="I75" s="62"/>
      <c r="J75" s="62"/>
      <c r="K75" s="62"/>
    </row>
    <row r="76" spans="1:11">
      <c r="A76" s="59" t="s">
        <v>73</v>
      </c>
      <c r="B76" s="59"/>
      <c r="C76" s="62" t="s">
        <v>832</v>
      </c>
      <c r="D76" s="62"/>
      <c r="E76" s="62"/>
      <c r="F76" s="62"/>
      <c r="G76" s="62"/>
      <c r="H76" s="62"/>
      <c r="I76" s="62"/>
      <c r="J76" s="62"/>
      <c r="K76" s="62"/>
    </row>
    <row r="77" spans="1:11">
      <c r="A77" s="59" t="s">
        <v>74</v>
      </c>
      <c r="B77" s="59"/>
      <c r="C77" s="62" t="s">
        <v>833</v>
      </c>
      <c r="D77" s="62"/>
      <c r="E77" s="62"/>
      <c r="F77" s="62"/>
      <c r="G77" s="62"/>
      <c r="H77" s="62"/>
      <c r="I77" s="62"/>
      <c r="J77" s="62"/>
      <c r="K77" s="62"/>
    </row>
    <row r="79" spans="1:11">
      <c r="A79" s="3" t="s">
        <v>224</v>
      </c>
    </row>
    <row r="80" spans="1:11">
      <c r="A80" s="69" t="s">
        <v>592</v>
      </c>
      <c r="B80" s="69"/>
      <c r="C80" s="69"/>
      <c r="D80" s="69"/>
      <c r="E80" s="69"/>
      <c r="F80" s="69"/>
      <c r="G80" s="69"/>
      <c r="H80" s="69"/>
      <c r="I80" s="69"/>
      <c r="J80" s="69"/>
      <c r="K80" s="69"/>
    </row>
    <row r="81" spans="1:11">
      <c r="A81" s="82" t="s">
        <v>593</v>
      </c>
      <c r="B81" s="82"/>
      <c r="C81" s="82"/>
      <c r="D81" s="82"/>
      <c r="E81" s="82"/>
      <c r="F81" s="82"/>
      <c r="G81" s="82"/>
      <c r="H81" s="82"/>
      <c r="I81" s="82"/>
      <c r="J81" s="82"/>
      <c r="K81" s="82"/>
    </row>
    <row r="82" spans="1:11">
      <c r="A82" s="82" t="s">
        <v>594</v>
      </c>
      <c r="B82" s="82"/>
      <c r="C82" s="82"/>
      <c r="D82" s="82"/>
      <c r="E82" s="82"/>
      <c r="F82" s="82"/>
      <c r="G82" s="82"/>
      <c r="H82" s="82"/>
      <c r="I82" s="82"/>
      <c r="J82" s="82"/>
      <c r="K82" s="82"/>
    </row>
    <row r="83" spans="1:11">
      <c r="A83" s="82" t="s">
        <v>595</v>
      </c>
      <c r="B83" s="82"/>
      <c r="C83" s="82"/>
      <c r="D83" s="82"/>
      <c r="E83" s="82"/>
      <c r="F83" s="82"/>
      <c r="G83" s="82"/>
      <c r="H83" s="82"/>
      <c r="I83" s="82"/>
      <c r="J83" s="82"/>
      <c r="K83" s="82"/>
    </row>
    <row r="84" spans="1:11">
      <c r="A84" s="69" t="s">
        <v>596</v>
      </c>
      <c r="B84" s="69"/>
      <c r="C84" s="69"/>
      <c r="D84" s="69"/>
      <c r="E84" s="69"/>
      <c r="F84" s="69"/>
      <c r="G84" s="69"/>
      <c r="H84" s="69"/>
      <c r="I84" s="69"/>
      <c r="J84" s="69"/>
      <c r="K84" s="69"/>
    </row>
    <row r="85" spans="1:11">
      <c r="A85" s="69" t="s">
        <v>597</v>
      </c>
      <c r="B85" s="69"/>
      <c r="C85" s="69"/>
      <c r="D85" s="69"/>
      <c r="E85" s="69"/>
      <c r="F85" s="69"/>
      <c r="G85" s="69"/>
      <c r="H85" s="69"/>
      <c r="I85" s="69"/>
      <c r="J85" s="69"/>
      <c r="K85" s="69"/>
    </row>
    <row r="86" spans="1:11">
      <c r="A86" s="69" t="s">
        <v>598</v>
      </c>
      <c r="B86" s="69"/>
      <c r="C86" s="69"/>
      <c r="D86" s="69"/>
      <c r="E86" s="69"/>
      <c r="F86" s="69"/>
      <c r="G86" s="69"/>
      <c r="H86" s="69"/>
      <c r="I86" s="69"/>
      <c r="J86" s="69"/>
      <c r="K86" s="69"/>
    </row>
    <row r="87" spans="1:11">
      <c r="A87" s="82" t="s">
        <v>457</v>
      </c>
      <c r="B87" s="82"/>
      <c r="C87" s="82"/>
      <c r="D87" s="82"/>
      <c r="E87" s="82"/>
      <c r="F87" s="82"/>
      <c r="G87" s="82"/>
      <c r="H87" s="82"/>
      <c r="I87" s="82"/>
      <c r="J87" s="82"/>
      <c r="K87" s="82"/>
    </row>
    <row r="88" spans="1:11">
      <c r="A88" s="82" t="s">
        <v>458</v>
      </c>
      <c r="B88" s="82"/>
      <c r="C88" s="82"/>
      <c r="D88" s="82"/>
      <c r="E88" s="82"/>
      <c r="F88" s="82"/>
      <c r="G88" s="82"/>
      <c r="H88" s="82"/>
      <c r="I88" s="82"/>
      <c r="J88" s="82"/>
      <c r="K88" s="82"/>
    </row>
    <row r="89" spans="1:11">
      <c r="A89" s="69" t="s">
        <v>599</v>
      </c>
      <c r="B89" s="69"/>
      <c r="C89" s="69"/>
      <c r="D89" s="69"/>
      <c r="E89" s="69"/>
      <c r="F89" s="69"/>
      <c r="G89" s="69"/>
      <c r="H89" s="69"/>
      <c r="I89" s="69"/>
      <c r="J89" s="69"/>
      <c r="K89" s="69"/>
    </row>
    <row r="90" spans="1:11">
      <c r="A90" s="69" t="s">
        <v>459</v>
      </c>
      <c r="B90" s="69"/>
      <c r="C90" s="69"/>
      <c r="D90" s="69"/>
      <c r="E90" s="69"/>
      <c r="F90" s="69"/>
      <c r="G90" s="69"/>
      <c r="H90" s="69"/>
      <c r="I90" s="69"/>
      <c r="J90" s="69"/>
      <c r="K90" s="69"/>
    </row>
    <row r="91" spans="1:11">
      <c r="A91" s="69" t="s">
        <v>600</v>
      </c>
      <c r="B91" s="69"/>
      <c r="C91" s="69"/>
      <c r="D91" s="69"/>
      <c r="E91" s="69"/>
      <c r="F91" s="69"/>
      <c r="G91" s="69"/>
      <c r="H91" s="69"/>
      <c r="I91" s="69"/>
      <c r="J91" s="69"/>
      <c r="K91" s="69"/>
    </row>
    <row r="92" spans="1:11">
      <c r="A92" s="87" t="s">
        <v>601</v>
      </c>
      <c r="B92" s="87"/>
      <c r="C92" s="87"/>
      <c r="D92" s="87"/>
      <c r="E92" s="87"/>
      <c r="F92" s="87"/>
      <c r="G92" s="87"/>
      <c r="H92" s="87"/>
      <c r="I92" s="87"/>
      <c r="J92" s="87"/>
      <c r="K92" s="87"/>
    </row>
    <row r="93" spans="1:11">
      <c r="A93" s="87" t="s">
        <v>602</v>
      </c>
      <c r="B93" s="87"/>
      <c r="C93" s="87"/>
      <c r="D93" s="87"/>
      <c r="E93" s="87"/>
      <c r="F93" s="87"/>
      <c r="G93" s="87"/>
      <c r="H93" s="87"/>
      <c r="I93" s="87"/>
      <c r="J93" s="87"/>
      <c r="K93" s="87"/>
    </row>
    <row r="94" spans="1:11">
      <c r="A94" s="87" t="s">
        <v>603</v>
      </c>
      <c r="B94" s="87"/>
      <c r="C94" s="87"/>
      <c r="D94" s="87"/>
      <c r="E94" s="87"/>
      <c r="F94" s="87"/>
      <c r="G94" s="87"/>
      <c r="H94" s="87"/>
      <c r="I94" s="87"/>
      <c r="J94" s="87"/>
      <c r="K94" s="87"/>
    </row>
    <row r="96" spans="1:11">
      <c r="A96" s="3" t="s">
        <v>232</v>
      </c>
    </row>
    <row r="97" spans="1:11">
      <c r="A97" s="86" t="s">
        <v>460</v>
      </c>
      <c r="B97" s="86"/>
      <c r="C97" s="86"/>
      <c r="D97" s="86"/>
      <c r="E97" s="86"/>
      <c r="F97" s="86"/>
      <c r="G97" s="86"/>
      <c r="H97" s="86"/>
      <c r="I97" s="86"/>
      <c r="J97" s="86"/>
      <c r="K97" s="86"/>
    </row>
    <row r="98" spans="1:11">
      <c r="A98" s="86" t="s">
        <v>604</v>
      </c>
      <c r="B98" s="86"/>
      <c r="C98" s="86"/>
      <c r="D98" s="86"/>
      <c r="E98" s="86"/>
      <c r="F98" s="86"/>
      <c r="G98" s="86"/>
      <c r="H98" s="86"/>
      <c r="I98" s="86"/>
      <c r="J98" s="86"/>
      <c r="K98" s="86"/>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74" t="s">
        <v>465</v>
      </c>
      <c r="E119" s="74"/>
      <c r="F119" s="74"/>
      <c r="G119" s="74"/>
      <c r="H119" s="74"/>
      <c r="I119" s="74"/>
      <c r="J119" s="74"/>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56:K56"/>
    <mergeCell ref="A57:K57"/>
    <mergeCell ref="A58:K58"/>
    <mergeCell ref="A59:K59"/>
    <mergeCell ref="A60:K60"/>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70:B70"/>
    <mergeCell ref="C70:K70"/>
    <mergeCell ref="A61:K61"/>
    <mergeCell ref="A62:K62"/>
    <mergeCell ref="A63:K63"/>
    <mergeCell ref="A64:K64"/>
    <mergeCell ref="A65:K65"/>
    <mergeCell ref="A66:K66"/>
    <mergeCell ref="A67:K67"/>
    <mergeCell ref="A48:K48"/>
    <mergeCell ref="A42:K42"/>
    <mergeCell ref="A31:K31"/>
    <mergeCell ref="A32:K32"/>
    <mergeCell ref="A33:K33"/>
    <mergeCell ref="A34:K34"/>
    <mergeCell ref="A35:K35"/>
    <mergeCell ref="A36:K36"/>
    <mergeCell ref="A37:K37"/>
    <mergeCell ref="A38:K38"/>
    <mergeCell ref="A39:K39"/>
    <mergeCell ref="A40:K40"/>
    <mergeCell ref="A41:K41"/>
    <mergeCell ref="A30:K30"/>
    <mergeCell ref="A19:K19"/>
    <mergeCell ref="A20:K20"/>
    <mergeCell ref="A21:K21"/>
    <mergeCell ref="A22:K22"/>
    <mergeCell ref="A23:K23"/>
    <mergeCell ref="A24:K24"/>
    <mergeCell ref="A25:K25"/>
    <mergeCell ref="A26:K26"/>
    <mergeCell ref="A27:K27"/>
    <mergeCell ref="A28:K28"/>
    <mergeCell ref="A29:K29"/>
    <mergeCell ref="A18:K18"/>
    <mergeCell ref="A13:K13"/>
    <mergeCell ref="A14:K14"/>
    <mergeCell ref="A15:K15"/>
    <mergeCell ref="A16:K16"/>
    <mergeCell ref="A17:K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4.25"/>
  <cols>
    <col min="1" max="16384" width="9" style="2"/>
  </cols>
  <sheetData>
    <row r="1" spans="1:11">
      <c r="A1" s="3" t="s">
        <v>1541</v>
      </c>
      <c r="K1" s="17">
        <v>46191</v>
      </c>
    </row>
    <row r="2" spans="1:11">
      <c r="A2" s="65" t="s">
        <v>1333</v>
      </c>
      <c r="B2" s="65"/>
      <c r="C2" s="65"/>
      <c r="D2" s="65"/>
      <c r="E2" s="65"/>
      <c r="F2" s="65"/>
      <c r="G2" s="65"/>
      <c r="H2" s="65"/>
      <c r="I2" s="65"/>
      <c r="J2" s="65"/>
      <c r="K2" s="65"/>
    </row>
    <row r="3" spans="1:11">
      <c r="A3" s="65" t="s">
        <v>1334</v>
      </c>
      <c r="B3" s="65"/>
      <c r="C3" s="65"/>
      <c r="D3" s="65"/>
      <c r="E3" s="65"/>
      <c r="F3" s="65"/>
      <c r="G3" s="65"/>
      <c r="H3" s="65"/>
      <c r="I3" s="65"/>
      <c r="J3" s="65"/>
      <c r="K3" s="65"/>
    </row>
    <row r="4" spans="1:11">
      <c r="A4" s="65" t="s">
        <v>1335</v>
      </c>
      <c r="B4" s="65"/>
      <c r="C4" s="65"/>
      <c r="D4" s="65"/>
      <c r="E4" s="65"/>
      <c r="F4" s="65"/>
      <c r="G4" s="65"/>
      <c r="H4" s="65"/>
      <c r="I4" s="65"/>
      <c r="J4" s="65"/>
      <c r="K4" s="65"/>
    </row>
    <row r="6" spans="1:11">
      <c r="A6" s="3" t="s">
        <v>1</v>
      </c>
    </row>
    <row r="7" spans="1:11" ht="15">
      <c r="A7" s="65" t="s">
        <v>1338</v>
      </c>
      <c r="B7" s="65"/>
      <c r="C7" s="65"/>
      <c r="D7" s="65"/>
      <c r="E7" s="65"/>
      <c r="F7" s="65"/>
      <c r="G7" s="65"/>
      <c r="H7" s="65"/>
      <c r="I7" s="65"/>
      <c r="J7" s="65"/>
      <c r="K7" s="65"/>
    </row>
    <row r="8" spans="1:11">
      <c r="A8" s="65" t="s">
        <v>1336</v>
      </c>
      <c r="B8" s="65"/>
      <c r="C8" s="65"/>
      <c r="D8" s="65"/>
      <c r="E8" s="65"/>
      <c r="F8" s="65"/>
      <c r="G8" s="65"/>
      <c r="H8" s="65"/>
      <c r="I8" s="65"/>
      <c r="J8" s="65"/>
      <c r="K8" s="65"/>
    </row>
    <row r="9" spans="1:11">
      <c r="A9" s="65" t="s">
        <v>1337</v>
      </c>
      <c r="B9" s="65"/>
      <c r="C9" s="65"/>
      <c r="D9" s="65"/>
      <c r="E9" s="65"/>
      <c r="F9" s="65"/>
      <c r="G9" s="65"/>
      <c r="H9" s="65"/>
      <c r="I9" s="65"/>
      <c r="J9" s="65"/>
      <c r="K9" s="65"/>
    </row>
    <row r="11" spans="1:11">
      <c r="A11" s="3" t="s">
        <v>220</v>
      </c>
    </row>
    <row r="12" spans="1:11">
      <c r="A12" s="66" t="s">
        <v>1378</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1379</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1380</v>
      </c>
      <c r="B23" s="67"/>
      <c r="C23" s="67"/>
      <c r="D23" s="67"/>
      <c r="E23" s="67"/>
      <c r="F23" s="67"/>
      <c r="G23" s="67"/>
      <c r="H23" s="67"/>
      <c r="I23" s="67"/>
      <c r="J23" s="67"/>
      <c r="K23" s="67"/>
    </row>
    <row r="24" spans="1:11">
      <c r="A24" s="67" t="s">
        <v>1342</v>
      </c>
      <c r="B24" s="67"/>
      <c r="C24" s="67"/>
      <c r="D24" s="67"/>
      <c r="E24" s="67"/>
      <c r="F24" s="67"/>
      <c r="G24" s="67"/>
      <c r="H24" s="67"/>
      <c r="I24" s="67"/>
      <c r="J24" s="67"/>
      <c r="K24" s="67"/>
    </row>
    <row r="25" spans="1:11">
      <c r="A25" s="67" t="s">
        <v>1388</v>
      </c>
      <c r="B25" s="67"/>
      <c r="C25" s="67"/>
      <c r="D25" s="67"/>
      <c r="E25" s="67"/>
      <c r="F25" s="67"/>
      <c r="G25" s="67"/>
      <c r="H25" s="67"/>
      <c r="I25" s="67"/>
      <c r="J25" s="67"/>
      <c r="K25" s="67"/>
    </row>
    <row r="26" spans="1:11">
      <c r="A26" s="67" t="s">
        <v>1381</v>
      </c>
      <c r="B26" s="67"/>
      <c r="C26" s="67"/>
      <c r="D26" s="67"/>
      <c r="E26" s="67"/>
      <c r="F26" s="67"/>
      <c r="G26" s="67"/>
      <c r="H26" s="67"/>
      <c r="I26" s="67"/>
      <c r="J26" s="67"/>
      <c r="K26" s="67"/>
    </row>
    <row r="27" spans="1:11">
      <c r="A27" s="67" t="s">
        <v>1382</v>
      </c>
      <c r="B27" s="67"/>
      <c r="C27" s="67"/>
      <c r="D27" s="67"/>
      <c r="E27" s="67"/>
      <c r="F27" s="67"/>
      <c r="G27" s="67"/>
      <c r="H27" s="67"/>
      <c r="I27" s="67"/>
      <c r="J27" s="67"/>
      <c r="K27" s="67"/>
    </row>
    <row r="28" spans="1:11">
      <c r="A28" s="67" t="s">
        <v>1343</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1347</v>
      </c>
      <c r="B40" s="67"/>
      <c r="C40" s="67"/>
      <c r="D40" s="67"/>
      <c r="E40" s="67"/>
      <c r="F40" s="67"/>
      <c r="G40" s="67"/>
      <c r="H40" s="67"/>
      <c r="I40" s="67"/>
      <c r="J40" s="67"/>
      <c r="K40" s="67"/>
    </row>
    <row r="41" spans="1:11">
      <c r="A41" s="67" t="s">
        <v>1306</v>
      </c>
      <c r="B41" s="67"/>
      <c r="C41" s="67"/>
      <c r="D41" s="67"/>
      <c r="E41" s="67"/>
      <c r="F41" s="67"/>
      <c r="G41" s="67"/>
      <c r="H41" s="67"/>
      <c r="I41" s="67"/>
      <c r="J41" s="67"/>
      <c r="K41" s="67"/>
    </row>
    <row r="42" spans="1:11">
      <c r="A42" s="67" t="s">
        <v>1307</v>
      </c>
      <c r="B42" s="67"/>
      <c r="C42" s="67"/>
      <c r="D42" s="67"/>
      <c r="E42" s="67"/>
      <c r="F42" s="67"/>
      <c r="G42" s="67"/>
      <c r="H42" s="67"/>
      <c r="I42" s="67"/>
      <c r="J42" s="67"/>
      <c r="K42" s="67"/>
    </row>
    <row r="43" spans="1:11">
      <c r="A43" s="67" t="s">
        <v>1308</v>
      </c>
      <c r="B43" s="67"/>
      <c r="C43" s="67"/>
      <c r="D43" s="67"/>
      <c r="E43" s="67"/>
      <c r="F43" s="67"/>
      <c r="G43" s="67"/>
      <c r="H43" s="67"/>
      <c r="I43" s="67"/>
      <c r="J43" s="67"/>
      <c r="K43" s="67"/>
    </row>
    <row r="44" spans="1:11">
      <c r="A44" s="67" t="s">
        <v>1348</v>
      </c>
      <c r="B44" s="67"/>
      <c r="C44" s="67"/>
      <c r="D44" s="67"/>
      <c r="E44" s="67"/>
      <c r="F44" s="67"/>
      <c r="G44" s="67"/>
      <c r="H44" s="67"/>
      <c r="I44" s="67"/>
      <c r="J44" s="67"/>
      <c r="K44" s="67"/>
    </row>
    <row r="45" spans="1:11">
      <c r="A45" s="67" t="s">
        <v>1309</v>
      </c>
      <c r="B45" s="67"/>
      <c r="C45" s="67"/>
      <c r="D45" s="67"/>
      <c r="E45" s="67"/>
      <c r="F45" s="67"/>
      <c r="G45" s="67"/>
      <c r="H45" s="67"/>
      <c r="I45" s="67"/>
      <c r="J45" s="67"/>
      <c r="K45" s="67"/>
    </row>
    <row r="46" spans="1:11">
      <c r="A46" s="67" t="s">
        <v>81</v>
      </c>
      <c r="B46" s="67"/>
      <c r="C46" s="67"/>
      <c r="D46" s="67"/>
      <c r="E46" s="67"/>
      <c r="F46" s="67"/>
      <c r="G46" s="67"/>
      <c r="H46" s="67"/>
      <c r="I46" s="67"/>
      <c r="J46" s="67"/>
      <c r="K46" s="67"/>
    </row>
    <row r="47" spans="1:11">
      <c r="A47" s="67" t="s">
        <v>146</v>
      </c>
      <c r="B47" s="67"/>
      <c r="C47" s="67"/>
      <c r="D47" s="67"/>
      <c r="E47" s="67"/>
      <c r="F47" s="67"/>
      <c r="G47" s="67"/>
      <c r="H47" s="67"/>
      <c r="I47" s="67"/>
      <c r="J47" s="67"/>
      <c r="K47" s="67"/>
    </row>
    <row r="48" spans="1:11">
      <c r="A48" s="67" t="s">
        <v>77</v>
      </c>
      <c r="B48" s="67"/>
      <c r="C48" s="67"/>
      <c r="D48" s="67"/>
      <c r="E48" s="67"/>
      <c r="F48" s="67"/>
      <c r="G48" s="67"/>
      <c r="H48" s="67"/>
      <c r="I48" s="67"/>
      <c r="J48" s="67"/>
      <c r="K48" s="67"/>
    </row>
    <row r="49" spans="1:11">
      <c r="A49" s="67" t="s">
        <v>1310</v>
      </c>
      <c r="B49" s="67"/>
      <c r="C49" s="67"/>
      <c r="D49" s="67"/>
      <c r="E49" s="67"/>
      <c r="F49" s="67"/>
      <c r="G49" s="67"/>
      <c r="H49" s="67"/>
      <c r="I49" s="67"/>
      <c r="J49" s="67"/>
      <c r="K49" s="67"/>
    </row>
    <row r="50" spans="1:11">
      <c r="A50" s="67" t="s">
        <v>1349</v>
      </c>
      <c r="B50" s="67"/>
      <c r="C50" s="67"/>
      <c r="D50" s="67"/>
      <c r="E50" s="67"/>
      <c r="F50" s="67"/>
      <c r="G50" s="67"/>
      <c r="H50" s="67"/>
      <c r="I50" s="67"/>
      <c r="J50" s="67"/>
      <c r="K50" s="67"/>
    </row>
    <row r="51" spans="1:11">
      <c r="A51" s="67" t="s">
        <v>1350</v>
      </c>
      <c r="B51" s="67"/>
      <c r="C51" s="67"/>
      <c r="D51" s="67"/>
      <c r="E51" s="67"/>
      <c r="F51" s="67"/>
      <c r="G51" s="67"/>
      <c r="H51" s="67"/>
      <c r="I51" s="67"/>
      <c r="J51" s="67"/>
      <c r="K51" s="67"/>
    </row>
    <row r="52" spans="1:11">
      <c r="A52" s="67" t="s">
        <v>1351</v>
      </c>
      <c r="B52" s="67"/>
      <c r="C52" s="67"/>
      <c r="D52" s="67"/>
      <c r="E52" s="67"/>
      <c r="F52" s="67"/>
      <c r="G52" s="67"/>
      <c r="H52" s="67"/>
      <c r="I52" s="67"/>
      <c r="J52" s="67"/>
      <c r="K52" s="67"/>
    </row>
    <row r="53" spans="1:11">
      <c r="A53" s="67" t="s">
        <v>1352</v>
      </c>
      <c r="B53" s="67"/>
      <c r="C53" s="67"/>
      <c r="D53" s="67"/>
      <c r="E53" s="67"/>
      <c r="F53" s="67"/>
      <c r="G53" s="67"/>
      <c r="H53" s="67"/>
      <c r="I53" s="67"/>
      <c r="J53" s="67"/>
      <c r="K53" s="67"/>
    </row>
    <row r="54" spans="1:11">
      <c r="A54" s="67" t="s">
        <v>1311</v>
      </c>
      <c r="B54" s="67"/>
      <c r="C54" s="67"/>
      <c r="D54" s="67"/>
      <c r="E54" s="67"/>
      <c r="F54" s="67"/>
      <c r="G54" s="67"/>
      <c r="H54" s="67"/>
      <c r="I54" s="67"/>
      <c r="J54" s="67"/>
      <c r="K54" s="67"/>
    </row>
    <row r="55" spans="1:11">
      <c r="A55" s="67" t="s">
        <v>1353</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177</v>
      </c>
      <c r="B57" s="67"/>
      <c r="C57" s="67"/>
      <c r="D57" s="67"/>
      <c r="E57" s="67"/>
      <c r="F57" s="67"/>
      <c r="G57" s="67"/>
      <c r="H57" s="67"/>
      <c r="I57" s="67"/>
      <c r="J57" s="67"/>
      <c r="K57" s="67"/>
    </row>
    <row r="58" spans="1:11">
      <c r="A58" s="67" t="s">
        <v>97</v>
      </c>
      <c r="B58" s="67"/>
      <c r="C58" s="67"/>
      <c r="D58" s="67"/>
      <c r="E58" s="67"/>
      <c r="F58" s="67"/>
      <c r="G58" s="67"/>
      <c r="H58" s="67"/>
      <c r="I58" s="67"/>
      <c r="J58" s="67"/>
      <c r="K58" s="67"/>
    </row>
    <row r="60" spans="1:11">
      <c r="A60" s="3" t="s">
        <v>213</v>
      </c>
    </row>
    <row r="61" spans="1:11">
      <c r="A61" s="63" t="s">
        <v>188</v>
      </c>
      <c r="B61" s="63"/>
      <c r="C61" s="64" t="s">
        <v>2</v>
      </c>
      <c r="D61" s="64"/>
      <c r="E61" s="64"/>
      <c r="F61" s="64"/>
      <c r="G61" s="64"/>
      <c r="H61" s="64"/>
      <c r="I61" s="64"/>
      <c r="J61" s="64"/>
      <c r="K61" s="64"/>
    </row>
    <row r="62" spans="1:11">
      <c r="A62" s="59" t="s">
        <v>1383</v>
      </c>
      <c r="B62" s="59"/>
      <c r="C62" s="62" t="s">
        <v>1385</v>
      </c>
      <c r="D62" s="62"/>
      <c r="E62" s="62"/>
      <c r="F62" s="62"/>
      <c r="G62" s="62"/>
      <c r="H62" s="62"/>
      <c r="I62" s="62"/>
      <c r="J62" s="62"/>
      <c r="K62" s="62"/>
    </row>
    <row r="63" spans="1:11">
      <c r="A63" s="59" t="s">
        <v>1384</v>
      </c>
      <c r="B63" s="59"/>
      <c r="C63" s="62" t="s">
        <v>1386</v>
      </c>
      <c r="D63" s="62"/>
      <c r="E63" s="62"/>
      <c r="F63" s="62"/>
      <c r="G63" s="62"/>
      <c r="H63" s="62"/>
      <c r="I63" s="62"/>
      <c r="J63" s="62"/>
      <c r="K63" s="62"/>
    </row>
    <row r="64" spans="1:11" ht="24.75" customHeight="1">
      <c r="A64" s="59" t="s">
        <v>1312</v>
      </c>
      <c r="B64" s="59"/>
      <c r="C64" s="62" t="s">
        <v>1314</v>
      </c>
      <c r="D64" s="62"/>
      <c r="E64" s="62"/>
      <c r="F64" s="62"/>
      <c r="G64" s="62"/>
      <c r="H64" s="62"/>
      <c r="I64" s="62"/>
      <c r="J64" s="62"/>
      <c r="K64" s="62"/>
    </row>
    <row r="65" spans="1:11" ht="28.5" customHeight="1">
      <c r="A65" s="59" t="s">
        <v>1313</v>
      </c>
      <c r="B65" s="59"/>
      <c r="C65" s="62" t="s">
        <v>1374</v>
      </c>
      <c r="D65" s="62"/>
      <c r="E65" s="62"/>
      <c r="F65" s="62"/>
      <c r="G65" s="62"/>
      <c r="H65" s="62"/>
      <c r="I65" s="62"/>
      <c r="J65" s="62"/>
      <c r="K65" s="62"/>
    </row>
    <row r="67" spans="1:11">
      <c r="A67" s="3" t="s">
        <v>224</v>
      </c>
    </row>
    <row r="68" spans="1:11">
      <c r="A68" s="65" t="s">
        <v>1316</v>
      </c>
      <c r="B68" s="65"/>
      <c r="C68" s="65"/>
      <c r="D68" s="65"/>
      <c r="E68" s="65"/>
      <c r="F68" s="65"/>
      <c r="G68" s="65"/>
      <c r="H68" s="65"/>
      <c r="I68" s="65"/>
      <c r="J68" s="65"/>
      <c r="K68" s="65"/>
    </row>
    <row r="69" spans="1:11">
      <c r="A69" s="65" t="s">
        <v>1317</v>
      </c>
      <c r="B69" s="65"/>
      <c r="C69" s="65"/>
      <c r="D69" s="65"/>
      <c r="E69" s="65"/>
      <c r="F69" s="65"/>
      <c r="G69" s="65"/>
      <c r="H69" s="65"/>
      <c r="I69" s="65"/>
      <c r="J69" s="65"/>
      <c r="K69" s="65"/>
    </row>
    <row r="70" spans="1:11">
      <c r="A70" s="65" t="s">
        <v>1354</v>
      </c>
      <c r="B70" s="65"/>
      <c r="C70" s="65"/>
      <c r="D70" s="65"/>
      <c r="E70" s="65"/>
      <c r="F70" s="65"/>
      <c r="G70" s="65"/>
      <c r="H70" s="65"/>
      <c r="I70" s="65"/>
      <c r="J70" s="65"/>
      <c r="K70" s="65"/>
    </row>
    <row r="71" spans="1:11">
      <c r="A71" s="65" t="s">
        <v>1318</v>
      </c>
      <c r="B71" s="65"/>
      <c r="C71" s="65"/>
      <c r="D71" s="65"/>
      <c r="E71" s="65"/>
      <c r="F71" s="65"/>
      <c r="G71" s="65"/>
      <c r="H71" s="65"/>
      <c r="I71" s="65"/>
      <c r="J71" s="65"/>
      <c r="K71" s="65"/>
    </row>
    <row r="72" spans="1:11">
      <c r="A72" s="75" t="s">
        <v>1319</v>
      </c>
      <c r="B72" s="75"/>
      <c r="C72" s="75"/>
      <c r="D72" s="75"/>
      <c r="E72" s="75"/>
      <c r="F72" s="75"/>
      <c r="G72" s="75"/>
      <c r="H72" s="75"/>
      <c r="I72" s="75"/>
      <c r="J72" s="75"/>
      <c r="K72" s="75"/>
    </row>
    <row r="73" spans="1:11">
      <c r="A73" s="75" t="s">
        <v>1320</v>
      </c>
      <c r="B73" s="75"/>
      <c r="C73" s="75"/>
      <c r="D73" s="75"/>
      <c r="E73" s="75"/>
      <c r="F73" s="75"/>
      <c r="G73" s="75"/>
      <c r="H73" s="75"/>
      <c r="I73" s="75"/>
      <c r="J73" s="75"/>
      <c r="K73" s="75"/>
    </row>
    <row r="74" spans="1:11">
      <c r="A74" s="75" t="s">
        <v>1321</v>
      </c>
      <c r="B74" s="75"/>
      <c r="C74" s="75"/>
      <c r="D74" s="75"/>
      <c r="E74" s="75"/>
      <c r="F74" s="75"/>
      <c r="G74" s="75"/>
      <c r="H74" s="75"/>
      <c r="I74" s="75"/>
      <c r="J74" s="75"/>
      <c r="K74" s="75"/>
    </row>
    <row r="75" spans="1:11">
      <c r="A75" s="65" t="s">
        <v>1322</v>
      </c>
      <c r="B75" s="65"/>
      <c r="C75" s="65"/>
      <c r="D75" s="65"/>
      <c r="E75" s="65"/>
      <c r="F75" s="65"/>
      <c r="G75" s="65"/>
      <c r="H75" s="65"/>
      <c r="I75" s="65"/>
      <c r="J75" s="65"/>
      <c r="K75" s="65"/>
    </row>
    <row r="76" spans="1:11">
      <c r="A76" s="75" t="s">
        <v>1323</v>
      </c>
      <c r="B76" s="75"/>
      <c r="C76" s="75"/>
      <c r="D76" s="75"/>
      <c r="E76" s="75"/>
      <c r="F76" s="75"/>
      <c r="G76" s="75"/>
      <c r="H76" s="75"/>
      <c r="I76" s="75"/>
      <c r="J76" s="75"/>
      <c r="K76" s="75"/>
    </row>
    <row r="77" spans="1:11">
      <c r="A77" s="75" t="s">
        <v>1324</v>
      </c>
      <c r="B77" s="75"/>
      <c r="C77" s="75"/>
      <c r="D77" s="75"/>
      <c r="E77" s="75"/>
      <c r="F77" s="75"/>
      <c r="G77" s="75"/>
      <c r="H77" s="75"/>
      <c r="I77" s="75"/>
      <c r="J77" s="75"/>
      <c r="K77" s="75"/>
    </row>
    <row r="78" spans="1:11">
      <c r="A78" s="75" t="s">
        <v>1325</v>
      </c>
      <c r="B78" s="75"/>
      <c r="C78" s="75"/>
      <c r="D78" s="75"/>
      <c r="E78" s="75"/>
      <c r="F78" s="75"/>
      <c r="G78" s="75"/>
      <c r="H78" s="75"/>
      <c r="I78" s="75"/>
      <c r="J78" s="75"/>
      <c r="K78" s="75"/>
    </row>
    <row r="79" spans="1:11">
      <c r="A79" s="75" t="s">
        <v>1326</v>
      </c>
      <c r="B79" s="75"/>
      <c r="C79" s="75"/>
      <c r="D79" s="75"/>
      <c r="E79" s="75"/>
      <c r="F79" s="75"/>
      <c r="G79" s="75"/>
      <c r="H79" s="75"/>
      <c r="I79" s="75"/>
      <c r="J79" s="75"/>
      <c r="K79" s="75"/>
    </row>
    <row r="80" spans="1:11">
      <c r="A80" s="65" t="s">
        <v>1327</v>
      </c>
      <c r="B80" s="65"/>
      <c r="C80" s="65"/>
      <c r="D80" s="65"/>
      <c r="E80" s="65"/>
      <c r="F80" s="65"/>
      <c r="G80" s="65"/>
      <c r="H80" s="65"/>
      <c r="I80" s="65"/>
      <c r="J80" s="65"/>
      <c r="K80" s="65"/>
    </row>
    <row r="81" spans="1:11">
      <c r="A81" s="65" t="s">
        <v>1328</v>
      </c>
      <c r="B81" s="65"/>
      <c r="C81" s="65"/>
      <c r="D81" s="65"/>
      <c r="E81" s="65"/>
      <c r="F81" s="65"/>
      <c r="G81" s="65"/>
      <c r="H81" s="65"/>
      <c r="I81" s="65"/>
      <c r="J81" s="65"/>
      <c r="K81" s="65"/>
    </row>
    <row r="82" spans="1:11">
      <c r="A82" s="65" t="s">
        <v>1329</v>
      </c>
      <c r="B82" s="65"/>
      <c r="C82" s="65"/>
      <c r="D82" s="65"/>
      <c r="E82" s="65"/>
      <c r="F82" s="65"/>
      <c r="G82" s="65"/>
      <c r="H82" s="65"/>
      <c r="I82" s="65"/>
      <c r="J82" s="65"/>
      <c r="K82" s="65"/>
    </row>
    <row r="83" spans="1:11">
      <c r="A83" s="75" t="s">
        <v>1330</v>
      </c>
      <c r="B83" s="75"/>
      <c r="C83" s="75"/>
      <c r="D83" s="75"/>
      <c r="E83" s="75"/>
      <c r="F83" s="75"/>
      <c r="G83" s="75"/>
      <c r="H83" s="75"/>
      <c r="I83" s="75"/>
      <c r="J83" s="75"/>
      <c r="K83" s="75"/>
    </row>
    <row r="84" spans="1:11">
      <c r="A84" s="75" t="s">
        <v>1331</v>
      </c>
      <c r="B84" s="75"/>
      <c r="C84" s="75"/>
      <c r="D84" s="75"/>
      <c r="E84" s="75"/>
      <c r="F84" s="75"/>
      <c r="G84" s="75"/>
      <c r="H84" s="75"/>
      <c r="I84" s="75"/>
      <c r="J84" s="75"/>
      <c r="K84" s="75"/>
    </row>
    <row r="85" spans="1:11">
      <c r="A85" s="75" t="s">
        <v>1332</v>
      </c>
      <c r="B85" s="75"/>
      <c r="C85" s="75"/>
      <c r="D85" s="75"/>
      <c r="E85" s="75"/>
      <c r="F85" s="75"/>
      <c r="G85" s="75"/>
      <c r="H85" s="75"/>
      <c r="I85" s="75"/>
      <c r="J85" s="75"/>
      <c r="K85" s="75"/>
    </row>
    <row r="87" spans="1:11">
      <c r="A87" s="3" t="s">
        <v>519</v>
      </c>
    </row>
    <row r="88" spans="1:11">
      <c r="A88" s="65" t="s">
        <v>1357</v>
      </c>
      <c r="B88" s="65"/>
      <c r="C88" s="65"/>
      <c r="D88" s="65"/>
      <c r="E88" s="65"/>
      <c r="F88" s="65"/>
      <c r="G88" s="65"/>
      <c r="H88" s="65"/>
      <c r="I88" s="65"/>
      <c r="J88" s="65"/>
      <c r="K88" s="65"/>
    </row>
    <row r="89" spans="1:11">
      <c r="A89" s="75" t="s">
        <v>1358</v>
      </c>
      <c r="B89" s="75"/>
      <c r="C89" s="75"/>
      <c r="D89" s="75"/>
      <c r="E89" s="75"/>
      <c r="F89" s="75"/>
      <c r="G89" s="75"/>
      <c r="H89" s="75"/>
      <c r="I89" s="75"/>
      <c r="J89" s="75"/>
      <c r="K89" s="75"/>
    </row>
    <row r="90" spans="1:11">
      <c r="A90" s="75" t="s">
        <v>1359</v>
      </c>
      <c r="B90" s="75"/>
      <c r="C90" s="75"/>
      <c r="D90" s="75"/>
      <c r="E90" s="75"/>
      <c r="F90" s="75"/>
      <c r="G90" s="75"/>
      <c r="H90" s="75"/>
      <c r="I90" s="75"/>
      <c r="J90" s="75"/>
      <c r="K90" s="75"/>
    </row>
    <row r="91" spans="1:11">
      <c r="A91" s="65" t="s">
        <v>1355</v>
      </c>
      <c r="B91" s="65"/>
      <c r="C91" s="65"/>
      <c r="D91" s="65"/>
      <c r="E91" s="65"/>
      <c r="F91" s="65"/>
      <c r="G91" s="65"/>
      <c r="H91" s="65"/>
      <c r="I91" s="65"/>
      <c r="J91" s="65"/>
      <c r="K91" s="65"/>
    </row>
    <row r="92" spans="1:11">
      <c r="A92" s="75" t="s">
        <v>1356</v>
      </c>
      <c r="B92" s="75"/>
      <c r="C92" s="75"/>
      <c r="D92" s="75"/>
      <c r="E92" s="75"/>
      <c r="F92" s="75"/>
      <c r="G92" s="75"/>
      <c r="H92" s="75"/>
      <c r="I92" s="75"/>
      <c r="J92" s="75"/>
      <c r="K92" s="75"/>
    </row>
    <row r="94" spans="1:11">
      <c r="A94" s="3" t="s">
        <v>1367</v>
      </c>
    </row>
    <row r="95" spans="1:11">
      <c r="A95" s="77" t="s">
        <v>1040</v>
      </c>
      <c r="B95" s="77"/>
      <c r="C95" s="11" t="s">
        <v>235</v>
      </c>
      <c r="E95" s="11" t="s">
        <v>1362</v>
      </c>
      <c r="G95" s="74" t="s">
        <v>1363</v>
      </c>
      <c r="H95" s="74"/>
      <c r="I95" s="74"/>
      <c r="J95" s="74"/>
    </row>
    <row r="96" spans="1:11">
      <c r="A96" s="78" t="s">
        <v>1360</v>
      </c>
      <c r="B96" s="78"/>
      <c r="C96" s="13">
        <v>15.23</v>
      </c>
      <c r="E96" s="13" cm="1">
        <f t="array" ref="E96">MATRIX_EFFECTS(C96,C97)</f>
        <v>-4.8719550281074442E-2</v>
      </c>
      <c r="G96" s="79" t="str" cm="1">
        <f t="array" ref="G96">MATRIX_EFFECTS(C96,C97,TRUE)</f>
        <v>Minor Suppression (-4.87%)</v>
      </c>
      <c r="H96" s="79"/>
      <c r="I96" s="79"/>
      <c r="J96" s="79"/>
    </row>
    <row r="97" spans="1:10">
      <c r="A97" s="78" t="s">
        <v>1361</v>
      </c>
      <c r="B97" s="78"/>
      <c r="C97" s="13">
        <v>16.010000000000002</v>
      </c>
    </row>
    <row r="99" spans="1:10">
      <c r="A99" s="3" t="s">
        <v>1368</v>
      </c>
    </row>
    <row r="100" spans="1:10">
      <c r="A100" s="3" t="s">
        <v>1366</v>
      </c>
    </row>
    <row r="101" spans="1:10">
      <c r="A101" s="80" t="s">
        <v>534</v>
      </c>
      <c r="B101" s="80"/>
      <c r="C101" s="11" t="s">
        <v>235</v>
      </c>
    </row>
    <row r="102" spans="1:10">
      <c r="A102" s="78" t="s">
        <v>910</v>
      </c>
      <c r="B102" s="78"/>
      <c r="C102" s="9">
        <v>0</v>
      </c>
    </row>
    <row r="103" spans="1:10">
      <c r="A103" s="78" t="s">
        <v>1372</v>
      </c>
      <c r="B103" s="78"/>
      <c r="C103" s="9">
        <v>0.15</v>
      </c>
    </row>
    <row r="104" spans="1:10">
      <c r="A104" s="78" t="s">
        <v>1364</v>
      </c>
      <c r="B104" s="78"/>
      <c r="C104" s="9">
        <v>0.3</v>
      </c>
    </row>
    <row r="105" spans="1:10">
      <c r="A105" s="78" t="s">
        <v>1373</v>
      </c>
      <c r="B105" s="78"/>
      <c r="C105" s="9">
        <v>0.5</v>
      </c>
    </row>
    <row r="106" spans="1:10">
      <c r="A106" s="78" t="s">
        <v>1365</v>
      </c>
      <c r="B106" s="78"/>
      <c r="C106" s="9">
        <v>0.75</v>
      </c>
    </row>
    <row r="108" spans="1:10">
      <c r="A108" s="35" t="s">
        <v>1040</v>
      </c>
      <c r="B108" s="35"/>
      <c r="C108" s="11" t="s">
        <v>235</v>
      </c>
      <c r="E108" s="11" t="s">
        <v>1362</v>
      </c>
      <c r="G108" s="74" t="s">
        <v>1363</v>
      </c>
      <c r="H108" s="74"/>
      <c r="I108" s="74"/>
      <c r="J108" s="74"/>
    </row>
    <row r="109" spans="1:10">
      <c r="A109" s="34" t="s">
        <v>1360</v>
      </c>
      <c r="B109" s="34"/>
      <c r="C109" s="13">
        <v>15.23</v>
      </c>
      <c r="E109" s="13" cm="1">
        <f t="array" ref="E109">MATRIX_EFFECTS(C109,C110)</f>
        <v>4.8681401914205003E-2</v>
      </c>
      <c r="G109" s="79" t="str" cm="1">
        <f t="array" ref="G109">MATRIX_EFFECTS(C109,C110,TRUE,A102:C106)</f>
        <v>Negligible Enhancement (4.87%)</v>
      </c>
      <c r="H109" s="79"/>
      <c r="I109" s="79"/>
      <c r="J109" s="79"/>
    </row>
    <row r="110" spans="1:10">
      <c r="A110" s="78" t="s">
        <v>1361</v>
      </c>
      <c r="B110" s="78"/>
      <c r="C110" s="13">
        <v>14.523</v>
      </c>
    </row>
  </sheetData>
  <mergeCells count="100">
    <mergeCell ref="A101:B101"/>
    <mergeCell ref="A110:B110"/>
    <mergeCell ref="G109:J109"/>
    <mergeCell ref="G108:J108"/>
    <mergeCell ref="G95:J95"/>
    <mergeCell ref="G96:J96"/>
    <mergeCell ref="A102:B102"/>
    <mergeCell ref="A103:B103"/>
    <mergeCell ref="A104:B104"/>
    <mergeCell ref="A105:B105"/>
    <mergeCell ref="A106:B106"/>
    <mergeCell ref="A91:K91"/>
    <mergeCell ref="A92:K92"/>
    <mergeCell ref="A96:B96"/>
    <mergeCell ref="A97:B97"/>
    <mergeCell ref="A95:B95"/>
    <mergeCell ref="A84:K84"/>
    <mergeCell ref="A85:K85"/>
    <mergeCell ref="A88:K88"/>
    <mergeCell ref="A89:K89"/>
    <mergeCell ref="A90:K90"/>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45:K45"/>
    <mergeCell ref="A46:K46"/>
    <mergeCell ref="A47:K47"/>
    <mergeCell ref="A48:K48"/>
    <mergeCell ref="A49:K49"/>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38:K38"/>
    <mergeCell ref="A39:K39"/>
    <mergeCell ref="A40:K40"/>
    <mergeCell ref="A30:K30"/>
    <mergeCell ref="A31:K31"/>
    <mergeCell ref="A32:K32"/>
    <mergeCell ref="A33:K33"/>
    <mergeCell ref="A34:K34"/>
    <mergeCell ref="A29:K29"/>
    <mergeCell ref="A18:K18"/>
    <mergeCell ref="A19:K19"/>
    <mergeCell ref="A20:K20"/>
    <mergeCell ref="A21:K21"/>
    <mergeCell ref="A22:K22"/>
    <mergeCell ref="A23:K23"/>
    <mergeCell ref="A24:K24"/>
    <mergeCell ref="A25:K25"/>
    <mergeCell ref="A26:K26"/>
    <mergeCell ref="A27:K27"/>
    <mergeCell ref="A28:K28"/>
    <mergeCell ref="A17:K17"/>
    <mergeCell ref="A12:K12"/>
    <mergeCell ref="A13:K13"/>
    <mergeCell ref="A14:K14"/>
    <mergeCell ref="A15:K15"/>
    <mergeCell ref="A16:K1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92" zoomScaleNormal="100" workbookViewId="0">
      <selection activeCell="C279" sqref="C279"/>
    </sheetView>
  </sheetViews>
  <sheetFormatPr defaultColWidth="9" defaultRowHeight="14.25"/>
  <cols>
    <col min="1" max="2" width="9" style="2"/>
    <col min="3" max="3" width="10.125" style="2" customWidth="1"/>
    <col min="4" max="4" width="9" style="2"/>
    <col min="5" max="5" width="9.125" style="2" bestFit="1" customWidth="1"/>
    <col min="6" max="6" width="9" style="2"/>
    <col min="7" max="7" width="9.125" style="2" bestFit="1" customWidth="1"/>
    <col min="8" max="8" width="9.625" style="2" customWidth="1"/>
    <col min="9" max="9" width="9.125" style="2" bestFit="1" customWidth="1"/>
    <col min="10" max="10" width="9.75" style="2" customWidth="1"/>
    <col min="11" max="11" width="10.75" style="2" customWidth="1"/>
    <col min="12" max="16384" width="9" style="2"/>
  </cols>
  <sheetData>
    <row r="1" spans="1:11">
      <c r="A1" s="3" t="s">
        <v>514</v>
      </c>
      <c r="K1" s="17">
        <v>46204</v>
      </c>
    </row>
    <row r="2" spans="1:11">
      <c r="A2" s="65" t="s">
        <v>1780</v>
      </c>
      <c r="B2" s="65"/>
      <c r="C2" s="65"/>
      <c r="D2" s="65"/>
      <c r="E2" s="65"/>
      <c r="F2" s="65"/>
      <c r="G2" s="65"/>
      <c r="H2" s="65"/>
      <c r="I2" s="65"/>
      <c r="J2" s="65"/>
      <c r="K2" s="65"/>
    </row>
    <row r="3" spans="1:11">
      <c r="A3" s="65" t="s">
        <v>1781</v>
      </c>
      <c r="B3" s="65"/>
      <c r="C3" s="65"/>
      <c r="D3" s="65"/>
      <c r="E3" s="65"/>
      <c r="F3" s="65"/>
      <c r="G3" s="65"/>
      <c r="H3" s="65"/>
      <c r="I3" s="65"/>
      <c r="J3" s="65"/>
      <c r="K3" s="65"/>
    </row>
    <row r="4" spans="1:11">
      <c r="A4" s="65" t="s">
        <v>1782</v>
      </c>
      <c r="B4" s="65"/>
      <c r="C4" s="65"/>
      <c r="D4" s="65"/>
      <c r="E4" s="65"/>
      <c r="F4" s="65"/>
      <c r="G4" s="65"/>
      <c r="H4" s="65"/>
      <c r="I4" s="65"/>
      <c r="J4" s="65"/>
      <c r="K4" s="65"/>
    </row>
    <row r="6" spans="1:11">
      <c r="A6" s="3" t="s">
        <v>1</v>
      </c>
    </row>
    <row r="7" spans="1:11" ht="15">
      <c r="A7" s="65" t="s">
        <v>1788</v>
      </c>
      <c r="B7" s="65"/>
      <c r="C7" s="65"/>
      <c r="D7" s="65"/>
      <c r="E7" s="65"/>
      <c r="F7" s="65"/>
      <c r="G7" s="65"/>
      <c r="H7" s="65"/>
      <c r="I7" s="65"/>
      <c r="J7" s="65"/>
      <c r="K7" s="65"/>
    </row>
    <row r="8" spans="1:11">
      <c r="A8" s="65" t="s">
        <v>1789</v>
      </c>
      <c r="B8" s="65"/>
      <c r="C8" s="65"/>
      <c r="D8" s="65"/>
      <c r="E8" s="65"/>
      <c r="F8" s="65"/>
      <c r="G8" s="65"/>
      <c r="H8" s="65"/>
      <c r="I8" s="65"/>
      <c r="J8" s="65"/>
      <c r="K8" s="65"/>
    </row>
    <row r="9" spans="1:11">
      <c r="A9" s="65" t="s">
        <v>1790</v>
      </c>
      <c r="B9" s="65"/>
      <c r="C9" s="65"/>
      <c r="D9" s="65"/>
      <c r="E9" s="65"/>
      <c r="F9" s="65"/>
      <c r="G9" s="65"/>
      <c r="H9" s="65"/>
      <c r="I9" s="65"/>
      <c r="J9" s="65"/>
      <c r="K9" s="65"/>
    </row>
    <row r="10" spans="1:11">
      <c r="A10" s="65" t="s">
        <v>1783</v>
      </c>
      <c r="B10" s="65"/>
      <c r="C10" s="65"/>
      <c r="D10" s="65"/>
      <c r="E10" s="65"/>
      <c r="F10" s="65"/>
      <c r="G10" s="65"/>
      <c r="H10" s="65"/>
      <c r="I10" s="65"/>
      <c r="J10" s="65"/>
      <c r="K10" s="65"/>
    </row>
    <row r="11" spans="1:11">
      <c r="A11" s="75" t="s">
        <v>1784</v>
      </c>
      <c r="B11" s="75"/>
      <c r="C11" s="75"/>
      <c r="D11" s="75"/>
      <c r="E11" s="75"/>
      <c r="F11" s="75"/>
      <c r="G11" s="75"/>
      <c r="H11" s="75"/>
      <c r="I11" s="75"/>
      <c r="J11" s="75"/>
      <c r="K11" s="75"/>
    </row>
    <row r="12" spans="1:11">
      <c r="A12" s="75" t="s">
        <v>1785</v>
      </c>
      <c r="B12" s="75"/>
      <c r="C12" s="75"/>
      <c r="D12" s="75"/>
      <c r="E12" s="75"/>
      <c r="F12" s="75"/>
      <c r="G12" s="75"/>
      <c r="H12" s="75"/>
      <c r="I12" s="75"/>
      <c r="J12" s="75"/>
      <c r="K12" s="75"/>
    </row>
    <row r="13" spans="1:11">
      <c r="A13" s="75" t="s">
        <v>1786</v>
      </c>
      <c r="B13" s="75"/>
      <c r="C13" s="75"/>
      <c r="D13" s="75"/>
      <c r="E13" s="75"/>
      <c r="F13" s="75"/>
      <c r="G13" s="75"/>
      <c r="H13" s="75"/>
      <c r="I13" s="75"/>
      <c r="J13" s="75"/>
      <c r="K13" s="75"/>
    </row>
    <row r="14" spans="1:11">
      <c r="A14" s="75" t="s">
        <v>1787</v>
      </c>
      <c r="B14" s="75"/>
      <c r="C14" s="75"/>
      <c r="D14" s="75"/>
      <c r="E14" s="75"/>
      <c r="F14" s="75"/>
      <c r="G14" s="75"/>
      <c r="H14" s="75"/>
      <c r="I14" s="75"/>
      <c r="J14" s="75"/>
      <c r="K14" s="75"/>
    </row>
    <row r="16" spans="1:11">
      <c r="A16" s="3" t="s">
        <v>220</v>
      </c>
    </row>
    <row r="17" spans="1:11">
      <c r="A17" s="66" t="s">
        <v>1622</v>
      </c>
      <c r="B17" s="66"/>
      <c r="C17" s="66"/>
      <c r="D17" s="66"/>
      <c r="E17" s="66"/>
      <c r="F17" s="66"/>
      <c r="G17" s="66"/>
      <c r="H17" s="66"/>
      <c r="I17" s="66"/>
      <c r="J17" s="66"/>
      <c r="K17" s="66"/>
    </row>
    <row r="18" spans="1:11">
      <c r="A18" s="67" t="s">
        <v>101</v>
      </c>
      <c r="B18" s="67"/>
      <c r="C18" s="67"/>
      <c r="D18" s="67"/>
      <c r="E18" s="67"/>
      <c r="F18" s="67"/>
      <c r="G18" s="67"/>
      <c r="H18" s="67"/>
      <c r="I18" s="67"/>
      <c r="J18" s="67"/>
      <c r="K18" s="67"/>
    </row>
    <row r="19" spans="1:11">
      <c r="A19" s="67" t="s">
        <v>1623</v>
      </c>
      <c r="B19" s="67"/>
      <c r="C19" s="67"/>
      <c r="D19" s="67"/>
      <c r="E19" s="67"/>
      <c r="F19" s="67"/>
      <c r="G19" s="67"/>
      <c r="H19" s="67"/>
      <c r="I19" s="67"/>
      <c r="J19" s="67"/>
      <c r="K19" s="67"/>
    </row>
    <row r="20" spans="1:11">
      <c r="A20" s="67" t="s">
        <v>1624</v>
      </c>
      <c r="B20" s="67"/>
      <c r="C20" s="67"/>
      <c r="D20" s="67"/>
      <c r="E20" s="67"/>
      <c r="F20" s="67"/>
      <c r="G20" s="67"/>
      <c r="H20" s="67"/>
      <c r="I20" s="67"/>
      <c r="J20" s="67"/>
      <c r="K20" s="67"/>
    </row>
    <row r="21" spans="1:11">
      <c r="A21" s="67" t="s">
        <v>1625</v>
      </c>
      <c r="B21" s="67"/>
      <c r="C21" s="67"/>
      <c r="D21" s="67"/>
      <c r="E21" s="67"/>
      <c r="F21" s="67"/>
      <c r="G21" s="67"/>
      <c r="H21" s="67"/>
      <c r="I21" s="67"/>
      <c r="J21" s="67"/>
      <c r="K21" s="67"/>
    </row>
    <row r="22" spans="1:11">
      <c r="A22" s="67" t="s">
        <v>1626</v>
      </c>
      <c r="B22" s="67"/>
      <c r="C22" s="67"/>
      <c r="D22" s="67"/>
      <c r="E22" s="67"/>
      <c r="F22" s="67"/>
      <c r="G22" s="67"/>
      <c r="H22" s="67"/>
      <c r="I22" s="67"/>
      <c r="J22" s="67"/>
      <c r="K22" s="67"/>
    </row>
    <row r="23" spans="1:11">
      <c r="A23" s="67" t="s">
        <v>1627</v>
      </c>
      <c r="B23" s="67"/>
      <c r="C23" s="67"/>
      <c r="D23" s="67"/>
      <c r="E23" s="67"/>
      <c r="F23" s="67"/>
      <c r="G23" s="67"/>
      <c r="H23" s="67"/>
      <c r="I23" s="67"/>
      <c r="J23" s="67"/>
      <c r="K23" s="67"/>
    </row>
    <row r="24" spans="1:11">
      <c r="A24" s="67" t="s">
        <v>1628</v>
      </c>
      <c r="B24" s="67"/>
      <c r="C24" s="67"/>
      <c r="D24" s="67"/>
      <c r="E24" s="67"/>
      <c r="F24" s="67"/>
      <c r="G24" s="67"/>
      <c r="H24" s="67"/>
      <c r="I24" s="67"/>
      <c r="J24" s="67"/>
      <c r="K24" s="67"/>
    </row>
    <row r="25" spans="1:11">
      <c r="A25" s="67" t="s">
        <v>1629</v>
      </c>
      <c r="B25" s="67"/>
      <c r="C25" s="67"/>
      <c r="D25" s="67"/>
      <c r="E25" s="67"/>
      <c r="F25" s="67"/>
      <c r="G25" s="67"/>
      <c r="H25" s="67"/>
      <c r="I25" s="67"/>
      <c r="J25" s="67"/>
      <c r="K25" s="67"/>
    </row>
    <row r="26" spans="1:11">
      <c r="A26" s="67" t="s">
        <v>1630</v>
      </c>
      <c r="B26" s="67"/>
      <c r="C26" s="67"/>
      <c r="D26" s="67"/>
      <c r="E26" s="67"/>
      <c r="F26" s="67"/>
      <c r="G26" s="67"/>
      <c r="H26" s="67"/>
      <c r="I26" s="67"/>
      <c r="J26" s="67"/>
      <c r="K26" s="67"/>
    </row>
    <row r="27" spans="1:11">
      <c r="A27" s="67" t="s">
        <v>1631</v>
      </c>
      <c r="B27" s="67"/>
      <c r="C27" s="67"/>
      <c r="D27" s="67"/>
      <c r="E27" s="67"/>
      <c r="F27" s="67"/>
      <c r="G27" s="67"/>
      <c r="H27" s="67"/>
      <c r="I27" s="67"/>
      <c r="J27" s="67"/>
      <c r="K27" s="67"/>
    </row>
    <row r="28" spans="1:11">
      <c r="A28" s="67" t="s">
        <v>1632</v>
      </c>
      <c r="B28" s="67"/>
      <c r="C28" s="67"/>
      <c r="D28" s="67"/>
      <c r="E28" s="67"/>
      <c r="F28" s="67"/>
      <c r="G28" s="67"/>
      <c r="H28" s="67"/>
      <c r="I28" s="67"/>
      <c r="J28" s="67"/>
      <c r="K28" s="67"/>
    </row>
    <row r="29" spans="1:11">
      <c r="A29" s="67" t="s">
        <v>1633</v>
      </c>
      <c r="B29" s="67"/>
      <c r="C29" s="67"/>
      <c r="D29" s="67"/>
      <c r="E29" s="67"/>
      <c r="F29" s="67"/>
      <c r="G29" s="67"/>
      <c r="H29" s="67"/>
      <c r="I29" s="67"/>
      <c r="J29" s="67"/>
      <c r="K29" s="67"/>
    </row>
    <row r="30" spans="1:11">
      <c r="A30" s="67" t="s">
        <v>1634</v>
      </c>
      <c r="B30" s="67"/>
      <c r="C30" s="67"/>
      <c r="D30" s="67"/>
      <c r="E30" s="67"/>
      <c r="F30" s="67"/>
      <c r="G30" s="67"/>
      <c r="H30" s="67"/>
      <c r="I30" s="67"/>
      <c r="J30" s="67"/>
      <c r="K30" s="67"/>
    </row>
    <row r="31" spans="1:11">
      <c r="A31" s="67" t="s">
        <v>1635</v>
      </c>
      <c r="B31" s="67"/>
      <c r="C31" s="67"/>
      <c r="D31" s="67"/>
      <c r="E31" s="67"/>
      <c r="F31" s="67"/>
      <c r="G31" s="67"/>
      <c r="H31" s="67"/>
      <c r="I31" s="67"/>
      <c r="J31" s="67"/>
      <c r="K31" s="67"/>
    </row>
    <row r="32" spans="1:11">
      <c r="A32" s="67" t="s">
        <v>1636</v>
      </c>
      <c r="B32" s="67"/>
      <c r="C32" s="67"/>
      <c r="D32" s="67"/>
      <c r="E32" s="67"/>
      <c r="F32" s="67"/>
      <c r="G32" s="67"/>
      <c r="H32" s="67"/>
      <c r="I32" s="67"/>
      <c r="J32" s="67"/>
      <c r="K32" s="67"/>
    </row>
    <row r="33" spans="1:11">
      <c r="A33" s="67" t="s">
        <v>1637</v>
      </c>
      <c r="B33" s="67"/>
      <c r="C33" s="67"/>
      <c r="D33" s="67"/>
      <c r="E33" s="67"/>
      <c r="F33" s="67"/>
      <c r="G33" s="67"/>
      <c r="H33" s="67"/>
      <c r="I33" s="67"/>
      <c r="J33" s="67"/>
      <c r="K33" s="67"/>
    </row>
    <row r="34" spans="1:11">
      <c r="A34" s="67" t="s">
        <v>1638</v>
      </c>
      <c r="B34" s="67"/>
      <c r="C34" s="67"/>
      <c r="D34" s="67"/>
      <c r="E34" s="67"/>
      <c r="F34" s="67"/>
      <c r="G34" s="67"/>
      <c r="H34" s="67"/>
      <c r="I34" s="67"/>
      <c r="J34" s="67"/>
      <c r="K34" s="67"/>
    </row>
    <row r="35" spans="1:11">
      <c r="A35" s="67" t="s">
        <v>407</v>
      </c>
      <c r="B35" s="67"/>
      <c r="C35" s="67"/>
      <c r="D35" s="67"/>
      <c r="E35" s="67"/>
      <c r="F35" s="67"/>
      <c r="G35" s="67"/>
      <c r="H35" s="67"/>
      <c r="I35" s="67"/>
      <c r="J35" s="67"/>
      <c r="K35" s="67"/>
    </row>
    <row r="36" spans="1:11">
      <c r="A36" s="67" t="s">
        <v>1639</v>
      </c>
      <c r="B36" s="67"/>
      <c r="C36" s="67"/>
      <c r="D36" s="67"/>
      <c r="E36" s="67"/>
      <c r="F36" s="67"/>
      <c r="G36" s="67"/>
      <c r="H36" s="67"/>
      <c r="I36" s="67"/>
      <c r="J36" s="67"/>
      <c r="K36" s="67"/>
    </row>
    <row r="37" spans="1:11">
      <c r="A37" s="67" t="s">
        <v>1640</v>
      </c>
      <c r="B37" s="67"/>
      <c r="C37" s="67"/>
      <c r="D37" s="67"/>
      <c r="E37" s="67"/>
      <c r="F37" s="67"/>
      <c r="G37" s="67"/>
      <c r="H37" s="67"/>
      <c r="I37" s="67"/>
      <c r="J37" s="67"/>
      <c r="K37" s="67"/>
    </row>
    <row r="38" spans="1:11">
      <c r="A38" s="67" t="s">
        <v>1827</v>
      </c>
      <c r="B38" s="67"/>
      <c r="C38" s="67"/>
      <c r="D38" s="67"/>
      <c r="E38" s="67"/>
      <c r="F38" s="67"/>
      <c r="G38" s="67"/>
      <c r="H38" s="67"/>
      <c r="I38" s="67"/>
      <c r="J38" s="67"/>
      <c r="K38" s="67"/>
    </row>
    <row r="39" spans="1:11">
      <c r="A39" s="67" t="s">
        <v>647</v>
      </c>
      <c r="B39" s="67"/>
      <c r="C39" s="67"/>
      <c r="D39" s="67"/>
      <c r="E39" s="67"/>
      <c r="F39" s="67"/>
      <c r="G39" s="67"/>
      <c r="H39" s="67"/>
      <c r="I39" s="67"/>
      <c r="J39" s="67"/>
      <c r="K39" s="67"/>
    </row>
    <row r="40" spans="1:11">
      <c r="A40" s="67" t="s">
        <v>1641</v>
      </c>
      <c r="B40" s="67"/>
      <c r="C40" s="67"/>
      <c r="D40" s="67"/>
      <c r="E40" s="67"/>
      <c r="F40" s="67"/>
      <c r="G40" s="67"/>
      <c r="H40" s="67"/>
      <c r="I40" s="67"/>
      <c r="J40" s="67"/>
      <c r="K40" s="67"/>
    </row>
    <row r="41" spans="1:11">
      <c r="A41" s="67" t="s">
        <v>1642</v>
      </c>
      <c r="B41" s="67"/>
      <c r="C41" s="67"/>
      <c r="D41" s="67"/>
      <c r="E41" s="67"/>
      <c r="F41" s="67"/>
      <c r="G41" s="67"/>
      <c r="H41" s="67"/>
      <c r="I41" s="67"/>
      <c r="J41" s="67"/>
      <c r="K41" s="67"/>
    </row>
    <row r="42" spans="1:11">
      <c r="A42" s="67" t="s">
        <v>1643</v>
      </c>
      <c r="B42" s="67"/>
      <c r="C42" s="67"/>
      <c r="D42" s="67"/>
      <c r="E42" s="67"/>
      <c r="F42" s="67"/>
      <c r="G42" s="67"/>
      <c r="H42" s="67"/>
      <c r="I42" s="67"/>
      <c r="J42" s="67"/>
      <c r="K42" s="67"/>
    </row>
    <row r="43" spans="1:11">
      <c r="A43" s="67" t="s">
        <v>1644</v>
      </c>
      <c r="B43" s="67"/>
      <c r="C43" s="67"/>
      <c r="D43" s="67"/>
      <c r="E43" s="67"/>
      <c r="F43" s="67"/>
      <c r="G43" s="67"/>
      <c r="H43" s="67"/>
      <c r="I43" s="67"/>
      <c r="J43" s="67"/>
      <c r="K43" s="67"/>
    </row>
    <row r="44" spans="1:11">
      <c r="A44" s="67" t="s">
        <v>1645</v>
      </c>
      <c r="B44" s="67"/>
      <c r="C44" s="67"/>
      <c r="D44" s="67"/>
      <c r="E44" s="67"/>
      <c r="F44" s="67"/>
      <c r="G44" s="67"/>
      <c r="H44" s="67"/>
      <c r="I44" s="67"/>
      <c r="J44" s="67"/>
      <c r="K44" s="67"/>
    </row>
    <row r="45" spans="1:11">
      <c r="A45" s="67" t="s">
        <v>1826</v>
      </c>
      <c r="B45" s="67"/>
      <c r="C45" s="67"/>
      <c r="D45" s="67"/>
      <c r="E45" s="67"/>
      <c r="F45" s="67"/>
      <c r="G45" s="67"/>
      <c r="H45" s="67"/>
      <c r="I45" s="67"/>
      <c r="J45" s="67"/>
      <c r="K45" s="67"/>
    </row>
    <row r="46" spans="1:11">
      <c r="A46" s="67" t="s">
        <v>79</v>
      </c>
      <c r="B46" s="67"/>
      <c r="C46" s="67"/>
      <c r="D46" s="67"/>
      <c r="E46" s="67"/>
      <c r="F46" s="67"/>
      <c r="G46" s="67"/>
      <c r="H46" s="67"/>
      <c r="I46" s="67"/>
      <c r="J46" s="67"/>
      <c r="K46" s="67"/>
    </row>
    <row r="47" spans="1:11">
      <c r="A47" s="67" t="s">
        <v>80</v>
      </c>
      <c r="B47" s="67"/>
      <c r="C47" s="67"/>
      <c r="D47" s="67"/>
      <c r="E47" s="67"/>
      <c r="F47" s="67"/>
      <c r="G47" s="67"/>
      <c r="H47" s="67"/>
      <c r="I47" s="67"/>
      <c r="J47" s="67"/>
      <c r="K47" s="67"/>
    </row>
    <row r="48" spans="1:11">
      <c r="A48" s="67" t="s">
        <v>76</v>
      </c>
      <c r="B48" s="67"/>
      <c r="C48" s="67"/>
      <c r="D48" s="67"/>
      <c r="E48" s="67"/>
      <c r="F48" s="67"/>
      <c r="G48" s="67"/>
      <c r="H48" s="67"/>
      <c r="I48" s="67"/>
      <c r="J48" s="67"/>
      <c r="K48" s="67"/>
    </row>
    <row r="49" spans="1:11">
      <c r="A49" s="67" t="s">
        <v>77</v>
      </c>
      <c r="B49" s="67"/>
      <c r="C49" s="67"/>
      <c r="D49" s="67"/>
      <c r="E49" s="67"/>
      <c r="F49" s="67"/>
      <c r="G49" s="67"/>
      <c r="H49" s="67"/>
      <c r="I49" s="67"/>
      <c r="J49" s="67"/>
      <c r="K49" s="67"/>
    </row>
    <row r="50" spans="1:11">
      <c r="A50" s="67" t="s">
        <v>1646</v>
      </c>
      <c r="B50" s="67"/>
      <c r="C50" s="67"/>
      <c r="D50" s="67"/>
      <c r="E50" s="67"/>
      <c r="F50" s="67"/>
      <c r="G50" s="67"/>
      <c r="H50" s="67"/>
      <c r="I50" s="67"/>
      <c r="J50" s="67"/>
      <c r="K50" s="67"/>
    </row>
    <row r="51" spans="1:11">
      <c r="A51" s="67" t="s">
        <v>407</v>
      </c>
      <c r="B51" s="67"/>
      <c r="C51" s="67"/>
      <c r="D51" s="67"/>
      <c r="E51" s="67"/>
      <c r="F51" s="67"/>
      <c r="G51" s="67"/>
      <c r="H51" s="67"/>
      <c r="I51" s="67"/>
      <c r="J51" s="67"/>
      <c r="K51" s="67"/>
    </row>
    <row r="52" spans="1:11">
      <c r="A52" s="67" t="s">
        <v>1647</v>
      </c>
      <c r="B52" s="67"/>
      <c r="C52" s="67"/>
      <c r="D52" s="67"/>
      <c r="E52" s="67"/>
      <c r="F52" s="67"/>
      <c r="G52" s="67"/>
      <c r="H52" s="67"/>
      <c r="I52" s="67"/>
      <c r="J52" s="67"/>
      <c r="K52" s="67"/>
    </row>
    <row r="53" spans="1:11">
      <c r="A53" s="67" t="s">
        <v>1648</v>
      </c>
      <c r="B53" s="67"/>
      <c r="C53" s="67"/>
      <c r="D53" s="67"/>
      <c r="E53" s="67"/>
      <c r="F53" s="67"/>
      <c r="G53" s="67"/>
      <c r="H53" s="67"/>
      <c r="I53" s="67"/>
      <c r="J53" s="67"/>
      <c r="K53" s="67"/>
    </row>
    <row r="54" spans="1:11">
      <c r="A54" s="67" t="s">
        <v>1649</v>
      </c>
      <c r="B54" s="67"/>
      <c r="C54" s="67"/>
      <c r="D54" s="67"/>
      <c r="E54" s="67"/>
      <c r="F54" s="67"/>
      <c r="G54" s="67"/>
      <c r="H54" s="67"/>
      <c r="I54" s="67"/>
      <c r="J54" s="67"/>
      <c r="K54" s="67"/>
    </row>
    <row r="55" spans="1:11">
      <c r="A55" s="67" t="s">
        <v>1650</v>
      </c>
      <c r="B55" s="67"/>
      <c r="C55" s="67"/>
      <c r="D55" s="67"/>
      <c r="E55" s="67"/>
      <c r="F55" s="67"/>
      <c r="G55" s="67"/>
      <c r="H55" s="67"/>
      <c r="I55" s="67"/>
      <c r="J55" s="67"/>
      <c r="K55" s="67"/>
    </row>
    <row r="56" spans="1:11">
      <c r="A56" s="67" t="s">
        <v>76</v>
      </c>
      <c r="B56" s="67"/>
      <c r="C56" s="67"/>
      <c r="D56" s="67"/>
      <c r="E56" s="67"/>
      <c r="F56" s="67"/>
      <c r="G56" s="67"/>
      <c r="H56" s="67"/>
      <c r="I56" s="67"/>
      <c r="J56" s="67"/>
      <c r="K56" s="67"/>
    </row>
    <row r="57" spans="1:11">
      <c r="A57" s="67" t="s">
        <v>77</v>
      </c>
      <c r="B57" s="67"/>
      <c r="C57" s="67"/>
      <c r="D57" s="67"/>
      <c r="E57" s="67"/>
      <c r="F57" s="67"/>
      <c r="G57" s="67"/>
      <c r="H57" s="67"/>
      <c r="I57" s="67"/>
      <c r="J57" s="67"/>
      <c r="K57" s="67"/>
    </row>
    <row r="58" spans="1:11">
      <c r="A58" s="67" t="s">
        <v>1651</v>
      </c>
      <c r="B58" s="67"/>
      <c r="C58" s="67"/>
      <c r="D58" s="67"/>
      <c r="E58" s="67"/>
      <c r="F58" s="67"/>
      <c r="G58" s="67"/>
      <c r="H58" s="67"/>
      <c r="I58" s="67"/>
      <c r="J58" s="67"/>
      <c r="K58" s="67"/>
    </row>
    <row r="59" spans="1:11">
      <c r="A59" s="67" t="s">
        <v>407</v>
      </c>
      <c r="B59" s="67"/>
      <c r="C59" s="67"/>
      <c r="D59" s="67"/>
      <c r="E59" s="67"/>
      <c r="F59" s="67"/>
      <c r="G59" s="67"/>
      <c r="H59" s="67"/>
      <c r="I59" s="67"/>
      <c r="J59" s="67"/>
      <c r="K59" s="67"/>
    </row>
    <row r="60" spans="1:11">
      <c r="A60" s="67" t="s">
        <v>1652</v>
      </c>
      <c r="B60" s="67"/>
      <c r="C60" s="67"/>
      <c r="D60" s="67"/>
      <c r="E60" s="67"/>
      <c r="F60" s="67"/>
      <c r="G60" s="67"/>
      <c r="H60" s="67"/>
      <c r="I60" s="67"/>
      <c r="J60" s="67"/>
      <c r="K60" s="67"/>
    </row>
    <row r="61" spans="1:11">
      <c r="A61" s="67" t="s">
        <v>1653</v>
      </c>
      <c r="B61" s="67"/>
      <c r="C61" s="67"/>
      <c r="D61" s="67"/>
      <c r="E61" s="67"/>
      <c r="F61" s="67"/>
      <c r="G61" s="67"/>
      <c r="H61" s="67"/>
      <c r="I61" s="67"/>
      <c r="J61" s="67"/>
      <c r="K61" s="67"/>
    </row>
    <row r="62" spans="1:11">
      <c r="A62" s="67" t="s">
        <v>1654</v>
      </c>
      <c r="B62" s="67"/>
      <c r="C62" s="67"/>
      <c r="D62" s="67"/>
      <c r="E62" s="67"/>
      <c r="F62" s="67"/>
      <c r="G62" s="67"/>
      <c r="H62" s="67"/>
      <c r="I62" s="67"/>
      <c r="J62" s="67"/>
      <c r="K62" s="67"/>
    </row>
    <row r="63" spans="1:11">
      <c r="A63" s="67" t="s">
        <v>1655</v>
      </c>
      <c r="B63" s="67"/>
      <c r="C63" s="67"/>
      <c r="D63" s="67"/>
      <c r="E63" s="67"/>
      <c r="F63" s="67"/>
      <c r="G63" s="67"/>
      <c r="H63" s="67"/>
      <c r="I63" s="67"/>
      <c r="J63" s="67"/>
      <c r="K63" s="67"/>
    </row>
    <row r="64" spans="1:11">
      <c r="A64" s="67" t="s">
        <v>1656</v>
      </c>
      <c r="B64" s="67"/>
      <c r="C64" s="67"/>
      <c r="D64" s="67"/>
      <c r="E64" s="67"/>
      <c r="F64" s="67"/>
      <c r="G64" s="67"/>
      <c r="H64" s="67"/>
      <c r="I64" s="67"/>
      <c r="J64" s="67"/>
      <c r="K64" s="67"/>
    </row>
    <row r="65" spans="1:11">
      <c r="A65" s="67" t="s">
        <v>1657</v>
      </c>
      <c r="B65" s="67"/>
      <c r="C65" s="67"/>
      <c r="D65" s="67"/>
      <c r="E65" s="67"/>
      <c r="F65" s="67"/>
      <c r="G65" s="67"/>
      <c r="H65" s="67"/>
      <c r="I65" s="67"/>
      <c r="J65" s="67"/>
      <c r="K65" s="67"/>
    </row>
    <row r="66" spans="1:11">
      <c r="A66" s="67" t="s">
        <v>1658</v>
      </c>
      <c r="B66" s="67"/>
      <c r="C66" s="67"/>
      <c r="D66" s="67"/>
      <c r="E66" s="67"/>
      <c r="F66" s="67"/>
      <c r="G66" s="67"/>
      <c r="H66" s="67"/>
      <c r="I66" s="67"/>
      <c r="J66" s="67"/>
      <c r="K66" s="67"/>
    </row>
    <row r="67" spans="1:11">
      <c r="A67" s="67" t="s">
        <v>1659</v>
      </c>
      <c r="B67" s="67"/>
      <c r="C67" s="67"/>
      <c r="D67" s="67"/>
      <c r="E67" s="67"/>
      <c r="F67" s="67"/>
      <c r="G67" s="67"/>
      <c r="H67" s="67"/>
      <c r="I67" s="67"/>
      <c r="J67" s="67"/>
      <c r="K67" s="67"/>
    </row>
    <row r="68" spans="1:11">
      <c r="A68" s="67" t="s">
        <v>1660</v>
      </c>
      <c r="B68" s="67"/>
      <c r="C68" s="67"/>
      <c r="D68" s="67"/>
      <c r="E68" s="67"/>
      <c r="F68" s="67"/>
      <c r="G68" s="67"/>
      <c r="H68" s="67"/>
      <c r="I68" s="67"/>
      <c r="J68" s="67"/>
      <c r="K68" s="67"/>
    </row>
    <row r="69" spans="1:11">
      <c r="A69" s="67" t="s">
        <v>76</v>
      </c>
      <c r="B69" s="67"/>
      <c r="C69" s="67"/>
      <c r="D69" s="67"/>
      <c r="E69" s="67"/>
      <c r="F69" s="67"/>
      <c r="G69" s="67"/>
      <c r="H69" s="67"/>
      <c r="I69" s="67"/>
      <c r="J69" s="67"/>
      <c r="K69" s="67"/>
    </row>
    <row r="70" spans="1:11">
      <c r="A70" s="67" t="s">
        <v>77</v>
      </c>
      <c r="B70" s="67"/>
      <c r="C70" s="67"/>
      <c r="D70" s="67"/>
      <c r="E70" s="67"/>
      <c r="F70" s="67"/>
      <c r="G70" s="67"/>
      <c r="H70" s="67"/>
      <c r="I70" s="67"/>
      <c r="J70" s="67"/>
      <c r="K70" s="67"/>
    </row>
    <row r="71" spans="1:11">
      <c r="A71" s="67" t="s">
        <v>1661</v>
      </c>
      <c r="B71" s="67"/>
      <c r="C71" s="67"/>
      <c r="D71" s="67"/>
      <c r="E71" s="67"/>
      <c r="F71" s="67"/>
      <c r="G71" s="67"/>
      <c r="H71" s="67"/>
      <c r="I71" s="67"/>
      <c r="J71" s="67"/>
      <c r="K71" s="67"/>
    </row>
    <row r="72" spans="1:11">
      <c r="A72" s="67" t="s">
        <v>407</v>
      </c>
      <c r="B72" s="67"/>
      <c r="C72" s="67"/>
      <c r="D72" s="67"/>
      <c r="E72" s="67"/>
      <c r="F72" s="67"/>
      <c r="G72" s="67"/>
      <c r="H72" s="67"/>
      <c r="I72" s="67"/>
      <c r="J72" s="67"/>
      <c r="K72" s="67"/>
    </row>
    <row r="73" spans="1:11">
      <c r="A73" s="67" t="s">
        <v>1662</v>
      </c>
      <c r="B73" s="67"/>
      <c r="C73" s="67"/>
      <c r="D73" s="67"/>
      <c r="E73" s="67"/>
      <c r="F73" s="67"/>
      <c r="G73" s="67"/>
      <c r="H73" s="67"/>
      <c r="I73" s="67"/>
      <c r="J73" s="67"/>
      <c r="K73" s="67"/>
    </row>
    <row r="74" spans="1:11">
      <c r="A74" s="67" t="s">
        <v>647</v>
      </c>
      <c r="B74" s="67"/>
      <c r="C74" s="67"/>
      <c r="D74" s="67"/>
      <c r="E74" s="67"/>
      <c r="F74" s="67"/>
      <c r="G74" s="67"/>
      <c r="H74" s="67"/>
      <c r="I74" s="67"/>
      <c r="J74" s="67"/>
      <c r="K74" s="67"/>
    </row>
    <row r="75" spans="1:11">
      <c r="A75" s="67" t="s">
        <v>1663</v>
      </c>
      <c r="B75" s="67"/>
      <c r="C75" s="67"/>
      <c r="D75" s="67"/>
      <c r="E75" s="67"/>
      <c r="F75" s="67"/>
      <c r="G75" s="67"/>
      <c r="H75" s="67"/>
      <c r="I75" s="67"/>
      <c r="J75" s="67"/>
      <c r="K75" s="67"/>
    </row>
    <row r="76" spans="1:11">
      <c r="A76" s="67" t="s">
        <v>1664</v>
      </c>
      <c r="B76" s="67"/>
      <c r="C76" s="67"/>
      <c r="D76" s="67"/>
      <c r="E76" s="67"/>
      <c r="F76" s="67"/>
      <c r="G76" s="67"/>
      <c r="H76" s="67"/>
      <c r="I76" s="67"/>
      <c r="J76" s="67"/>
      <c r="K76" s="67"/>
    </row>
    <row r="77" spans="1:11">
      <c r="A77" s="67" t="s">
        <v>1665</v>
      </c>
      <c r="B77" s="67"/>
      <c r="C77" s="67"/>
      <c r="D77" s="67"/>
      <c r="E77" s="67"/>
      <c r="F77" s="67"/>
      <c r="G77" s="67"/>
      <c r="H77" s="67"/>
      <c r="I77" s="67"/>
      <c r="J77" s="67"/>
      <c r="K77" s="67"/>
    </row>
    <row r="78" spans="1:11">
      <c r="A78" s="67" t="s">
        <v>80</v>
      </c>
      <c r="B78" s="67"/>
      <c r="C78" s="67"/>
      <c r="D78" s="67"/>
      <c r="E78" s="67"/>
      <c r="F78" s="67"/>
      <c r="G78" s="67"/>
      <c r="H78" s="67"/>
      <c r="I78" s="67"/>
      <c r="J78" s="67"/>
      <c r="K78" s="67"/>
    </row>
    <row r="79" spans="1:11">
      <c r="A79" s="67" t="s">
        <v>76</v>
      </c>
      <c r="B79" s="67"/>
      <c r="C79" s="67"/>
      <c r="D79" s="67"/>
      <c r="E79" s="67"/>
      <c r="F79" s="67"/>
      <c r="G79" s="67"/>
      <c r="H79" s="67"/>
      <c r="I79" s="67"/>
      <c r="J79" s="67"/>
      <c r="K79" s="67"/>
    </row>
    <row r="80" spans="1:11">
      <c r="A80" s="67" t="s">
        <v>77</v>
      </c>
      <c r="B80" s="67"/>
      <c r="C80" s="67"/>
      <c r="D80" s="67"/>
      <c r="E80" s="67"/>
      <c r="F80" s="67"/>
      <c r="G80" s="67"/>
      <c r="H80" s="67"/>
      <c r="I80" s="67"/>
      <c r="J80" s="67"/>
      <c r="K80" s="67"/>
    </row>
    <row r="81" spans="1:11">
      <c r="A81" s="67" t="s">
        <v>1666</v>
      </c>
      <c r="B81" s="67"/>
      <c r="C81" s="67"/>
      <c r="D81" s="67"/>
      <c r="E81" s="67"/>
      <c r="F81" s="67"/>
      <c r="G81" s="67"/>
      <c r="H81" s="67"/>
      <c r="I81" s="67"/>
      <c r="J81" s="67"/>
      <c r="K81" s="67"/>
    </row>
    <row r="82" spans="1:11">
      <c r="A82" s="67" t="s">
        <v>407</v>
      </c>
      <c r="B82" s="67"/>
      <c r="C82" s="67"/>
      <c r="D82" s="67"/>
      <c r="E82" s="67"/>
      <c r="F82" s="67"/>
      <c r="G82" s="67"/>
      <c r="H82" s="67"/>
      <c r="I82" s="67"/>
      <c r="J82" s="67"/>
      <c r="K82" s="67"/>
    </row>
    <row r="83" spans="1:11">
      <c r="A83" s="67" t="s">
        <v>1667</v>
      </c>
      <c r="B83" s="67"/>
      <c r="C83" s="67"/>
      <c r="D83" s="67"/>
      <c r="E83" s="67"/>
      <c r="F83" s="67"/>
      <c r="G83" s="67"/>
      <c r="H83" s="67"/>
      <c r="I83" s="67"/>
      <c r="J83" s="67"/>
      <c r="K83" s="67"/>
    </row>
    <row r="84" spans="1:11">
      <c r="A84" s="67" t="s">
        <v>1668</v>
      </c>
      <c r="B84" s="67"/>
      <c r="C84" s="67"/>
      <c r="D84" s="67"/>
      <c r="E84" s="67"/>
      <c r="F84" s="67"/>
      <c r="G84" s="67"/>
      <c r="H84" s="67"/>
      <c r="I84" s="67"/>
      <c r="J84" s="67"/>
      <c r="K84" s="67"/>
    </row>
    <row r="85" spans="1:11">
      <c r="A85" s="67" t="s">
        <v>1669</v>
      </c>
      <c r="B85" s="67"/>
      <c r="C85" s="67"/>
      <c r="D85" s="67"/>
      <c r="E85" s="67"/>
      <c r="F85" s="67"/>
      <c r="G85" s="67"/>
      <c r="H85" s="67"/>
      <c r="I85" s="67"/>
      <c r="J85" s="67"/>
      <c r="K85" s="67"/>
    </row>
    <row r="86" spans="1:11">
      <c r="A86" s="67" t="s">
        <v>1670</v>
      </c>
      <c r="B86" s="67"/>
      <c r="C86" s="67"/>
      <c r="D86" s="67"/>
      <c r="E86" s="67"/>
      <c r="F86" s="67"/>
      <c r="G86" s="67"/>
      <c r="H86" s="67"/>
      <c r="I86" s="67"/>
      <c r="J86" s="67"/>
      <c r="K86" s="67"/>
    </row>
    <row r="87" spans="1:11">
      <c r="A87" s="67" t="s">
        <v>507</v>
      </c>
      <c r="B87" s="67"/>
      <c r="C87" s="67"/>
      <c r="D87" s="67"/>
      <c r="E87" s="67"/>
      <c r="F87" s="67"/>
      <c r="G87" s="67"/>
      <c r="H87" s="67"/>
      <c r="I87" s="67"/>
      <c r="J87" s="67"/>
      <c r="K87" s="67"/>
    </row>
    <row r="88" spans="1:11">
      <c r="A88" s="67" t="s">
        <v>1671</v>
      </c>
      <c r="B88" s="67"/>
      <c r="C88" s="67"/>
      <c r="D88" s="67"/>
      <c r="E88" s="67"/>
      <c r="F88" s="67"/>
      <c r="G88" s="67"/>
      <c r="H88" s="67"/>
      <c r="I88" s="67"/>
      <c r="J88" s="67"/>
      <c r="K88" s="67"/>
    </row>
    <row r="89" spans="1:11">
      <c r="A89" s="67" t="s">
        <v>509</v>
      </c>
      <c r="B89" s="67"/>
      <c r="C89" s="67"/>
      <c r="D89" s="67"/>
      <c r="E89" s="67"/>
      <c r="F89" s="67"/>
      <c r="G89" s="67"/>
      <c r="H89" s="67"/>
      <c r="I89" s="67"/>
      <c r="J89" s="67"/>
      <c r="K89" s="67"/>
    </row>
    <row r="90" spans="1:11">
      <c r="A90" s="67" t="s">
        <v>1672</v>
      </c>
      <c r="B90" s="67"/>
      <c r="C90" s="67"/>
      <c r="D90" s="67"/>
      <c r="E90" s="67"/>
      <c r="F90" s="67"/>
      <c r="G90" s="67"/>
      <c r="H90" s="67"/>
      <c r="I90" s="67"/>
      <c r="J90" s="67"/>
      <c r="K90" s="67"/>
    </row>
    <row r="91" spans="1:11">
      <c r="A91" s="67" t="s">
        <v>1673</v>
      </c>
      <c r="B91" s="67"/>
      <c r="C91" s="67"/>
      <c r="D91" s="67"/>
      <c r="E91" s="67"/>
      <c r="F91" s="67"/>
      <c r="G91" s="67"/>
      <c r="H91" s="67"/>
      <c r="I91" s="67"/>
      <c r="J91" s="67"/>
      <c r="K91" s="67"/>
    </row>
    <row r="92" spans="1:11">
      <c r="A92" s="67" t="s">
        <v>1674</v>
      </c>
      <c r="B92" s="67"/>
      <c r="C92" s="67"/>
      <c r="D92" s="67"/>
      <c r="E92" s="67"/>
      <c r="F92" s="67"/>
      <c r="G92" s="67"/>
      <c r="H92" s="67"/>
      <c r="I92" s="67"/>
      <c r="J92" s="67"/>
      <c r="K92" s="67"/>
    </row>
    <row r="93" spans="1:11">
      <c r="A93" s="67" t="s">
        <v>1675</v>
      </c>
      <c r="B93" s="67"/>
      <c r="C93" s="67"/>
      <c r="D93" s="67"/>
      <c r="E93" s="67"/>
      <c r="F93" s="67"/>
      <c r="G93" s="67"/>
      <c r="H93" s="67"/>
      <c r="I93" s="67"/>
      <c r="J93" s="67"/>
      <c r="K93" s="67"/>
    </row>
    <row r="94" spans="1:11">
      <c r="A94" s="67" t="s">
        <v>1676</v>
      </c>
      <c r="B94" s="67"/>
      <c r="C94" s="67"/>
      <c r="D94" s="67"/>
      <c r="E94" s="67"/>
      <c r="F94" s="67"/>
      <c r="G94" s="67"/>
      <c r="H94" s="67"/>
      <c r="I94" s="67"/>
      <c r="J94" s="67"/>
      <c r="K94" s="67"/>
    </row>
    <row r="95" spans="1:11">
      <c r="A95" s="67" t="s">
        <v>1677</v>
      </c>
      <c r="B95" s="67"/>
      <c r="C95" s="67"/>
      <c r="D95" s="67"/>
      <c r="E95" s="67"/>
      <c r="F95" s="67"/>
      <c r="G95" s="67"/>
      <c r="H95" s="67"/>
      <c r="I95" s="67"/>
      <c r="J95" s="67"/>
      <c r="K95" s="67"/>
    </row>
    <row r="96" spans="1:11">
      <c r="A96" s="67" t="s">
        <v>78</v>
      </c>
      <c r="B96" s="67"/>
      <c r="C96" s="67"/>
      <c r="D96" s="67"/>
      <c r="E96" s="67"/>
      <c r="F96" s="67"/>
      <c r="G96" s="67"/>
      <c r="H96" s="67"/>
      <c r="I96" s="67"/>
      <c r="J96" s="67"/>
      <c r="K96" s="67"/>
    </row>
    <row r="97" spans="1:11">
      <c r="A97" s="67" t="s">
        <v>79</v>
      </c>
      <c r="B97" s="67"/>
      <c r="C97" s="67"/>
      <c r="D97" s="67"/>
      <c r="E97" s="67"/>
      <c r="F97" s="67"/>
      <c r="G97" s="67"/>
      <c r="H97" s="67"/>
      <c r="I97" s="67"/>
      <c r="J97" s="67"/>
      <c r="K97" s="67"/>
    </row>
    <row r="98" spans="1:11">
      <c r="A98" s="67" t="s">
        <v>1678</v>
      </c>
      <c r="B98" s="67"/>
      <c r="C98" s="67"/>
      <c r="D98" s="67"/>
      <c r="E98" s="67"/>
      <c r="F98" s="67"/>
      <c r="G98" s="67"/>
      <c r="H98" s="67"/>
      <c r="I98" s="67"/>
      <c r="J98" s="67"/>
      <c r="K98" s="67"/>
    </row>
    <row r="99" spans="1:11">
      <c r="A99" s="67" t="s">
        <v>76</v>
      </c>
      <c r="B99" s="67"/>
      <c r="C99" s="67"/>
      <c r="D99" s="67"/>
      <c r="E99" s="67"/>
      <c r="F99" s="67"/>
      <c r="G99" s="67"/>
      <c r="H99" s="67"/>
      <c r="I99" s="67"/>
      <c r="J99" s="67"/>
      <c r="K99" s="67"/>
    </row>
    <row r="100" spans="1:11">
      <c r="A100" s="67" t="s">
        <v>77</v>
      </c>
      <c r="B100" s="67"/>
      <c r="C100" s="67"/>
      <c r="D100" s="67"/>
      <c r="E100" s="67"/>
      <c r="F100" s="67"/>
      <c r="G100" s="67"/>
      <c r="H100" s="67"/>
      <c r="I100" s="67"/>
      <c r="J100" s="67"/>
      <c r="K100" s="67"/>
    </row>
    <row r="101" spans="1:11">
      <c r="A101" s="67" t="s">
        <v>1679</v>
      </c>
      <c r="B101" s="67"/>
      <c r="C101" s="67"/>
      <c r="D101" s="67"/>
      <c r="E101" s="67"/>
      <c r="F101" s="67"/>
      <c r="G101" s="67"/>
      <c r="H101" s="67"/>
      <c r="I101" s="67"/>
      <c r="J101" s="67"/>
      <c r="K101" s="67"/>
    </row>
    <row r="102" spans="1:11">
      <c r="A102" s="67" t="s">
        <v>1680</v>
      </c>
      <c r="B102" s="67"/>
      <c r="C102" s="67"/>
      <c r="D102" s="67"/>
      <c r="E102" s="67"/>
      <c r="F102" s="67"/>
      <c r="G102" s="67"/>
      <c r="H102" s="67"/>
      <c r="I102" s="67"/>
      <c r="J102" s="67"/>
      <c r="K102" s="67"/>
    </row>
    <row r="103" spans="1:11">
      <c r="A103" s="67" t="s">
        <v>1681</v>
      </c>
      <c r="B103" s="67"/>
      <c r="C103" s="67"/>
      <c r="D103" s="67"/>
      <c r="E103" s="67"/>
      <c r="F103" s="67"/>
      <c r="G103" s="67"/>
      <c r="H103" s="67"/>
      <c r="I103" s="67"/>
      <c r="J103" s="67"/>
      <c r="K103" s="67"/>
    </row>
    <row r="104" spans="1:11">
      <c r="A104" s="67" t="s">
        <v>1682</v>
      </c>
      <c r="B104" s="67"/>
      <c r="C104" s="67"/>
      <c r="D104" s="67"/>
      <c r="E104" s="67"/>
      <c r="F104" s="67"/>
      <c r="G104" s="67"/>
      <c r="H104" s="67"/>
      <c r="I104" s="67"/>
      <c r="J104" s="67"/>
      <c r="K104" s="67"/>
    </row>
    <row r="105" spans="1:11">
      <c r="A105" s="67" t="s">
        <v>1683</v>
      </c>
      <c r="B105" s="67"/>
      <c r="C105" s="67"/>
      <c r="D105" s="67"/>
      <c r="E105" s="67"/>
      <c r="F105" s="67"/>
      <c r="G105" s="67"/>
      <c r="H105" s="67"/>
      <c r="I105" s="67"/>
      <c r="J105" s="67"/>
      <c r="K105" s="67"/>
    </row>
    <row r="106" spans="1:11">
      <c r="A106" s="67" t="s">
        <v>1684</v>
      </c>
      <c r="B106" s="67"/>
      <c r="C106" s="67"/>
      <c r="D106" s="67"/>
      <c r="E106" s="67"/>
      <c r="F106" s="67"/>
      <c r="G106" s="67"/>
      <c r="H106" s="67"/>
      <c r="I106" s="67"/>
      <c r="J106" s="67"/>
      <c r="K106" s="67"/>
    </row>
    <row r="107" spans="1:11">
      <c r="A107" s="67" t="s">
        <v>1685</v>
      </c>
      <c r="B107" s="67"/>
      <c r="C107" s="67"/>
      <c r="D107" s="67"/>
      <c r="E107" s="67"/>
      <c r="F107" s="67"/>
      <c r="G107" s="67"/>
      <c r="H107" s="67"/>
      <c r="I107" s="67"/>
      <c r="J107" s="67"/>
      <c r="K107" s="67"/>
    </row>
    <row r="108" spans="1:11">
      <c r="A108" s="67" t="s">
        <v>439</v>
      </c>
      <c r="B108" s="67"/>
      <c r="C108" s="67"/>
      <c r="D108" s="67"/>
      <c r="E108" s="67"/>
      <c r="F108" s="67"/>
      <c r="G108" s="67"/>
      <c r="H108" s="67"/>
      <c r="I108" s="67"/>
      <c r="J108" s="67"/>
      <c r="K108" s="67"/>
    </row>
    <row r="109" spans="1:11">
      <c r="A109" s="67" t="s">
        <v>1686</v>
      </c>
      <c r="B109" s="67"/>
      <c r="C109" s="67"/>
      <c r="D109" s="67"/>
      <c r="E109" s="67"/>
      <c r="F109" s="67"/>
      <c r="G109" s="67"/>
      <c r="H109" s="67"/>
      <c r="I109" s="67"/>
      <c r="J109" s="67"/>
      <c r="K109" s="67"/>
    </row>
    <row r="110" spans="1:11">
      <c r="A110" s="67" t="s">
        <v>1687</v>
      </c>
      <c r="B110" s="67"/>
      <c r="C110" s="67"/>
      <c r="D110" s="67"/>
      <c r="E110" s="67"/>
      <c r="F110" s="67"/>
      <c r="G110" s="67"/>
      <c r="H110" s="67"/>
      <c r="I110" s="67"/>
      <c r="J110" s="67"/>
      <c r="K110" s="67"/>
    </row>
    <row r="111" spans="1:11">
      <c r="A111" s="67" t="s">
        <v>1688</v>
      </c>
      <c r="B111" s="67"/>
      <c r="C111" s="67"/>
      <c r="D111" s="67"/>
      <c r="E111" s="67"/>
      <c r="F111" s="67"/>
      <c r="G111" s="67"/>
      <c r="H111" s="67"/>
      <c r="I111" s="67"/>
      <c r="J111" s="67"/>
      <c r="K111" s="67"/>
    </row>
    <row r="112" spans="1:11">
      <c r="A112" s="67" t="s">
        <v>1689</v>
      </c>
      <c r="B112" s="67"/>
      <c r="C112" s="67"/>
      <c r="D112" s="67"/>
      <c r="E112" s="67"/>
      <c r="F112" s="67"/>
      <c r="G112" s="67"/>
      <c r="H112" s="67"/>
      <c r="I112" s="67"/>
      <c r="J112" s="67"/>
      <c r="K112" s="67"/>
    </row>
    <row r="113" spans="1:11">
      <c r="A113" s="67" t="s">
        <v>1690</v>
      </c>
      <c r="B113" s="67"/>
      <c r="C113" s="67"/>
      <c r="D113" s="67"/>
      <c r="E113" s="67"/>
      <c r="F113" s="67"/>
      <c r="G113" s="67"/>
      <c r="H113" s="67"/>
      <c r="I113" s="67"/>
      <c r="J113" s="67"/>
      <c r="K113" s="67"/>
    </row>
    <row r="114" spans="1:11">
      <c r="A114" s="67" t="s">
        <v>1691</v>
      </c>
      <c r="B114" s="67"/>
      <c r="C114" s="67"/>
      <c r="D114" s="67"/>
      <c r="E114" s="67"/>
      <c r="F114" s="67"/>
      <c r="G114" s="67"/>
      <c r="H114" s="67"/>
      <c r="I114" s="67"/>
      <c r="J114" s="67"/>
      <c r="K114" s="67"/>
    </row>
    <row r="115" spans="1:11">
      <c r="A115" s="67" t="s">
        <v>1692</v>
      </c>
      <c r="B115" s="67"/>
      <c r="C115" s="67"/>
      <c r="D115" s="67"/>
      <c r="E115" s="67"/>
      <c r="F115" s="67"/>
      <c r="G115" s="67"/>
      <c r="H115" s="67"/>
      <c r="I115" s="67"/>
      <c r="J115" s="67"/>
      <c r="K115" s="67"/>
    </row>
    <row r="116" spans="1:11">
      <c r="A116" s="67" t="s">
        <v>1693</v>
      </c>
      <c r="B116" s="67"/>
      <c r="C116" s="67"/>
      <c r="D116" s="67"/>
      <c r="E116" s="67"/>
      <c r="F116" s="67"/>
      <c r="G116" s="67"/>
      <c r="H116" s="67"/>
      <c r="I116" s="67"/>
      <c r="J116" s="67"/>
      <c r="K116" s="67"/>
    </row>
    <row r="117" spans="1:11">
      <c r="A117" s="67" t="s">
        <v>80</v>
      </c>
      <c r="B117" s="67"/>
      <c r="C117" s="67"/>
      <c r="D117" s="67"/>
      <c r="E117" s="67"/>
      <c r="F117" s="67"/>
      <c r="G117" s="67"/>
      <c r="H117" s="67"/>
      <c r="I117" s="67"/>
      <c r="J117" s="67"/>
      <c r="K117" s="67"/>
    </row>
    <row r="118" spans="1:11">
      <c r="A118" s="67" t="s">
        <v>76</v>
      </c>
      <c r="B118" s="67"/>
      <c r="C118" s="67"/>
      <c r="D118" s="67"/>
      <c r="E118" s="67"/>
      <c r="F118" s="67"/>
      <c r="G118" s="67"/>
      <c r="H118" s="67"/>
      <c r="I118" s="67"/>
      <c r="J118" s="67"/>
      <c r="K118" s="67"/>
    </row>
    <row r="119" spans="1:11">
      <c r="A119" s="67" t="s">
        <v>77</v>
      </c>
      <c r="B119" s="67"/>
      <c r="C119" s="67"/>
      <c r="D119" s="67"/>
      <c r="E119" s="67"/>
      <c r="F119" s="67"/>
      <c r="G119" s="67"/>
      <c r="H119" s="67"/>
      <c r="I119" s="67"/>
      <c r="J119" s="67"/>
      <c r="K119" s="67"/>
    </row>
    <row r="120" spans="1:11">
      <c r="A120" s="67" t="s">
        <v>1694</v>
      </c>
      <c r="B120" s="67"/>
      <c r="C120" s="67"/>
      <c r="D120" s="67"/>
      <c r="E120" s="67"/>
      <c r="F120" s="67"/>
      <c r="G120" s="67"/>
      <c r="H120" s="67"/>
      <c r="I120" s="67"/>
      <c r="J120" s="67"/>
      <c r="K120" s="67"/>
    </row>
    <row r="121" spans="1:11">
      <c r="A121" s="67" t="s">
        <v>1695</v>
      </c>
      <c r="B121" s="67"/>
      <c r="C121" s="67"/>
      <c r="D121" s="67"/>
      <c r="E121" s="67"/>
      <c r="F121" s="67"/>
      <c r="G121" s="67"/>
      <c r="H121" s="67"/>
      <c r="I121" s="67"/>
      <c r="J121" s="67"/>
      <c r="K121" s="67"/>
    </row>
    <row r="122" spans="1:11">
      <c r="A122" s="67" t="s">
        <v>1696</v>
      </c>
      <c r="B122" s="67"/>
      <c r="C122" s="67"/>
      <c r="D122" s="67"/>
      <c r="E122" s="67"/>
      <c r="F122" s="67"/>
      <c r="G122" s="67"/>
      <c r="H122" s="67"/>
      <c r="I122" s="67"/>
      <c r="J122" s="67"/>
      <c r="K122" s="67"/>
    </row>
    <row r="123" spans="1:11">
      <c r="A123" s="67" t="s">
        <v>1697</v>
      </c>
      <c r="B123" s="67"/>
      <c r="C123" s="67"/>
      <c r="D123" s="67"/>
      <c r="E123" s="67"/>
      <c r="F123" s="67"/>
      <c r="G123" s="67"/>
      <c r="H123" s="67"/>
      <c r="I123" s="67"/>
      <c r="J123" s="67"/>
      <c r="K123" s="67"/>
    </row>
    <row r="124" spans="1:11">
      <c r="A124" s="67" t="s">
        <v>1698</v>
      </c>
      <c r="B124" s="67"/>
      <c r="C124" s="67"/>
      <c r="D124" s="67"/>
      <c r="E124" s="67"/>
      <c r="F124" s="67"/>
      <c r="G124" s="67"/>
      <c r="H124" s="67"/>
      <c r="I124" s="67"/>
      <c r="J124" s="67"/>
      <c r="K124" s="67"/>
    </row>
    <row r="125" spans="1:11">
      <c r="A125" s="67" t="s">
        <v>1699</v>
      </c>
      <c r="B125" s="67"/>
      <c r="C125" s="67"/>
      <c r="D125" s="67"/>
      <c r="E125" s="67"/>
      <c r="F125" s="67"/>
      <c r="G125" s="67"/>
      <c r="H125" s="67"/>
      <c r="I125" s="67"/>
      <c r="J125" s="67"/>
      <c r="K125" s="67"/>
    </row>
    <row r="126" spans="1:11">
      <c r="A126" s="67" t="s">
        <v>439</v>
      </c>
      <c r="B126" s="67"/>
      <c r="C126" s="67"/>
      <c r="D126" s="67"/>
      <c r="E126" s="67"/>
      <c r="F126" s="67"/>
      <c r="G126" s="67"/>
      <c r="H126" s="67"/>
      <c r="I126" s="67"/>
      <c r="J126" s="67"/>
      <c r="K126" s="67"/>
    </row>
    <row r="127" spans="1:11">
      <c r="A127" s="67" t="s">
        <v>1700</v>
      </c>
      <c r="B127" s="67"/>
      <c r="C127" s="67"/>
      <c r="D127" s="67"/>
      <c r="E127" s="67"/>
      <c r="F127" s="67"/>
      <c r="G127" s="67"/>
      <c r="H127" s="67"/>
      <c r="I127" s="67"/>
      <c r="J127" s="67"/>
      <c r="K127" s="67"/>
    </row>
    <row r="128" spans="1:11">
      <c r="A128" s="67" t="s">
        <v>1701</v>
      </c>
      <c r="B128" s="67"/>
      <c r="C128" s="67"/>
      <c r="D128" s="67"/>
      <c r="E128" s="67"/>
      <c r="F128" s="67"/>
      <c r="G128" s="67"/>
      <c r="H128" s="67"/>
      <c r="I128" s="67"/>
      <c r="J128" s="67"/>
      <c r="K128" s="67"/>
    </row>
    <row r="129" spans="1:11">
      <c r="A129" s="67" t="s">
        <v>80</v>
      </c>
      <c r="B129" s="67"/>
      <c r="C129" s="67"/>
      <c r="D129" s="67"/>
      <c r="E129" s="67"/>
      <c r="F129" s="67"/>
      <c r="G129" s="67"/>
      <c r="H129" s="67"/>
      <c r="I129" s="67"/>
      <c r="J129" s="67"/>
      <c r="K129" s="67"/>
    </row>
    <row r="130" spans="1:11">
      <c r="A130" s="67" t="s">
        <v>81</v>
      </c>
      <c r="B130" s="67"/>
      <c r="C130" s="67"/>
      <c r="D130" s="67"/>
      <c r="E130" s="67"/>
      <c r="F130" s="67"/>
      <c r="G130" s="67"/>
      <c r="H130" s="67"/>
      <c r="I130" s="67"/>
      <c r="J130" s="67"/>
      <c r="K130" s="67"/>
    </row>
    <row r="131" spans="1:11">
      <c r="A131" s="67" t="s">
        <v>1702</v>
      </c>
      <c r="B131" s="67"/>
      <c r="C131" s="67"/>
      <c r="D131" s="67"/>
      <c r="E131" s="67"/>
      <c r="F131" s="67"/>
      <c r="G131" s="67"/>
      <c r="H131" s="67"/>
      <c r="I131" s="67"/>
      <c r="J131" s="67"/>
      <c r="K131" s="67"/>
    </row>
    <row r="132" spans="1:11">
      <c r="A132" s="67" t="s">
        <v>1703</v>
      </c>
      <c r="B132" s="67"/>
      <c r="C132" s="67"/>
      <c r="D132" s="67"/>
      <c r="E132" s="67"/>
      <c r="F132" s="67"/>
      <c r="G132" s="67"/>
      <c r="H132" s="67"/>
      <c r="I132" s="67"/>
      <c r="J132" s="67"/>
      <c r="K132" s="67"/>
    </row>
    <row r="133" spans="1:11">
      <c r="A133" s="67" t="s">
        <v>1704</v>
      </c>
      <c r="B133" s="67"/>
      <c r="C133" s="67"/>
      <c r="D133" s="67"/>
      <c r="E133" s="67"/>
      <c r="F133" s="67"/>
      <c r="G133" s="67"/>
      <c r="H133" s="67"/>
      <c r="I133" s="67"/>
      <c r="J133" s="67"/>
      <c r="K133" s="67"/>
    </row>
    <row r="134" spans="1:11">
      <c r="A134" s="67" t="s">
        <v>1705</v>
      </c>
      <c r="B134" s="67"/>
      <c r="C134" s="67"/>
      <c r="D134" s="67"/>
      <c r="E134" s="67"/>
      <c r="F134" s="67"/>
      <c r="G134" s="67"/>
      <c r="H134" s="67"/>
      <c r="I134" s="67"/>
      <c r="J134" s="67"/>
      <c r="K134" s="67"/>
    </row>
    <row r="135" spans="1:11">
      <c r="A135" s="67" t="s">
        <v>1706</v>
      </c>
      <c r="B135" s="67"/>
      <c r="C135" s="67"/>
      <c r="D135" s="67"/>
      <c r="E135" s="67"/>
      <c r="F135" s="67"/>
      <c r="G135" s="67"/>
      <c r="H135" s="67"/>
      <c r="I135" s="67"/>
      <c r="J135" s="67"/>
      <c r="K135" s="67"/>
    </row>
    <row r="136" spans="1:11">
      <c r="A136" s="67" t="s">
        <v>146</v>
      </c>
      <c r="B136" s="67"/>
      <c r="C136" s="67"/>
      <c r="D136" s="67"/>
      <c r="E136" s="67"/>
      <c r="F136" s="67"/>
      <c r="G136" s="67"/>
      <c r="H136" s="67"/>
      <c r="I136" s="67"/>
      <c r="J136" s="67"/>
      <c r="K136" s="67"/>
    </row>
    <row r="137" spans="1:11">
      <c r="A137" s="67" t="s">
        <v>77</v>
      </c>
      <c r="B137" s="67"/>
      <c r="C137" s="67"/>
      <c r="D137" s="67"/>
      <c r="E137" s="67"/>
      <c r="F137" s="67"/>
      <c r="G137" s="67"/>
      <c r="H137" s="67"/>
      <c r="I137" s="67"/>
      <c r="J137" s="67"/>
      <c r="K137" s="67"/>
    </row>
    <row r="138" spans="1:11">
      <c r="A138" s="67" t="s">
        <v>1707</v>
      </c>
      <c r="B138" s="67"/>
      <c r="C138" s="67"/>
      <c r="D138" s="67"/>
      <c r="E138" s="67"/>
      <c r="F138" s="67"/>
      <c r="G138" s="67"/>
      <c r="H138" s="67"/>
      <c r="I138" s="67"/>
      <c r="J138" s="67"/>
      <c r="K138" s="67"/>
    </row>
    <row r="139" spans="1:11">
      <c r="A139" s="67" t="s">
        <v>1708</v>
      </c>
      <c r="B139" s="67"/>
      <c r="C139" s="67"/>
      <c r="D139" s="67"/>
      <c r="E139" s="67"/>
      <c r="F139" s="67"/>
      <c r="G139" s="67"/>
      <c r="H139" s="67"/>
      <c r="I139" s="67"/>
      <c r="J139" s="67"/>
      <c r="K139" s="67"/>
    </row>
    <row r="140" spans="1:11">
      <c r="A140" s="67" t="s">
        <v>1709</v>
      </c>
      <c r="B140" s="67"/>
      <c r="C140" s="67"/>
      <c r="D140" s="67"/>
      <c r="E140" s="67"/>
      <c r="F140" s="67"/>
      <c r="G140" s="67"/>
      <c r="H140" s="67"/>
      <c r="I140" s="67"/>
      <c r="J140" s="67"/>
      <c r="K140" s="67"/>
    </row>
    <row r="141" spans="1:11">
      <c r="A141" s="67" t="s">
        <v>1710</v>
      </c>
      <c r="B141" s="67"/>
      <c r="C141" s="67"/>
      <c r="D141" s="67"/>
      <c r="E141" s="67"/>
      <c r="F141" s="67"/>
      <c r="G141" s="67"/>
      <c r="H141" s="67"/>
      <c r="I141" s="67"/>
      <c r="J141" s="67"/>
      <c r="K141" s="67"/>
    </row>
    <row r="142" spans="1:11">
      <c r="A142" s="67" t="s">
        <v>1711</v>
      </c>
      <c r="B142" s="67"/>
      <c r="C142" s="67"/>
      <c r="D142" s="67"/>
      <c r="E142" s="67"/>
      <c r="F142" s="67"/>
      <c r="G142" s="67"/>
      <c r="H142" s="67"/>
      <c r="I142" s="67"/>
      <c r="J142" s="67"/>
      <c r="K142" s="67"/>
    </row>
    <row r="143" spans="1:11">
      <c r="A143" s="67" t="s">
        <v>490</v>
      </c>
      <c r="B143" s="67"/>
      <c r="C143" s="67"/>
      <c r="D143" s="67"/>
      <c r="E143" s="67"/>
      <c r="F143" s="67"/>
      <c r="G143" s="67"/>
      <c r="H143" s="67"/>
      <c r="I143" s="67"/>
      <c r="J143" s="67"/>
      <c r="K143" s="67"/>
    </row>
    <row r="144" spans="1:11">
      <c r="A144" s="67" t="s">
        <v>1712</v>
      </c>
      <c r="B144" s="67"/>
      <c r="C144" s="67"/>
      <c r="D144" s="67"/>
      <c r="E144" s="67"/>
      <c r="F144" s="67"/>
      <c r="G144" s="67"/>
      <c r="H144" s="67"/>
      <c r="I144" s="67"/>
      <c r="J144" s="67"/>
      <c r="K144" s="67"/>
    </row>
    <row r="145" spans="1:11">
      <c r="A145" s="67" t="s">
        <v>1713</v>
      </c>
      <c r="B145" s="67"/>
      <c r="C145" s="67"/>
      <c r="D145" s="67"/>
      <c r="E145" s="67"/>
      <c r="F145" s="67"/>
      <c r="G145" s="67"/>
      <c r="H145" s="67"/>
      <c r="I145" s="67"/>
      <c r="J145" s="67"/>
      <c r="K145" s="67"/>
    </row>
    <row r="146" spans="1:11">
      <c r="A146" s="67" t="s">
        <v>1714</v>
      </c>
      <c r="B146" s="67"/>
      <c r="C146" s="67"/>
      <c r="D146" s="67"/>
      <c r="E146" s="67"/>
      <c r="F146" s="67"/>
      <c r="G146" s="67"/>
      <c r="H146" s="67"/>
      <c r="I146" s="67"/>
      <c r="J146" s="67"/>
      <c r="K146" s="67"/>
    </row>
    <row r="147" spans="1:11">
      <c r="A147" s="67" t="s">
        <v>1715</v>
      </c>
      <c r="B147" s="67"/>
      <c r="C147" s="67"/>
      <c r="D147" s="67"/>
      <c r="E147" s="67"/>
      <c r="F147" s="67"/>
      <c r="G147" s="67"/>
      <c r="H147" s="67"/>
      <c r="I147" s="67"/>
      <c r="J147" s="67"/>
      <c r="K147" s="67"/>
    </row>
    <row r="148" spans="1:11">
      <c r="A148" s="67" t="s">
        <v>1716</v>
      </c>
      <c r="B148" s="67"/>
      <c r="C148" s="67"/>
      <c r="D148" s="67"/>
      <c r="E148" s="67"/>
      <c r="F148" s="67"/>
      <c r="G148" s="67"/>
      <c r="H148" s="67"/>
      <c r="I148" s="67"/>
      <c r="J148" s="67"/>
      <c r="K148" s="67"/>
    </row>
    <row r="149" spans="1:11">
      <c r="A149" s="67" t="s">
        <v>1717</v>
      </c>
      <c r="B149" s="67"/>
      <c r="C149" s="67"/>
      <c r="D149" s="67"/>
      <c r="E149" s="67"/>
      <c r="F149" s="67"/>
      <c r="G149" s="67"/>
      <c r="H149" s="67"/>
      <c r="I149" s="67"/>
      <c r="J149" s="67"/>
      <c r="K149" s="67"/>
    </row>
    <row r="150" spans="1:11">
      <c r="A150" s="67" t="s">
        <v>79</v>
      </c>
      <c r="B150" s="67"/>
      <c r="C150" s="67"/>
      <c r="D150" s="67"/>
      <c r="E150" s="67"/>
      <c r="F150" s="67"/>
      <c r="G150" s="67"/>
      <c r="H150" s="67"/>
      <c r="I150" s="67"/>
      <c r="J150" s="67"/>
      <c r="K150" s="67"/>
    </row>
    <row r="151" spans="1:11">
      <c r="A151" s="67" t="s">
        <v>80</v>
      </c>
      <c r="B151" s="67"/>
      <c r="C151" s="67"/>
      <c r="D151" s="67"/>
      <c r="E151" s="67"/>
      <c r="F151" s="67"/>
      <c r="G151" s="67"/>
      <c r="H151" s="67"/>
      <c r="I151" s="67"/>
      <c r="J151" s="67"/>
      <c r="K151" s="67"/>
    </row>
    <row r="152" spans="1:11">
      <c r="A152" s="67" t="s">
        <v>81</v>
      </c>
      <c r="B152" s="67"/>
      <c r="C152" s="67"/>
      <c r="D152" s="67"/>
      <c r="E152" s="67"/>
      <c r="F152" s="67"/>
      <c r="G152" s="67"/>
      <c r="H152" s="67"/>
      <c r="I152" s="67"/>
      <c r="J152" s="67"/>
      <c r="K152" s="67"/>
    </row>
    <row r="153" spans="1:11">
      <c r="A153" s="67" t="s">
        <v>1718</v>
      </c>
      <c r="B153" s="67"/>
      <c r="C153" s="67"/>
      <c r="D153" s="67"/>
      <c r="E153" s="67"/>
      <c r="F153" s="67"/>
      <c r="G153" s="67"/>
      <c r="H153" s="67"/>
      <c r="I153" s="67"/>
      <c r="J153" s="67"/>
      <c r="K153" s="67"/>
    </row>
    <row r="154" spans="1:11">
      <c r="A154" s="67" t="s">
        <v>77</v>
      </c>
      <c r="B154" s="67"/>
      <c r="C154" s="67"/>
      <c r="D154" s="67"/>
      <c r="E154" s="67"/>
      <c r="F154" s="67"/>
      <c r="G154" s="67"/>
      <c r="H154" s="67"/>
      <c r="I154" s="67"/>
      <c r="J154" s="67"/>
      <c r="K154" s="67"/>
    </row>
    <row r="155" spans="1:11">
      <c r="A155" s="67" t="s">
        <v>1719</v>
      </c>
      <c r="B155" s="67"/>
      <c r="C155" s="67"/>
      <c r="D155" s="67"/>
      <c r="E155" s="67"/>
      <c r="F155" s="67"/>
      <c r="G155" s="67"/>
      <c r="H155" s="67"/>
      <c r="I155" s="67"/>
      <c r="J155" s="67"/>
      <c r="K155" s="67"/>
    </row>
    <row r="156" spans="1:11">
      <c r="A156" s="67" t="s">
        <v>1720</v>
      </c>
      <c r="B156" s="67"/>
      <c r="C156" s="67"/>
      <c r="D156" s="67"/>
      <c r="E156" s="67"/>
      <c r="F156" s="67"/>
      <c r="G156" s="67"/>
      <c r="H156" s="67"/>
      <c r="I156" s="67"/>
      <c r="J156" s="67"/>
      <c r="K156" s="67"/>
    </row>
    <row r="157" spans="1:11">
      <c r="A157" s="67" t="s">
        <v>1721</v>
      </c>
      <c r="B157" s="67"/>
      <c r="C157" s="67"/>
      <c r="D157" s="67"/>
      <c r="E157" s="67"/>
      <c r="F157" s="67"/>
      <c r="G157" s="67"/>
      <c r="H157" s="67"/>
      <c r="I157" s="67"/>
      <c r="J157" s="67"/>
      <c r="K157" s="67"/>
    </row>
    <row r="158" spans="1:11">
      <c r="A158" s="67" t="s">
        <v>1722</v>
      </c>
      <c r="B158" s="67"/>
      <c r="C158" s="67"/>
      <c r="D158" s="67"/>
      <c r="E158" s="67"/>
      <c r="F158" s="67"/>
      <c r="G158" s="67"/>
      <c r="H158" s="67"/>
      <c r="I158" s="67"/>
      <c r="J158" s="67"/>
      <c r="K158" s="67"/>
    </row>
    <row r="159" spans="1:11">
      <c r="A159" s="67" t="s">
        <v>1723</v>
      </c>
      <c r="B159" s="67"/>
      <c r="C159" s="67"/>
      <c r="D159" s="67"/>
      <c r="E159" s="67"/>
      <c r="F159" s="67"/>
      <c r="G159" s="67"/>
      <c r="H159" s="67"/>
      <c r="I159" s="67"/>
      <c r="J159" s="67"/>
      <c r="K159" s="67"/>
    </row>
    <row r="160" spans="1:11">
      <c r="A160" s="67" t="s">
        <v>1724</v>
      </c>
      <c r="B160" s="67"/>
      <c r="C160" s="67"/>
      <c r="D160" s="67"/>
      <c r="E160" s="67"/>
      <c r="F160" s="67"/>
      <c r="G160" s="67"/>
      <c r="H160" s="67"/>
      <c r="I160" s="67"/>
      <c r="J160" s="67"/>
      <c r="K160" s="67"/>
    </row>
    <row r="161" spans="1:11">
      <c r="A161" s="67" t="s">
        <v>1618</v>
      </c>
      <c r="B161" s="67"/>
      <c r="C161" s="67"/>
      <c r="D161" s="67"/>
      <c r="E161" s="67"/>
      <c r="F161" s="67"/>
      <c r="G161" s="67"/>
      <c r="H161" s="67"/>
      <c r="I161" s="67"/>
      <c r="J161" s="67"/>
      <c r="K161" s="67"/>
    </row>
    <row r="162" spans="1:11">
      <c r="A162" s="67" t="s">
        <v>1725</v>
      </c>
      <c r="B162" s="67"/>
      <c r="C162" s="67"/>
      <c r="D162" s="67"/>
      <c r="E162" s="67"/>
      <c r="F162" s="67"/>
      <c r="G162" s="67"/>
      <c r="H162" s="67"/>
      <c r="I162" s="67"/>
      <c r="J162" s="67"/>
      <c r="K162" s="67"/>
    </row>
    <row r="163" spans="1:11">
      <c r="A163" s="67" t="s">
        <v>1726</v>
      </c>
      <c r="B163" s="67"/>
      <c r="C163" s="67"/>
      <c r="D163" s="67"/>
      <c r="E163" s="67"/>
      <c r="F163" s="67"/>
      <c r="G163" s="67"/>
      <c r="H163" s="67"/>
      <c r="I163" s="67"/>
      <c r="J163" s="67"/>
      <c r="K163" s="67"/>
    </row>
    <row r="164" spans="1:11">
      <c r="A164" s="67" t="s">
        <v>1727</v>
      </c>
      <c r="B164" s="67"/>
      <c r="C164" s="67"/>
      <c r="D164" s="67"/>
      <c r="E164" s="67"/>
      <c r="F164" s="67"/>
      <c r="G164" s="67"/>
      <c r="H164" s="67"/>
      <c r="I164" s="67"/>
      <c r="J164" s="67"/>
      <c r="K164" s="67"/>
    </row>
    <row r="165" spans="1:11">
      <c r="A165" s="67" t="s">
        <v>1728</v>
      </c>
      <c r="B165" s="67"/>
      <c r="C165" s="67"/>
      <c r="D165" s="67"/>
      <c r="E165" s="67"/>
      <c r="F165" s="67"/>
      <c r="G165" s="67"/>
      <c r="H165" s="67"/>
      <c r="I165" s="67"/>
      <c r="J165" s="67"/>
      <c r="K165" s="67"/>
    </row>
    <row r="166" spans="1:11">
      <c r="A166" s="67" t="s">
        <v>1729</v>
      </c>
      <c r="B166" s="67"/>
      <c r="C166" s="67"/>
      <c r="D166" s="67"/>
      <c r="E166" s="67"/>
      <c r="F166" s="67"/>
      <c r="G166" s="67"/>
      <c r="H166" s="67"/>
      <c r="I166" s="67"/>
      <c r="J166" s="67"/>
      <c r="K166" s="67"/>
    </row>
    <row r="167" spans="1:11">
      <c r="A167" s="67" t="s">
        <v>1730</v>
      </c>
      <c r="B167" s="67"/>
      <c r="C167" s="67"/>
      <c r="D167" s="67"/>
      <c r="E167" s="67"/>
      <c r="F167" s="67"/>
      <c r="G167" s="67"/>
      <c r="H167" s="67"/>
      <c r="I167" s="67"/>
      <c r="J167" s="67"/>
      <c r="K167" s="67"/>
    </row>
    <row r="168" spans="1:11">
      <c r="A168" s="67" t="s">
        <v>1731</v>
      </c>
      <c r="B168" s="67"/>
      <c r="C168" s="67"/>
      <c r="D168" s="67"/>
      <c r="E168" s="67"/>
      <c r="F168" s="67"/>
      <c r="G168" s="67"/>
      <c r="H168" s="67"/>
      <c r="I168" s="67"/>
      <c r="J168" s="67"/>
      <c r="K168" s="67"/>
    </row>
    <row r="169" spans="1:11">
      <c r="A169" s="67" t="s">
        <v>1619</v>
      </c>
      <c r="B169" s="67"/>
      <c r="C169" s="67"/>
      <c r="D169" s="67"/>
      <c r="E169" s="67"/>
      <c r="F169" s="67"/>
      <c r="G169" s="67"/>
      <c r="H169" s="67"/>
      <c r="I169" s="67"/>
      <c r="J169" s="67"/>
      <c r="K169" s="67"/>
    </row>
    <row r="170" spans="1:11">
      <c r="A170" s="67" t="s">
        <v>77</v>
      </c>
      <c r="B170" s="67"/>
      <c r="C170" s="67"/>
      <c r="D170" s="67"/>
      <c r="E170" s="67"/>
      <c r="F170" s="67"/>
      <c r="G170" s="67"/>
      <c r="H170" s="67"/>
      <c r="I170" s="67"/>
      <c r="J170" s="67"/>
      <c r="K170" s="67"/>
    </row>
    <row r="171" spans="1:11">
      <c r="A171" s="67" t="s">
        <v>1732</v>
      </c>
      <c r="B171" s="67"/>
      <c r="C171" s="67"/>
      <c r="D171" s="67"/>
      <c r="E171" s="67"/>
      <c r="F171" s="67"/>
      <c r="G171" s="67"/>
      <c r="H171" s="67"/>
      <c r="I171" s="67"/>
      <c r="J171" s="67"/>
      <c r="K171" s="67"/>
    </row>
    <row r="172" spans="1:11">
      <c r="A172" s="67" t="s">
        <v>1733</v>
      </c>
      <c r="B172" s="67"/>
      <c r="C172" s="67"/>
      <c r="D172" s="67"/>
      <c r="E172" s="67"/>
      <c r="F172" s="67"/>
      <c r="G172" s="67"/>
      <c r="H172" s="67"/>
      <c r="I172" s="67"/>
      <c r="J172" s="67"/>
      <c r="K172" s="67"/>
    </row>
    <row r="173" spans="1:11">
      <c r="A173" s="67" t="s">
        <v>1734</v>
      </c>
      <c r="B173" s="67"/>
      <c r="C173" s="67"/>
      <c r="D173" s="67"/>
      <c r="E173" s="67"/>
      <c r="F173" s="67"/>
      <c r="G173" s="67"/>
      <c r="H173" s="67"/>
      <c r="I173" s="67"/>
      <c r="J173" s="67"/>
      <c r="K173" s="67"/>
    </row>
    <row r="174" spans="1:11">
      <c r="A174" s="67" t="s">
        <v>77</v>
      </c>
      <c r="B174" s="67"/>
      <c r="C174" s="67"/>
      <c r="D174" s="67"/>
      <c r="E174" s="67"/>
      <c r="F174" s="67"/>
      <c r="G174" s="67"/>
      <c r="H174" s="67"/>
      <c r="I174" s="67"/>
      <c r="J174" s="67"/>
      <c r="K174" s="67"/>
    </row>
    <row r="175" spans="1:11">
      <c r="A175" s="67" t="s">
        <v>1735</v>
      </c>
      <c r="B175" s="67"/>
      <c r="C175" s="67"/>
      <c r="D175" s="67"/>
      <c r="E175" s="67"/>
      <c r="F175" s="67"/>
      <c r="G175" s="67"/>
      <c r="H175" s="67"/>
      <c r="I175" s="67"/>
      <c r="J175" s="67"/>
      <c r="K175" s="67"/>
    </row>
    <row r="176" spans="1:11">
      <c r="A176" s="67" t="s">
        <v>1736</v>
      </c>
      <c r="B176" s="67"/>
      <c r="C176" s="67"/>
      <c r="D176" s="67"/>
      <c r="E176" s="67"/>
      <c r="F176" s="67"/>
      <c r="G176" s="67"/>
      <c r="H176" s="67"/>
      <c r="I176" s="67"/>
      <c r="J176" s="67"/>
      <c r="K176" s="67"/>
    </row>
    <row r="177" spans="1:11">
      <c r="A177" s="67" t="s">
        <v>1737</v>
      </c>
      <c r="B177" s="67"/>
      <c r="C177" s="67"/>
      <c r="D177" s="67"/>
      <c r="E177" s="67"/>
      <c r="F177" s="67"/>
      <c r="G177" s="67"/>
      <c r="H177" s="67"/>
      <c r="I177" s="67"/>
      <c r="J177" s="67"/>
      <c r="K177" s="67"/>
    </row>
    <row r="178" spans="1:11">
      <c r="A178" s="67" t="s">
        <v>1738</v>
      </c>
      <c r="B178" s="67"/>
      <c r="C178" s="67"/>
      <c r="D178" s="67"/>
      <c r="E178" s="67"/>
      <c r="F178" s="67"/>
      <c r="G178" s="67"/>
      <c r="H178" s="67"/>
      <c r="I178" s="67"/>
      <c r="J178" s="67"/>
      <c r="K178" s="67"/>
    </row>
    <row r="179" spans="1:11">
      <c r="A179" s="67" t="s">
        <v>77</v>
      </c>
      <c r="B179" s="67"/>
      <c r="C179" s="67"/>
      <c r="D179" s="67"/>
      <c r="E179" s="67"/>
      <c r="F179" s="67"/>
      <c r="G179" s="67"/>
      <c r="H179" s="67"/>
      <c r="I179" s="67"/>
      <c r="J179" s="67"/>
      <c r="K179" s="67"/>
    </row>
    <row r="180" spans="1:11">
      <c r="A180" s="67" t="s">
        <v>1739</v>
      </c>
      <c r="B180" s="67"/>
      <c r="C180" s="67"/>
      <c r="D180" s="67"/>
      <c r="E180" s="67"/>
      <c r="F180" s="67"/>
      <c r="G180" s="67"/>
      <c r="H180" s="67"/>
      <c r="I180" s="67"/>
      <c r="J180" s="67"/>
      <c r="K180" s="67"/>
    </row>
    <row r="181" spans="1:11">
      <c r="A181" s="67" t="s">
        <v>1740</v>
      </c>
      <c r="B181" s="67"/>
      <c r="C181" s="67"/>
      <c r="D181" s="67"/>
      <c r="E181" s="67"/>
      <c r="F181" s="67"/>
      <c r="G181" s="67"/>
      <c r="H181" s="67"/>
      <c r="I181" s="67"/>
      <c r="J181" s="67"/>
      <c r="K181" s="67"/>
    </row>
    <row r="182" spans="1:11">
      <c r="A182" s="67" t="s">
        <v>1741</v>
      </c>
      <c r="B182" s="67"/>
      <c r="C182" s="67"/>
      <c r="D182" s="67"/>
      <c r="E182" s="67"/>
      <c r="F182" s="67"/>
      <c r="G182" s="67"/>
      <c r="H182" s="67"/>
      <c r="I182" s="67"/>
      <c r="J182" s="67"/>
      <c r="K182" s="67"/>
    </row>
    <row r="183" spans="1:11">
      <c r="A183" s="67" t="s">
        <v>77</v>
      </c>
      <c r="B183" s="67"/>
      <c r="C183" s="67"/>
      <c r="D183" s="67"/>
      <c r="E183" s="67"/>
      <c r="F183" s="67"/>
      <c r="G183" s="67"/>
      <c r="H183" s="67"/>
      <c r="I183" s="67"/>
      <c r="J183" s="67"/>
      <c r="K183" s="67"/>
    </row>
    <row r="184" spans="1:11">
      <c r="A184" s="67" t="s">
        <v>1742</v>
      </c>
      <c r="B184" s="67"/>
      <c r="C184" s="67"/>
      <c r="D184" s="67"/>
      <c r="E184" s="67"/>
      <c r="F184" s="67"/>
      <c r="G184" s="67"/>
      <c r="H184" s="67"/>
      <c r="I184" s="67"/>
      <c r="J184" s="67"/>
      <c r="K184" s="67"/>
    </row>
    <row r="185" spans="1:11">
      <c r="A185" s="67" t="s">
        <v>1743</v>
      </c>
      <c r="B185" s="67"/>
      <c r="C185" s="67"/>
      <c r="D185" s="67"/>
      <c r="E185" s="67"/>
      <c r="F185" s="67"/>
      <c r="G185" s="67"/>
      <c r="H185" s="67"/>
      <c r="I185" s="67"/>
      <c r="J185" s="67"/>
      <c r="K185" s="67"/>
    </row>
    <row r="186" spans="1:11">
      <c r="A186" s="67" t="s">
        <v>1744</v>
      </c>
      <c r="B186" s="67"/>
      <c r="C186" s="67"/>
      <c r="D186" s="67"/>
      <c r="E186" s="67"/>
      <c r="F186" s="67"/>
      <c r="G186" s="67"/>
      <c r="H186" s="67"/>
      <c r="I186" s="67"/>
      <c r="J186" s="67"/>
      <c r="K186" s="67"/>
    </row>
    <row r="187" spans="1:11">
      <c r="A187" s="67" t="s">
        <v>1745</v>
      </c>
      <c r="B187" s="67"/>
      <c r="C187" s="67"/>
      <c r="D187" s="67"/>
      <c r="E187" s="67"/>
      <c r="F187" s="67"/>
      <c r="G187" s="67"/>
      <c r="H187" s="67"/>
      <c r="I187" s="67"/>
      <c r="J187" s="67"/>
      <c r="K187" s="67"/>
    </row>
    <row r="188" spans="1:11">
      <c r="A188" s="67" t="s">
        <v>439</v>
      </c>
      <c r="B188" s="67"/>
      <c r="C188" s="67"/>
      <c r="D188" s="67"/>
      <c r="E188" s="67"/>
      <c r="F188" s="67"/>
      <c r="G188" s="67"/>
      <c r="H188" s="67"/>
      <c r="I188" s="67"/>
      <c r="J188" s="67"/>
      <c r="K188" s="67"/>
    </row>
    <row r="189" spans="1:11">
      <c r="A189" s="67" t="s">
        <v>1746</v>
      </c>
      <c r="B189" s="67"/>
      <c r="C189" s="67"/>
      <c r="D189" s="67"/>
      <c r="E189" s="67"/>
      <c r="F189" s="67"/>
      <c r="G189" s="67"/>
      <c r="H189" s="67"/>
      <c r="I189" s="67"/>
      <c r="J189" s="67"/>
      <c r="K189" s="67"/>
    </row>
    <row r="190" spans="1:11">
      <c r="A190" s="67" t="s">
        <v>1747</v>
      </c>
      <c r="B190" s="67"/>
      <c r="C190" s="67"/>
      <c r="D190" s="67"/>
      <c r="E190" s="67"/>
      <c r="F190" s="67"/>
      <c r="G190" s="67"/>
      <c r="H190" s="67"/>
      <c r="I190" s="67"/>
      <c r="J190" s="67"/>
      <c r="K190" s="67"/>
    </row>
    <row r="191" spans="1:11">
      <c r="A191" s="67" t="s">
        <v>1748</v>
      </c>
      <c r="B191" s="67"/>
      <c r="C191" s="67"/>
      <c r="D191" s="67"/>
      <c r="E191" s="67"/>
      <c r="F191" s="67"/>
      <c r="G191" s="67"/>
      <c r="H191" s="67"/>
      <c r="I191" s="67"/>
      <c r="J191" s="67"/>
      <c r="K191" s="67"/>
    </row>
    <row r="192" spans="1:11">
      <c r="A192" s="67" t="s">
        <v>1749</v>
      </c>
      <c r="B192" s="67"/>
      <c r="C192" s="67"/>
      <c r="D192" s="67"/>
      <c r="E192" s="67"/>
      <c r="F192" s="67"/>
      <c r="G192" s="67"/>
      <c r="H192" s="67"/>
      <c r="I192" s="67"/>
      <c r="J192" s="67"/>
      <c r="K192" s="67"/>
    </row>
    <row r="193" spans="1:11">
      <c r="A193" s="67" t="s">
        <v>1750</v>
      </c>
      <c r="B193" s="67"/>
      <c r="C193" s="67"/>
      <c r="D193" s="67"/>
      <c r="E193" s="67"/>
      <c r="F193" s="67"/>
      <c r="G193" s="67"/>
      <c r="H193" s="67"/>
      <c r="I193" s="67"/>
      <c r="J193" s="67"/>
      <c r="K193" s="67"/>
    </row>
    <row r="194" spans="1:11">
      <c r="A194" s="67" t="s">
        <v>1751</v>
      </c>
      <c r="B194" s="67"/>
      <c r="C194" s="67"/>
      <c r="D194" s="67"/>
      <c r="E194" s="67"/>
      <c r="F194" s="67"/>
      <c r="G194" s="67"/>
      <c r="H194" s="67"/>
      <c r="I194" s="67"/>
      <c r="J194" s="67"/>
      <c r="K194" s="67"/>
    </row>
    <row r="195" spans="1:11">
      <c r="A195" s="67" t="s">
        <v>1752</v>
      </c>
      <c r="B195" s="67"/>
      <c r="C195" s="67"/>
      <c r="D195" s="67"/>
      <c r="E195" s="67"/>
      <c r="F195" s="67"/>
      <c r="G195" s="67"/>
      <c r="H195" s="67"/>
      <c r="I195" s="67"/>
      <c r="J195" s="67"/>
      <c r="K195" s="67"/>
    </row>
    <row r="196" spans="1:11">
      <c r="A196" s="67" t="s">
        <v>1753</v>
      </c>
      <c r="B196" s="67"/>
      <c r="C196" s="67"/>
      <c r="D196" s="67"/>
      <c r="E196" s="67"/>
      <c r="F196" s="67"/>
      <c r="G196" s="67"/>
      <c r="H196" s="67"/>
      <c r="I196" s="67"/>
      <c r="J196" s="67"/>
      <c r="K196" s="67"/>
    </row>
    <row r="197" spans="1:11">
      <c r="A197" s="67" t="s">
        <v>1754</v>
      </c>
      <c r="B197" s="67"/>
      <c r="C197" s="67"/>
      <c r="D197" s="67"/>
      <c r="E197" s="67"/>
      <c r="F197" s="67"/>
      <c r="G197" s="67"/>
      <c r="H197" s="67"/>
      <c r="I197" s="67"/>
      <c r="J197" s="67"/>
      <c r="K197" s="67"/>
    </row>
    <row r="198" spans="1:11">
      <c r="A198" s="67" t="s">
        <v>1755</v>
      </c>
      <c r="B198" s="67"/>
      <c r="C198" s="67"/>
      <c r="D198" s="67"/>
      <c r="E198" s="67"/>
      <c r="F198" s="67"/>
      <c r="G198" s="67"/>
      <c r="H198" s="67"/>
      <c r="I198" s="67"/>
      <c r="J198" s="67"/>
      <c r="K198" s="67"/>
    </row>
    <row r="199" spans="1:11">
      <c r="A199" s="67" t="s">
        <v>615</v>
      </c>
      <c r="B199" s="67"/>
      <c r="C199" s="67"/>
      <c r="D199" s="67"/>
      <c r="E199" s="67"/>
      <c r="F199" s="67"/>
      <c r="G199" s="67"/>
      <c r="H199" s="67"/>
      <c r="I199" s="67"/>
      <c r="J199" s="67"/>
      <c r="K199" s="67"/>
    </row>
    <row r="200" spans="1:11">
      <c r="A200" s="67" t="s">
        <v>1756</v>
      </c>
      <c r="B200" s="67"/>
      <c r="C200" s="67"/>
      <c r="D200" s="67"/>
      <c r="E200" s="67"/>
      <c r="F200" s="67"/>
      <c r="G200" s="67"/>
      <c r="H200" s="67"/>
      <c r="I200" s="67"/>
      <c r="J200" s="67"/>
      <c r="K200" s="67"/>
    </row>
    <row r="201" spans="1:11">
      <c r="A201" s="67" t="s">
        <v>1753</v>
      </c>
      <c r="B201" s="67"/>
      <c r="C201" s="67"/>
      <c r="D201" s="67"/>
      <c r="E201" s="67"/>
      <c r="F201" s="67"/>
      <c r="G201" s="67"/>
      <c r="H201" s="67"/>
      <c r="I201" s="67"/>
      <c r="J201" s="67"/>
      <c r="K201" s="67"/>
    </row>
    <row r="202" spans="1:11">
      <c r="A202" s="67" t="s">
        <v>1757</v>
      </c>
      <c r="B202" s="67"/>
      <c r="C202" s="67"/>
      <c r="D202" s="67"/>
      <c r="E202" s="67"/>
      <c r="F202" s="67"/>
      <c r="G202" s="67"/>
      <c r="H202" s="67"/>
      <c r="I202" s="67"/>
      <c r="J202" s="67"/>
      <c r="K202" s="67"/>
    </row>
    <row r="203" spans="1:11">
      <c r="A203" s="67" t="s">
        <v>1758</v>
      </c>
      <c r="B203" s="67"/>
      <c r="C203" s="67"/>
      <c r="D203" s="67"/>
      <c r="E203" s="67"/>
      <c r="F203" s="67"/>
      <c r="G203" s="67"/>
      <c r="H203" s="67"/>
      <c r="I203" s="67"/>
      <c r="J203" s="67"/>
      <c r="K203" s="67"/>
    </row>
    <row r="204" spans="1:11">
      <c r="A204" s="67" t="s">
        <v>615</v>
      </c>
      <c r="B204" s="67"/>
      <c r="C204" s="67"/>
      <c r="D204" s="67"/>
      <c r="E204" s="67"/>
      <c r="F204" s="67"/>
      <c r="G204" s="67"/>
      <c r="H204" s="67"/>
      <c r="I204" s="67"/>
      <c r="J204" s="67"/>
      <c r="K204" s="67"/>
    </row>
    <row r="205" spans="1:11">
      <c r="A205" s="67" t="s">
        <v>1759</v>
      </c>
      <c r="B205" s="67"/>
      <c r="C205" s="67"/>
      <c r="D205" s="67"/>
      <c r="E205" s="67"/>
      <c r="F205" s="67"/>
      <c r="G205" s="67"/>
      <c r="H205" s="67"/>
      <c r="I205" s="67"/>
      <c r="J205" s="67"/>
      <c r="K205" s="67"/>
    </row>
    <row r="206" spans="1:11">
      <c r="A206" s="67" t="s">
        <v>1760</v>
      </c>
      <c r="B206" s="67"/>
      <c r="C206" s="67"/>
      <c r="D206" s="67"/>
      <c r="E206" s="67"/>
      <c r="F206" s="67"/>
      <c r="G206" s="67"/>
      <c r="H206" s="67"/>
      <c r="I206" s="67"/>
      <c r="J206" s="67"/>
      <c r="K206" s="67"/>
    </row>
    <row r="207" spans="1:11">
      <c r="A207" s="67" t="s">
        <v>1761</v>
      </c>
      <c r="B207" s="67"/>
      <c r="C207" s="67"/>
      <c r="D207" s="67"/>
      <c r="E207" s="67"/>
      <c r="F207" s="67"/>
      <c r="G207" s="67"/>
      <c r="H207" s="67"/>
      <c r="I207" s="67"/>
      <c r="J207" s="67"/>
      <c r="K207" s="67"/>
    </row>
    <row r="208" spans="1:11">
      <c r="A208" s="67" t="s">
        <v>1762</v>
      </c>
      <c r="B208" s="67"/>
      <c r="C208" s="67"/>
      <c r="D208" s="67"/>
      <c r="E208" s="67"/>
      <c r="F208" s="67"/>
      <c r="G208" s="67"/>
      <c r="H208" s="67"/>
      <c r="I208" s="67"/>
      <c r="J208" s="67"/>
      <c r="K208" s="67"/>
    </row>
    <row r="209" spans="1:11">
      <c r="A209" s="67" t="s">
        <v>1763</v>
      </c>
      <c r="B209" s="67"/>
      <c r="C209" s="67"/>
      <c r="D209" s="67"/>
      <c r="E209" s="67"/>
      <c r="F209" s="67"/>
      <c r="G209" s="67"/>
      <c r="H209" s="67"/>
      <c r="I209" s="67"/>
      <c r="J209" s="67"/>
      <c r="K209" s="67"/>
    </row>
    <row r="210" spans="1:11">
      <c r="A210" s="67" t="s">
        <v>1764</v>
      </c>
      <c r="B210" s="67"/>
      <c r="C210" s="67"/>
      <c r="D210" s="67"/>
      <c r="E210" s="67"/>
      <c r="F210" s="67"/>
      <c r="G210" s="67"/>
      <c r="H210" s="67"/>
      <c r="I210" s="67"/>
      <c r="J210" s="67"/>
      <c r="K210" s="67"/>
    </row>
    <row r="211" spans="1:11">
      <c r="A211" s="67" t="s">
        <v>1765</v>
      </c>
      <c r="B211" s="67"/>
      <c r="C211" s="67"/>
      <c r="D211" s="67"/>
      <c r="E211" s="67"/>
      <c r="F211" s="67"/>
      <c r="G211" s="67"/>
      <c r="H211" s="67"/>
      <c r="I211" s="67"/>
      <c r="J211" s="67"/>
      <c r="K211" s="67"/>
    </row>
    <row r="212" spans="1:11">
      <c r="A212" s="67" t="s">
        <v>1766</v>
      </c>
      <c r="B212" s="67"/>
      <c r="C212" s="67"/>
      <c r="D212" s="67"/>
      <c r="E212" s="67"/>
      <c r="F212" s="67"/>
      <c r="G212" s="67"/>
      <c r="H212" s="67"/>
      <c r="I212" s="67"/>
      <c r="J212" s="67"/>
      <c r="K212" s="67"/>
    </row>
    <row r="213" spans="1:11">
      <c r="A213" s="67" t="s">
        <v>1767</v>
      </c>
      <c r="B213" s="67"/>
      <c r="C213" s="67"/>
      <c r="D213" s="67"/>
      <c r="E213" s="67"/>
      <c r="F213" s="67"/>
      <c r="G213" s="67"/>
      <c r="H213" s="67"/>
      <c r="I213" s="67"/>
      <c r="J213" s="67"/>
      <c r="K213" s="67"/>
    </row>
    <row r="214" spans="1:11">
      <c r="A214" s="67" t="s">
        <v>1768</v>
      </c>
      <c r="B214" s="67"/>
      <c r="C214" s="67"/>
      <c r="D214" s="67"/>
      <c r="E214" s="67"/>
      <c r="F214" s="67"/>
      <c r="G214" s="67"/>
      <c r="H214" s="67"/>
      <c r="I214" s="67"/>
      <c r="J214" s="67"/>
      <c r="K214" s="67"/>
    </row>
    <row r="215" spans="1:11">
      <c r="A215" s="67" t="s">
        <v>1609</v>
      </c>
      <c r="B215" s="67"/>
      <c r="C215" s="67"/>
      <c r="D215" s="67"/>
      <c r="E215" s="67"/>
      <c r="F215" s="67"/>
      <c r="G215" s="67"/>
      <c r="H215" s="67"/>
      <c r="I215" s="67"/>
      <c r="J215" s="67"/>
      <c r="K215" s="67"/>
    </row>
    <row r="216" spans="1:11">
      <c r="A216" s="67" t="s">
        <v>1620</v>
      </c>
      <c r="B216" s="67"/>
      <c r="C216" s="67"/>
      <c r="D216" s="67"/>
      <c r="E216" s="67"/>
      <c r="F216" s="67"/>
      <c r="G216" s="67"/>
      <c r="H216" s="67"/>
      <c r="I216" s="67"/>
      <c r="J216" s="67"/>
      <c r="K216" s="67"/>
    </row>
    <row r="217" spans="1:11">
      <c r="A217" s="67" t="s">
        <v>1761</v>
      </c>
      <c r="B217" s="67"/>
      <c r="C217" s="67"/>
      <c r="D217" s="67"/>
      <c r="E217" s="67"/>
      <c r="F217" s="67"/>
      <c r="G217" s="67"/>
      <c r="H217" s="67"/>
      <c r="I217" s="67"/>
      <c r="J217" s="67"/>
      <c r="K217" s="67"/>
    </row>
    <row r="218" spans="1:11">
      <c r="A218" s="67" t="s">
        <v>1769</v>
      </c>
      <c r="B218" s="67"/>
      <c r="C218" s="67"/>
      <c r="D218" s="67"/>
      <c r="E218" s="67"/>
      <c r="F218" s="67"/>
      <c r="G218" s="67"/>
      <c r="H218" s="67"/>
      <c r="I218" s="67"/>
      <c r="J218" s="67"/>
      <c r="K218" s="67"/>
    </row>
    <row r="219" spans="1:11">
      <c r="A219" s="67" t="s">
        <v>1770</v>
      </c>
      <c r="B219" s="67"/>
      <c r="C219" s="67"/>
      <c r="D219" s="67"/>
      <c r="E219" s="67"/>
      <c r="F219" s="67"/>
      <c r="G219" s="67"/>
      <c r="H219" s="67"/>
      <c r="I219" s="67"/>
      <c r="J219" s="67"/>
      <c r="K219" s="67"/>
    </row>
    <row r="220" spans="1:11">
      <c r="A220" s="67" t="s">
        <v>1771</v>
      </c>
      <c r="B220" s="67"/>
      <c r="C220" s="67"/>
      <c r="D220" s="67"/>
      <c r="E220" s="67"/>
      <c r="F220" s="67"/>
      <c r="G220" s="67"/>
      <c r="H220" s="67"/>
      <c r="I220" s="67"/>
      <c r="J220" s="67"/>
      <c r="K220" s="67"/>
    </row>
    <row r="221" spans="1:11">
      <c r="A221" s="67" t="s">
        <v>78</v>
      </c>
      <c r="B221" s="67"/>
      <c r="C221" s="67"/>
      <c r="D221" s="67"/>
      <c r="E221" s="67"/>
      <c r="F221" s="67"/>
      <c r="G221" s="67"/>
      <c r="H221" s="67"/>
      <c r="I221" s="67"/>
      <c r="J221" s="67"/>
      <c r="K221" s="67"/>
    </row>
    <row r="222" spans="1:11">
      <c r="A222" s="67" t="s">
        <v>615</v>
      </c>
      <c r="B222" s="67"/>
      <c r="C222" s="67"/>
      <c r="D222" s="67"/>
      <c r="E222" s="67"/>
      <c r="F222" s="67"/>
      <c r="G222" s="67"/>
      <c r="H222" s="67"/>
      <c r="I222" s="67"/>
      <c r="J222" s="67"/>
      <c r="K222" s="67"/>
    </row>
    <row r="223" spans="1:11">
      <c r="A223" s="67" t="s">
        <v>1828</v>
      </c>
      <c r="B223" s="67"/>
      <c r="C223" s="67"/>
      <c r="D223" s="67"/>
      <c r="E223" s="67"/>
      <c r="F223" s="67"/>
      <c r="G223" s="67"/>
      <c r="H223" s="67"/>
      <c r="I223" s="67"/>
      <c r="J223" s="67"/>
      <c r="K223" s="67"/>
    </row>
    <row r="224" spans="1:11">
      <c r="A224" s="67" t="s">
        <v>1772</v>
      </c>
      <c r="B224" s="67"/>
      <c r="C224" s="67"/>
      <c r="D224" s="67"/>
      <c r="E224" s="67"/>
      <c r="F224" s="67"/>
      <c r="G224" s="67"/>
      <c r="H224" s="67"/>
      <c r="I224" s="67"/>
      <c r="J224" s="67"/>
      <c r="K224" s="67"/>
    </row>
    <row r="225" spans="1:11">
      <c r="A225" s="67" t="s">
        <v>1829</v>
      </c>
      <c r="B225" s="67"/>
      <c r="C225" s="67"/>
      <c r="D225" s="67"/>
      <c r="E225" s="67"/>
      <c r="F225" s="67"/>
      <c r="G225" s="67"/>
      <c r="H225" s="67"/>
      <c r="I225" s="67"/>
      <c r="J225" s="67"/>
      <c r="K225" s="67"/>
    </row>
    <row r="226" spans="1:11">
      <c r="A226" s="67" t="s">
        <v>80</v>
      </c>
      <c r="B226" s="67"/>
      <c r="C226" s="67"/>
      <c r="D226" s="67"/>
      <c r="E226" s="67"/>
      <c r="F226" s="67"/>
      <c r="G226" s="67"/>
      <c r="H226" s="67"/>
      <c r="I226" s="67"/>
      <c r="J226" s="67"/>
      <c r="K226" s="67"/>
    </row>
    <row r="227" spans="1:11">
      <c r="A227" s="67" t="s">
        <v>76</v>
      </c>
      <c r="B227" s="67"/>
      <c r="C227" s="67"/>
      <c r="D227" s="67"/>
      <c r="E227" s="67"/>
      <c r="F227" s="67"/>
      <c r="G227" s="67"/>
      <c r="H227" s="67"/>
      <c r="I227" s="67"/>
      <c r="J227" s="67"/>
      <c r="K227" s="67"/>
    </row>
    <row r="228" spans="1:11">
      <c r="A228" s="67" t="s">
        <v>77</v>
      </c>
      <c r="B228" s="67"/>
      <c r="C228" s="67"/>
      <c r="D228" s="67"/>
      <c r="E228" s="67"/>
      <c r="F228" s="67"/>
      <c r="G228" s="67"/>
      <c r="H228" s="67"/>
      <c r="I228" s="67"/>
      <c r="J228" s="67"/>
      <c r="K228" s="67"/>
    </row>
    <row r="229" spans="1:11">
      <c r="A229" s="67" t="s">
        <v>1773</v>
      </c>
      <c r="B229" s="67"/>
      <c r="C229" s="67"/>
      <c r="D229" s="67"/>
      <c r="E229" s="67"/>
      <c r="F229" s="67"/>
      <c r="G229" s="67"/>
      <c r="H229" s="67"/>
      <c r="I229" s="67"/>
      <c r="J229" s="67"/>
      <c r="K229" s="67"/>
    </row>
    <row r="230" spans="1:11">
      <c r="A230" s="67" t="s">
        <v>1774</v>
      </c>
      <c r="B230" s="67"/>
      <c r="C230" s="67"/>
      <c r="D230" s="67"/>
      <c r="E230" s="67"/>
      <c r="F230" s="67"/>
      <c r="G230" s="67"/>
      <c r="H230" s="67"/>
      <c r="I230" s="67"/>
      <c r="J230" s="67"/>
      <c r="K230" s="67"/>
    </row>
    <row r="231" spans="1:11">
      <c r="A231" s="67" t="s">
        <v>1775</v>
      </c>
      <c r="B231" s="67"/>
      <c r="C231" s="67"/>
      <c r="D231" s="67"/>
      <c r="E231" s="67"/>
      <c r="F231" s="67"/>
      <c r="G231" s="67"/>
      <c r="H231" s="67"/>
      <c r="I231" s="67"/>
      <c r="J231" s="67"/>
      <c r="K231" s="67"/>
    </row>
    <row r="232" spans="1:11">
      <c r="A232" s="67" t="s">
        <v>1776</v>
      </c>
      <c r="B232" s="67"/>
      <c r="C232" s="67"/>
      <c r="D232" s="67"/>
      <c r="E232" s="67"/>
      <c r="F232" s="67"/>
      <c r="G232" s="67"/>
      <c r="H232" s="67"/>
      <c r="I232" s="67"/>
      <c r="J232" s="67"/>
      <c r="K232" s="67"/>
    </row>
    <row r="233" spans="1:11">
      <c r="A233" s="67" t="s">
        <v>1777</v>
      </c>
      <c r="B233" s="67"/>
      <c r="C233" s="67"/>
      <c r="D233" s="67"/>
      <c r="E233" s="67"/>
      <c r="F233" s="67"/>
      <c r="G233" s="67"/>
      <c r="H233" s="67"/>
      <c r="I233" s="67"/>
      <c r="J233" s="67"/>
      <c r="K233" s="67"/>
    </row>
    <row r="234" spans="1:11">
      <c r="A234" s="67" t="s">
        <v>77</v>
      </c>
      <c r="B234" s="67"/>
      <c r="C234" s="67"/>
      <c r="D234" s="67"/>
      <c r="E234" s="67"/>
      <c r="F234" s="67"/>
      <c r="G234" s="67"/>
      <c r="H234" s="67"/>
      <c r="I234" s="67"/>
      <c r="J234" s="67"/>
      <c r="K234" s="67"/>
    </row>
    <row r="235" spans="1:11">
      <c r="A235" s="67" t="s">
        <v>1778</v>
      </c>
      <c r="B235" s="67"/>
      <c r="C235" s="67"/>
      <c r="D235" s="67"/>
      <c r="E235" s="67"/>
      <c r="F235" s="67"/>
      <c r="G235" s="67"/>
      <c r="H235" s="67"/>
      <c r="I235" s="67"/>
      <c r="J235" s="67"/>
      <c r="K235" s="67"/>
    </row>
    <row r="236" spans="1:11">
      <c r="A236" s="67" t="s">
        <v>177</v>
      </c>
      <c r="B236" s="67"/>
      <c r="C236" s="67"/>
      <c r="D236" s="67"/>
      <c r="E236" s="67"/>
      <c r="F236" s="67"/>
      <c r="G236" s="67"/>
      <c r="H236" s="67"/>
      <c r="I236" s="67"/>
      <c r="J236" s="67"/>
      <c r="K236" s="67"/>
    </row>
    <row r="237" spans="1:11">
      <c r="A237" s="67" t="s">
        <v>83</v>
      </c>
      <c r="B237" s="67"/>
      <c r="C237" s="67"/>
      <c r="D237" s="67"/>
      <c r="E237" s="67"/>
      <c r="F237" s="67"/>
      <c r="G237" s="67"/>
      <c r="H237" s="67"/>
      <c r="I237" s="67"/>
      <c r="J237" s="67"/>
      <c r="K237" s="67"/>
    </row>
    <row r="239" spans="1:11">
      <c r="A239" s="3" t="s">
        <v>213</v>
      </c>
    </row>
    <row r="240" spans="1:11">
      <c r="A240" s="63" t="s">
        <v>188</v>
      </c>
      <c r="B240" s="63"/>
      <c r="C240" s="64" t="s">
        <v>2</v>
      </c>
      <c r="D240" s="64"/>
      <c r="E240" s="64"/>
      <c r="F240" s="64"/>
      <c r="G240" s="64"/>
      <c r="H240" s="64"/>
      <c r="I240" s="64"/>
      <c r="J240" s="64"/>
      <c r="K240" s="64"/>
    </row>
    <row r="241" spans="1:11" ht="31.5" customHeight="1">
      <c r="A241" s="59" t="s">
        <v>1791</v>
      </c>
      <c r="B241" s="59"/>
      <c r="C241" s="60" t="s">
        <v>1809</v>
      </c>
      <c r="D241" s="60"/>
      <c r="E241" s="60"/>
      <c r="F241" s="60"/>
      <c r="G241" s="60"/>
      <c r="H241" s="60"/>
      <c r="I241" s="60"/>
      <c r="J241" s="60"/>
      <c r="K241" s="60"/>
    </row>
    <row r="242" spans="1:11" ht="29.25" customHeight="1">
      <c r="A242" s="59" t="s">
        <v>1792</v>
      </c>
      <c r="B242" s="59"/>
      <c r="C242" s="60" t="s">
        <v>1810</v>
      </c>
      <c r="D242" s="60"/>
      <c r="E242" s="60"/>
      <c r="F242" s="60"/>
      <c r="G242" s="60"/>
      <c r="H242" s="60"/>
      <c r="I242" s="60"/>
      <c r="J242" s="60"/>
      <c r="K242" s="60"/>
    </row>
    <row r="243" spans="1:11">
      <c r="A243" s="59" t="s">
        <v>4</v>
      </c>
      <c r="B243" s="59"/>
      <c r="C243" s="60" t="s">
        <v>1796</v>
      </c>
      <c r="D243" s="60"/>
      <c r="E243" s="60"/>
      <c r="F243" s="60"/>
      <c r="G243" s="60"/>
      <c r="H243" s="60"/>
      <c r="I243" s="60"/>
      <c r="J243" s="60"/>
      <c r="K243" s="60"/>
    </row>
    <row r="244" spans="1:11" ht="28.5" customHeight="1">
      <c r="A244" s="59" t="s">
        <v>1793</v>
      </c>
      <c r="B244" s="59"/>
      <c r="C244" s="60" t="s">
        <v>1797</v>
      </c>
      <c r="D244" s="60"/>
      <c r="E244" s="60"/>
      <c r="F244" s="60"/>
      <c r="G244" s="60"/>
      <c r="H244" s="60"/>
      <c r="I244" s="60"/>
      <c r="J244" s="60"/>
      <c r="K244" s="60"/>
    </row>
    <row r="245" spans="1:11">
      <c r="A245" s="59" t="s">
        <v>1794</v>
      </c>
      <c r="B245" s="59"/>
      <c r="C245" s="60" t="s">
        <v>1795</v>
      </c>
      <c r="D245" s="60"/>
      <c r="E245" s="60"/>
      <c r="F245" s="60"/>
      <c r="G245" s="60"/>
      <c r="H245" s="60"/>
      <c r="I245" s="60"/>
      <c r="J245" s="60"/>
      <c r="K245" s="60"/>
    </row>
    <row r="247" spans="1:11">
      <c r="A247" s="3" t="s">
        <v>1803</v>
      </c>
    </row>
    <row r="248" spans="1:11" ht="14.25" customHeight="1">
      <c r="A248" s="63" t="s">
        <v>0</v>
      </c>
      <c r="B248" s="63"/>
      <c r="C248" s="64" t="s">
        <v>2</v>
      </c>
      <c r="D248" s="64"/>
      <c r="E248" s="64"/>
      <c r="F248" s="64"/>
      <c r="G248" s="64"/>
      <c r="H248" s="64"/>
      <c r="I248" s="64"/>
      <c r="J248" s="64"/>
      <c r="K248" s="64"/>
    </row>
    <row r="249" spans="1:11">
      <c r="A249" s="61" t="s">
        <v>1798</v>
      </c>
      <c r="B249" s="61"/>
      <c r="C249" s="60" t="s">
        <v>1799</v>
      </c>
      <c r="D249" s="60"/>
      <c r="E249" s="60"/>
      <c r="F249" s="60"/>
      <c r="G249" s="60"/>
      <c r="H249" s="60"/>
      <c r="I249" s="60"/>
      <c r="J249" s="60"/>
      <c r="K249" s="60"/>
    </row>
    <row r="250" spans="1:11">
      <c r="A250" s="61" t="s">
        <v>1611</v>
      </c>
      <c r="B250" s="61"/>
      <c r="C250" s="60" t="s">
        <v>1800</v>
      </c>
      <c r="D250" s="60"/>
      <c r="E250" s="60"/>
      <c r="F250" s="60"/>
      <c r="G250" s="60"/>
      <c r="H250" s="60"/>
      <c r="I250" s="60"/>
      <c r="J250" s="60"/>
      <c r="K250" s="60"/>
    </row>
    <row r="251" spans="1:11" ht="27.75" customHeight="1">
      <c r="A251" s="61" t="s">
        <v>1801</v>
      </c>
      <c r="B251" s="61"/>
      <c r="C251" s="60" t="s">
        <v>1802</v>
      </c>
      <c r="D251" s="60"/>
      <c r="E251" s="60"/>
      <c r="F251" s="60"/>
      <c r="G251" s="60"/>
      <c r="H251" s="60"/>
      <c r="I251" s="60"/>
      <c r="J251" s="60"/>
      <c r="K251" s="60"/>
    </row>
    <row r="253" spans="1:11">
      <c r="A253" s="3" t="s">
        <v>1804</v>
      </c>
    </row>
    <row r="254" spans="1:11">
      <c r="A254" s="61" t="s">
        <v>1805</v>
      </c>
      <c r="B254" s="61"/>
      <c r="C254" s="60" t="s">
        <v>1807</v>
      </c>
      <c r="D254" s="60"/>
      <c r="E254" s="60"/>
      <c r="F254" s="60"/>
      <c r="G254" s="60"/>
      <c r="H254" s="60"/>
      <c r="I254" s="60"/>
      <c r="J254" s="60"/>
      <c r="K254" s="60"/>
    </row>
    <row r="255" spans="1:11">
      <c r="A255" s="61" t="s">
        <v>1806</v>
      </c>
      <c r="B255" s="61"/>
      <c r="C255" s="60" t="s">
        <v>1808</v>
      </c>
      <c r="D255" s="60"/>
      <c r="E255" s="60"/>
      <c r="F255" s="60"/>
      <c r="G255" s="60"/>
      <c r="H255" s="60"/>
      <c r="I255" s="60"/>
      <c r="J255" s="60"/>
      <c r="K255" s="60"/>
    </row>
    <row r="257" spans="1:11">
      <c r="A257" s="3" t="s">
        <v>1811</v>
      </c>
    </row>
    <row r="258" spans="1:11">
      <c r="A258" s="65" t="s">
        <v>1812</v>
      </c>
      <c r="B258" s="65"/>
      <c r="C258" s="65"/>
      <c r="D258" s="65"/>
      <c r="E258" s="65"/>
      <c r="F258" s="65"/>
      <c r="G258" s="65"/>
      <c r="H258" s="65"/>
      <c r="I258" s="65"/>
      <c r="J258" s="65"/>
      <c r="K258" s="65"/>
    </row>
    <row r="262" spans="1:11" ht="16.5">
      <c r="A262" s="65" t="s">
        <v>1813</v>
      </c>
      <c r="B262" s="65"/>
      <c r="C262" s="65"/>
      <c r="D262" s="65"/>
      <c r="E262" s="65"/>
      <c r="F262" s="65"/>
      <c r="G262" s="65"/>
      <c r="H262" s="65"/>
      <c r="I262" s="65"/>
      <c r="J262" s="65"/>
      <c r="K262" s="65"/>
    </row>
    <row r="264" spans="1:11">
      <c r="A264" s="3"/>
    </row>
    <row r="266" spans="1:11" ht="16.5">
      <c r="A266" s="88" t="s">
        <v>1815</v>
      </c>
      <c r="B266" s="88"/>
      <c r="C266" s="88"/>
      <c r="D266" s="88"/>
      <c r="E266" s="88"/>
      <c r="F266" s="88"/>
      <c r="G266" s="88"/>
      <c r="H266" s="88"/>
      <c r="I266" s="88"/>
      <c r="J266" s="88"/>
      <c r="K266" s="88"/>
    </row>
    <row r="267" spans="1:11">
      <c r="A267" s="89" t="s">
        <v>1816</v>
      </c>
      <c r="B267" s="89"/>
      <c r="C267" s="89"/>
      <c r="D267" s="89"/>
      <c r="E267" s="89"/>
      <c r="F267" s="89"/>
      <c r="G267" s="89"/>
      <c r="H267" s="89"/>
      <c r="I267" s="89"/>
      <c r="J267" s="89"/>
      <c r="K267" s="89"/>
    </row>
    <row r="268" spans="1:11" ht="16.5">
      <c r="A268" s="90" t="s">
        <v>1817</v>
      </c>
      <c r="B268" s="90"/>
      <c r="C268" s="90"/>
      <c r="D268" s="90"/>
      <c r="E268" s="90"/>
      <c r="F268" s="90"/>
      <c r="G268" s="90"/>
      <c r="H268" s="90"/>
      <c r="I268" s="90"/>
      <c r="J268" s="90"/>
      <c r="K268" s="90"/>
    </row>
    <row r="269" spans="1:11" ht="16.5">
      <c r="A269" s="90" t="s">
        <v>1818</v>
      </c>
      <c r="B269" s="90"/>
      <c r="C269" s="90"/>
      <c r="D269" s="90"/>
      <c r="E269" s="90"/>
      <c r="F269" s="90"/>
      <c r="G269" s="90"/>
      <c r="H269" s="90"/>
      <c r="I269" s="90"/>
      <c r="J269" s="90"/>
      <c r="K269" s="90"/>
    </row>
    <row r="270" spans="1:11" ht="16.5">
      <c r="A270" s="88" t="s">
        <v>1814</v>
      </c>
      <c r="B270" s="88"/>
      <c r="C270" s="88"/>
      <c r="D270" s="88"/>
      <c r="E270" s="88"/>
      <c r="F270" s="88"/>
      <c r="G270" s="88"/>
      <c r="H270" s="88"/>
      <c r="I270" s="88"/>
      <c r="J270" s="88"/>
      <c r="K270" s="88"/>
    </row>
    <row r="272" spans="1:11">
      <c r="A272" s="3" t="s">
        <v>1206</v>
      </c>
    </row>
    <row r="273" spans="1:11">
      <c r="A273" s="3" t="s">
        <v>1822</v>
      </c>
    </row>
    <row r="274" spans="1:11">
      <c r="A274" s="42" t="s">
        <v>1819</v>
      </c>
      <c r="B274" s="8" t="s">
        <v>1820</v>
      </c>
      <c r="E274" s="42" t="str" cm="1">
        <f t="array" ref="E274:K279">pH(A275:B276,A279:C280, "debug")</f>
        <v>pH</v>
      </c>
      <c r="F274" s="42" t="str">
        <v>pH(HH)</v>
      </c>
      <c r="G274" s="42" t="str">
        <v>H+</v>
      </c>
      <c r="H274" s="42" t="str">
        <v>OH-</v>
      </c>
      <c r="I274" s="42" t="str">
        <v>Charge</v>
      </c>
      <c r="J274" s="42" t="str">
        <v>Residual</v>
      </c>
      <c r="K274" s="42" t="str">
        <v>Converge</v>
      </c>
    </row>
    <row r="275" spans="1:11" ht="15">
      <c r="A275" s="43" t="s">
        <v>1613</v>
      </c>
      <c r="B275" s="41">
        <v>0.05</v>
      </c>
      <c r="E275" s="34">
        <v>2.0000003387945329</v>
      </c>
      <c r="F275" s="34" t="str">
        <v/>
      </c>
      <c r="G275" s="34">
        <v>9.9999921989706309E-3</v>
      </c>
      <c r="H275" s="34">
        <v>1.0000007801035455E-12</v>
      </c>
      <c r="I275" s="34">
        <v>9.9999995000003977E-3</v>
      </c>
      <c r="J275" s="34">
        <v>7.3020297673004331E-9</v>
      </c>
      <c r="K275" s="34" t="str">
        <v>good (1)</v>
      </c>
    </row>
    <row r="276" spans="1:11" ht="15">
      <c r="A276" s="43" t="s">
        <v>1616</v>
      </c>
      <c r="B276" s="41">
        <v>0.04</v>
      </c>
      <c r="E276" s="2" t="str">
        <v/>
      </c>
      <c r="F276" s="2" t="str">
        <v/>
      </c>
      <c r="G276" s="2" t="str">
        <v/>
      </c>
      <c r="H276" s="2" t="str">
        <v/>
      </c>
      <c r="I276" s="2" t="str">
        <v/>
      </c>
      <c r="J276" s="2" t="str">
        <v/>
      </c>
      <c r="K276" s="2" t="str">
        <v/>
      </c>
    </row>
    <row r="277" spans="1:11">
      <c r="E277" s="42" t="str">
        <v>Species</v>
      </c>
      <c r="F277" s="42" t="str">
        <v>Conc</v>
      </c>
      <c r="G277" s="42" t="str">
        <v>Consts</v>
      </c>
      <c r="H277" s="42" t="str">
        <v>Type</v>
      </c>
      <c r="I277" s="42" t="str">
        <v>Path</v>
      </c>
      <c r="J277" s="42" t="str">
        <v>Contribution</v>
      </c>
      <c r="K277" s="42" t="str">
        <v>% Contrib</v>
      </c>
    </row>
    <row r="278" spans="1:11">
      <c r="A278" s="42" t="s">
        <v>1819</v>
      </c>
      <c r="B278" s="8" t="s">
        <v>743</v>
      </c>
      <c r="C278" s="8" t="s">
        <v>1033</v>
      </c>
      <c r="E278" s="34" t="str">
        <v>HCl</v>
      </c>
      <c r="F278" s="34">
        <v>0.05</v>
      </c>
      <c r="G278" s="34" t="str">
        <v>Ka1: 1.E+06</v>
      </c>
      <c r="H278" s="34" t="str">
        <v>acid</v>
      </c>
      <c r="I278" s="34" t="str">
        <v>monoprotic (1 Ka)</v>
      </c>
      <c r="J278" s="34" t="str">
        <v>0.05</v>
      </c>
      <c r="K278" s="34" t="str">
        <v>0.556</v>
      </c>
    </row>
    <row r="279" spans="1:11" ht="15">
      <c r="A279" s="43" t="s">
        <v>1613</v>
      </c>
      <c r="B279" s="43" t="s">
        <v>1612</v>
      </c>
      <c r="C279" s="40">
        <v>1000000</v>
      </c>
      <c r="E279" s="34" t="str">
        <v>NaOH</v>
      </c>
      <c r="F279" s="34">
        <v>0.04</v>
      </c>
      <c r="G279" s="34" t="str">
        <v>Kb: 1.E+06</v>
      </c>
      <c r="H279" s="34" t="str">
        <v>base</v>
      </c>
      <c r="I279" s="34" t="str">
        <v>strong base</v>
      </c>
      <c r="J279" s="34" t="str">
        <v>-0.04</v>
      </c>
      <c r="K279" s="34" t="str">
        <v>0.444</v>
      </c>
    </row>
    <row r="280" spans="1:11" ht="15">
      <c r="A280" s="43" t="s">
        <v>1616</v>
      </c>
      <c r="B280" s="43" t="s">
        <v>1617</v>
      </c>
      <c r="C280" s="40">
        <v>1000000</v>
      </c>
    </row>
    <row r="283" spans="1:11">
      <c r="A283" s="3" t="s">
        <v>1607</v>
      </c>
    </row>
    <row r="284" spans="1:11">
      <c r="A284" s="42" t="s">
        <v>1819</v>
      </c>
      <c r="B284" s="8" t="s">
        <v>1820</v>
      </c>
      <c r="E284" s="42" t="str" cm="1">
        <f t="array" ref="E284:K288">pH(A285:B285,A288:C288, "debug")</f>
        <v>pH</v>
      </c>
      <c r="F284" s="42" t="str">
        <v>pH(HH)</v>
      </c>
      <c r="G284" s="42" t="str">
        <v>H+</v>
      </c>
      <c r="H284" s="42" t="str">
        <v>OH-</v>
      </c>
      <c r="I284" s="42" t="str">
        <v>Charge</v>
      </c>
      <c r="J284" s="42" t="str">
        <v>Residual</v>
      </c>
      <c r="K284" s="42" t="str">
        <v>Converge</v>
      </c>
    </row>
    <row r="285" spans="1:11" ht="15">
      <c r="A285" s="43" t="s">
        <v>1615</v>
      </c>
      <c r="B285" s="41">
        <v>0.1</v>
      </c>
      <c r="E285" s="34">
        <v>2.8752770604180902</v>
      </c>
      <c r="F285" s="34" t="str">
        <v/>
      </c>
      <c r="G285" s="34">
        <v>1.332670976551757E-3</v>
      </c>
      <c r="H285" s="34">
        <v>7.503727608651519E-12</v>
      </c>
      <c r="I285" s="34">
        <v>1.3326709696504868E-3</v>
      </c>
      <c r="J285" s="34">
        <v>6.0245753698284776E-13</v>
      </c>
      <c r="K285" s="34" t="str">
        <v>excellent (2)</v>
      </c>
    </row>
    <row r="286" spans="1:11">
      <c r="E286" s="2" t="str">
        <v/>
      </c>
      <c r="F286" s="2" t="str">
        <v/>
      </c>
      <c r="G286" s="2" t="str">
        <v/>
      </c>
      <c r="H286" s="2" t="str">
        <v/>
      </c>
      <c r="I286" s="2" t="str">
        <v/>
      </c>
      <c r="J286" s="2" t="str">
        <v/>
      </c>
      <c r="K286" s="2" t="str">
        <v/>
      </c>
    </row>
    <row r="287" spans="1:11">
      <c r="A287" s="42" t="s">
        <v>1819</v>
      </c>
      <c r="B287" s="8" t="s">
        <v>743</v>
      </c>
      <c r="C287" s="8" t="s">
        <v>1033</v>
      </c>
      <c r="E287" s="42" t="str">
        <v>Species</v>
      </c>
      <c r="F287" s="42" t="str">
        <v>Conc</v>
      </c>
      <c r="G287" s="42" t="str">
        <v>Consts</v>
      </c>
      <c r="H287" s="42" t="str">
        <v>Type</v>
      </c>
      <c r="I287" s="42" t="str">
        <v>Path</v>
      </c>
      <c r="J287" s="42" t="str">
        <v>Contribution</v>
      </c>
      <c r="K287" s="42" t="str">
        <v>% Contrib</v>
      </c>
    </row>
    <row r="288" spans="1:11" ht="15">
      <c r="A288" s="43" t="s">
        <v>1615</v>
      </c>
      <c r="B288" s="43" t="s">
        <v>1612</v>
      </c>
      <c r="C288" s="40">
        <v>1.8E-5</v>
      </c>
      <c r="E288" s="34" t="str">
        <v>CH3COOH</v>
      </c>
      <c r="F288" s="34">
        <v>0.1</v>
      </c>
      <c r="G288" s="34" t="str">
        <v>Ka1: 1.8E-05</v>
      </c>
      <c r="H288" s="34" t="str">
        <v>acid</v>
      </c>
      <c r="I288" s="34" t="str">
        <v>monoprotic (1 Ka)</v>
      </c>
      <c r="J288" s="34" t="str">
        <v>1.333E-03</v>
      </c>
      <c r="K288" s="34" t="str">
        <v>1.0</v>
      </c>
    </row>
    <row r="291" spans="1:11">
      <c r="A291" s="3" t="s">
        <v>1823</v>
      </c>
    </row>
    <row r="292" spans="1:11">
      <c r="A292" s="42" t="s">
        <v>1819</v>
      </c>
      <c r="B292" s="8" t="s">
        <v>1820</v>
      </c>
      <c r="E292" s="42" t="str" cm="1">
        <f t="array" ref="E292:K297">pH(A293:B294,A297:C298, "debug")</f>
        <v>pH</v>
      </c>
      <c r="F292" s="42" t="str">
        <v>pH(HH)</v>
      </c>
      <c r="G292" s="42" t="str">
        <v>H+</v>
      </c>
      <c r="H292" s="42" t="str">
        <v>OH-</v>
      </c>
      <c r="I292" s="42" t="str">
        <v>Charge</v>
      </c>
      <c r="J292" s="42" t="str">
        <v>Residual</v>
      </c>
      <c r="K292" s="42" t="str">
        <v>Converge</v>
      </c>
    </row>
    <row r="293" spans="1:11" ht="15">
      <c r="A293" s="43" t="s">
        <v>1615</v>
      </c>
      <c r="B293" s="41">
        <v>0.1</v>
      </c>
      <c r="E293" s="34">
        <v>4.7466134254685111</v>
      </c>
      <c r="F293" s="34">
        <v>4.7447274948966935</v>
      </c>
      <c r="G293" s="34">
        <v>1.7922004190397966E-5</v>
      </c>
      <c r="H293" s="34">
        <v>5.5797331000277741E-10</v>
      </c>
      <c r="I293" s="34">
        <v>1.7921468516417238E-5</v>
      </c>
      <c r="J293" s="34">
        <v>2.2299329273574049E-11</v>
      </c>
      <c r="K293" s="34" t="str">
        <v>excellent (13)</v>
      </c>
    </row>
    <row r="294" spans="1:11" ht="15">
      <c r="A294" s="43" t="s">
        <v>1824</v>
      </c>
      <c r="B294" s="41">
        <v>0.1</v>
      </c>
      <c r="E294" s="2" t="str">
        <v/>
      </c>
      <c r="F294" s="2" t="str">
        <v/>
      </c>
      <c r="G294" s="2" t="str">
        <v/>
      </c>
      <c r="H294" s="2" t="str">
        <v/>
      </c>
      <c r="I294" s="2" t="str">
        <v/>
      </c>
      <c r="J294" s="2" t="str">
        <v/>
      </c>
      <c r="K294" s="2" t="str">
        <v/>
      </c>
    </row>
    <row r="295" spans="1:11">
      <c r="E295" s="42" t="str">
        <v>Species</v>
      </c>
      <c r="F295" s="42" t="str">
        <v>Conc</v>
      </c>
      <c r="G295" s="42" t="str">
        <v>Consts</v>
      </c>
      <c r="H295" s="42" t="str">
        <v>Type</v>
      </c>
      <c r="I295" s="42" t="str">
        <v>Path</v>
      </c>
      <c r="J295" s="42" t="str">
        <v>Contribution</v>
      </c>
      <c r="K295" s="42" t="str">
        <v>% Contrib</v>
      </c>
    </row>
    <row r="296" spans="1:11">
      <c r="A296" s="42" t="s">
        <v>1819</v>
      </c>
      <c r="B296" s="8" t="s">
        <v>743</v>
      </c>
      <c r="C296" s="8" t="s">
        <v>1033</v>
      </c>
      <c r="E296" s="34" t="str">
        <v>CH3COOH</v>
      </c>
      <c r="F296" s="34">
        <v>0.1</v>
      </c>
      <c r="G296" s="34" t="str">
        <v>Ka1: 1.8E-05</v>
      </c>
      <c r="H296" s="34" t="str">
        <v>acid</v>
      </c>
      <c r="I296" s="34" t="str">
        <v>monoprotic (1 Ka)</v>
      </c>
      <c r="J296" s="34" t="str">
        <v>0.05</v>
      </c>
      <c r="K296" s="34" t="str">
        <v>0.5</v>
      </c>
    </row>
    <row r="297" spans="1:11" ht="15">
      <c r="A297" s="43" t="s">
        <v>1615</v>
      </c>
      <c r="B297" s="43" t="s">
        <v>1612</v>
      </c>
      <c r="C297" s="40">
        <v>1.8E-5</v>
      </c>
      <c r="E297" s="44" t="str">
        <v>CH3COO-</v>
      </c>
      <c r="F297" s="44">
        <v>0.1</v>
      </c>
      <c r="G297" s="44" t="str">
        <v>Kb: 5.6E-10</v>
      </c>
      <c r="H297" s="44" t="str">
        <v>base</v>
      </c>
      <c r="I297" s="44" t="str">
        <v>weak base</v>
      </c>
      <c r="J297" s="44" t="str">
        <v>-0.05</v>
      </c>
      <c r="K297" s="44" t="str">
        <v>0.5</v>
      </c>
    </row>
    <row r="298" spans="1:11" ht="15">
      <c r="A298" s="43" t="s">
        <v>1824</v>
      </c>
      <c r="B298" s="43" t="s">
        <v>1617</v>
      </c>
      <c r="C298" s="40">
        <v>5.6000000000000003E-10</v>
      </c>
    </row>
    <row r="301" spans="1:11">
      <c r="A301" s="3" t="s">
        <v>1821</v>
      </c>
    </row>
    <row r="302" spans="1:11">
      <c r="A302" s="42" t="s">
        <v>1819</v>
      </c>
      <c r="B302" s="8" t="s">
        <v>1820</v>
      </c>
      <c r="E302" s="42" t="str" cm="1">
        <f t="array" ref="E302:K306">pH(A303:B303,A306:C307, "debug")</f>
        <v>pH</v>
      </c>
      <c r="F302" s="42" t="str">
        <v>pH(HH)</v>
      </c>
      <c r="G302" s="42" t="str">
        <v>H+</v>
      </c>
      <c r="H302" s="42" t="str">
        <v>OH-</v>
      </c>
      <c r="I302" s="42" t="str">
        <v>Charge</v>
      </c>
      <c r="J302" s="42" t="str">
        <v>Residual</v>
      </c>
      <c r="K302" s="42" t="str">
        <v>Converge</v>
      </c>
    </row>
    <row r="303" spans="1:11" ht="15">
      <c r="A303" s="43" t="s">
        <v>1608</v>
      </c>
      <c r="B303" s="41">
        <v>0.05</v>
      </c>
      <c r="E303" s="34">
        <v>3.8344177678677327</v>
      </c>
      <c r="F303" s="34" t="str">
        <v/>
      </c>
      <c r="G303" s="34">
        <v>1.4641387408256801E-4</v>
      </c>
      <c r="H303" s="34">
        <v>6.8299538296218034E-11</v>
      </c>
      <c r="I303" s="34">
        <v>1.4641411878278058E-4</v>
      </c>
      <c r="J303" s="34">
        <v>3.1299975087359204E-10</v>
      </c>
      <c r="K303" s="34" t="str">
        <v>good (1)</v>
      </c>
    </row>
    <row r="304" spans="1:11">
      <c r="E304" s="2" t="str">
        <v/>
      </c>
      <c r="F304" s="2" t="str">
        <v/>
      </c>
      <c r="G304" s="2" t="str">
        <v/>
      </c>
      <c r="H304" s="2" t="str">
        <v/>
      </c>
      <c r="I304" s="2" t="str">
        <v/>
      </c>
      <c r="J304" s="2" t="str">
        <v/>
      </c>
      <c r="K304" s="2" t="str">
        <v/>
      </c>
    </row>
    <row r="305" spans="1:11">
      <c r="A305" s="42" t="s">
        <v>1819</v>
      </c>
      <c r="B305" s="8" t="s">
        <v>743</v>
      </c>
      <c r="C305" s="8" t="s">
        <v>1033</v>
      </c>
      <c r="E305" s="42" t="str">
        <v>Species</v>
      </c>
      <c r="F305" s="42" t="str">
        <v>Conc</v>
      </c>
      <c r="G305" s="42" t="str">
        <v>Consts</v>
      </c>
      <c r="H305" s="42" t="str">
        <v>Type</v>
      </c>
      <c r="I305" s="42" t="str">
        <v>Path</v>
      </c>
      <c r="J305" s="42" t="str">
        <v>Contribution</v>
      </c>
      <c r="K305" s="42" t="str">
        <v>% Contrib</v>
      </c>
    </row>
    <row r="306" spans="1:11" ht="15">
      <c r="A306" s="43" t="s">
        <v>1608</v>
      </c>
      <c r="B306" s="43" t="s">
        <v>1612</v>
      </c>
      <c r="C306" s="40">
        <v>4.3000000000000001E-7</v>
      </c>
      <c r="E306" s="34" t="str">
        <v>H2CO3</v>
      </c>
      <c r="F306" s="34">
        <v>0.05</v>
      </c>
      <c r="G306" s="34" t="str">
        <v>Ka1: 4.3E-07, Ka2: 5.6E-11</v>
      </c>
      <c r="H306" s="34" t="str">
        <v>acid</v>
      </c>
      <c r="I306" s="34" t="str">
        <v>diprotic (2 Ka)</v>
      </c>
      <c r="J306" s="34" t="str">
        <v>1.464E-04</v>
      </c>
      <c r="K306" s="34" t="str">
        <v>1.0</v>
      </c>
    </row>
    <row r="307" spans="1:11" ht="15">
      <c r="A307" s="43" t="s">
        <v>1608</v>
      </c>
      <c r="B307" s="43" t="s">
        <v>1612</v>
      </c>
      <c r="C307" s="40">
        <v>5.6E-11</v>
      </c>
    </row>
    <row r="310" spans="1:11">
      <c r="A310" s="3" t="s">
        <v>1825</v>
      </c>
    </row>
    <row r="311" spans="1:11">
      <c r="A311" s="42" t="s">
        <v>1819</v>
      </c>
      <c r="B311" s="8" t="s">
        <v>1820</v>
      </c>
      <c r="E311" s="42" t="str" cm="1">
        <f t="array" ref="E311:K316">pH(A312:B313,A316:C318, "debug")</f>
        <v>pH</v>
      </c>
      <c r="F311" s="42" t="str">
        <v>pH(HH)</v>
      </c>
      <c r="G311" s="42" t="str">
        <v>H+</v>
      </c>
      <c r="H311" s="42" t="str">
        <v>OH-</v>
      </c>
      <c r="I311" s="42" t="str">
        <v>Charge</v>
      </c>
      <c r="J311" s="42" t="str">
        <v>Residual</v>
      </c>
      <c r="K311" s="42" t="str">
        <v>Converge</v>
      </c>
    </row>
    <row r="312" spans="1:11" ht="15">
      <c r="A312" s="43" t="s">
        <v>1614</v>
      </c>
      <c r="B312" s="41">
        <v>7.4999999999999997E-2</v>
      </c>
      <c r="E312" s="34">
        <v>7.4302718062078812</v>
      </c>
      <c r="F312" s="34" t="str">
        <v/>
      </c>
      <c r="G312" s="34">
        <v>3.7130277395152624E-8</v>
      </c>
      <c r="H312" s="34">
        <v>2.6932198468588618E-7</v>
      </c>
      <c r="I312" s="34">
        <v>-2.320635156816131E-7</v>
      </c>
      <c r="J312" s="34">
        <v>1.2819160912045481E-10</v>
      </c>
      <c r="K312" s="34" t="str">
        <v>good (25)</v>
      </c>
    </row>
    <row r="313" spans="1:11" ht="15">
      <c r="A313" s="43" t="s">
        <v>1616</v>
      </c>
      <c r="B313" s="41">
        <v>0.15</v>
      </c>
      <c r="E313" s="2" t="str">
        <v/>
      </c>
      <c r="F313" s="2" t="str">
        <v/>
      </c>
      <c r="G313" s="2" t="str">
        <v/>
      </c>
      <c r="H313" s="2" t="str">
        <v/>
      </c>
      <c r="I313" s="2" t="str">
        <v/>
      </c>
      <c r="J313" s="2" t="str">
        <v/>
      </c>
      <c r="K313" s="2" t="str">
        <v/>
      </c>
    </row>
    <row r="314" spans="1:11">
      <c r="E314" s="42" t="str">
        <v>Species</v>
      </c>
      <c r="F314" s="42" t="str">
        <v>Conc</v>
      </c>
      <c r="G314" s="42" t="str">
        <v>Consts</v>
      </c>
      <c r="H314" s="42" t="str">
        <v>Type</v>
      </c>
      <c r="I314" s="42" t="str">
        <v>Path</v>
      </c>
      <c r="J314" s="42" t="str">
        <v>Contribution</v>
      </c>
      <c r="K314" s="42" t="str">
        <v>% Contrib</v>
      </c>
    </row>
    <row r="315" spans="1:11">
      <c r="A315" s="42" t="s">
        <v>1819</v>
      </c>
      <c r="B315" s="8" t="s">
        <v>743</v>
      </c>
      <c r="C315" s="8" t="s">
        <v>1033</v>
      </c>
      <c r="E315" s="34" t="str">
        <v>H2SO4</v>
      </c>
      <c r="F315" s="34">
        <v>7.4999999999999997E-2</v>
      </c>
      <c r="G315" s="34" t="str">
        <v>Ka1: 1.E+06, Ka2: 1.2E-02</v>
      </c>
      <c r="H315" s="34" t="str">
        <v>acid</v>
      </c>
      <c r="I315" s="34" t="str">
        <v>diprotic (2 Ka)</v>
      </c>
      <c r="J315" s="34" t="str">
        <v>0.15</v>
      </c>
      <c r="K315" s="34" t="str">
        <v>0.5</v>
      </c>
    </row>
    <row r="316" spans="1:11" ht="15">
      <c r="A316" s="43" t="s">
        <v>1614</v>
      </c>
      <c r="B316" s="43" t="s">
        <v>1612</v>
      </c>
      <c r="C316" s="40">
        <v>1000000</v>
      </c>
      <c r="E316" s="44" t="str">
        <v>NaOH</v>
      </c>
      <c r="F316" s="44">
        <v>0.15</v>
      </c>
      <c r="G316" s="44" t="str">
        <v>Kb: 1.E+06</v>
      </c>
      <c r="H316" s="44" t="str">
        <v>base</v>
      </c>
      <c r="I316" s="44" t="str">
        <v>strong base</v>
      </c>
      <c r="J316" s="44" t="str">
        <v>-0.15</v>
      </c>
      <c r="K316" s="44" t="str">
        <v>0.5</v>
      </c>
    </row>
    <row r="317" spans="1:11" ht="15">
      <c r="A317" s="43" t="s">
        <v>1614</v>
      </c>
      <c r="B317" s="43" t="s">
        <v>1612</v>
      </c>
      <c r="C317" s="40">
        <v>1.2E-2</v>
      </c>
    </row>
    <row r="318" spans="1:11" ht="15">
      <c r="A318" s="43" t="s">
        <v>1616</v>
      </c>
      <c r="B318" s="43" t="s">
        <v>1617</v>
      </c>
      <c r="C318" s="40">
        <v>1000000</v>
      </c>
    </row>
  </sheetData>
  <mergeCells count="263">
    <mergeCell ref="A10:K10"/>
    <mergeCell ref="A11:K11"/>
    <mergeCell ref="A12:K12"/>
    <mergeCell ref="A17:K17"/>
    <mergeCell ref="A18:K18"/>
    <mergeCell ref="A19:K19"/>
    <mergeCell ref="A2:K2"/>
    <mergeCell ref="A3:K3"/>
    <mergeCell ref="A4:K4"/>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44:K44"/>
    <mergeCell ref="A45:K45"/>
    <mergeCell ref="A46:K46"/>
    <mergeCell ref="A47:K47"/>
    <mergeCell ref="A48:K48"/>
    <mergeCell ref="A50:K50"/>
    <mergeCell ref="A38:K38"/>
    <mergeCell ref="A39:K39"/>
    <mergeCell ref="A40:K40"/>
    <mergeCell ref="A41:K41"/>
    <mergeCell ref="A42:K42"/>
    <mergeCell ref="A43:K43"/>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74:K74"/>
    <mergeCell ref="A63:K63"/>
    <mergeCell ref="A64:K64"/>
    <mergeCell ref="A65:K65"/>
    <mergeCell ref="A66:K66"/>
    <mergeCell ref="A67:K67"/>
    <mergeCell ref="A68:K68"/>
    <mergeCell ref="A81:K81"/>
    <mergeCell ref="A82:K82"/>
    <mergeCell ref="A83:K83"/>
    <mergeCell ref="A84:K84"/>
    <mergeCell ref="A85:K85"/>
    <mergeCell ref="A86:K86"/>
    <mergeCell ref="A75:K75"/>
    <mergeCell ref="A76:K76"/>
    <mergeCell ref="A77:K77"/>
    <mergeCell ref="A78:K78"/>
    <mergeCell ref="A79:K79"/>
    <mergeCell ref="A80:K80"/>
    <mergeCell ref="A93:K93"/>
    <mergeCell ref="A94:K94"/>
    <mergeCell ref="A95:K95"/>
    <mergeCell ref="A96:K96"/>
    <mergeCell ref="A97:K97"/>
    <mergeCell ref="A98:K98"/>
    <mergeCell ref="A87:K87"/>
    <mergeCell ref="A88:K88"/>
    <mergeCell ref="A89:K89"/>
    <mergeCell ref="A90:K90"/>
    <mergeCell ref="A91:K91"/>
    <mergeCell ref="A92:K92"/>
    <mergeCell ref="A105:K105"/>
    <mergeCell ref="A106:K106"/>
    <mergeCell ref="A107:K107"/>
    <mergeCell ref="A108:K108"/>
    <mergeCell ref="A109:K109"/>
    <mergeCell ref="A110:K110"/>
    <mergeCell ref="A99:K99"/>
    <mergeCell ref="A100:K100"/>
    <mergeCell ref="A101:K101"/>
    <mergeCell ref="A102:K102"/>
    <mergeCell ref="A103:K103"/>
    <mergeCell ref="A104:K104"/>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89:K189"/>
    <mergeCell ref="A190:K190"/>
    <mergeCell ref="A191:K191"/>
    <mergeCell ref="A192:K192"/>
    <mergeCell ref="A193:K193"/>
    <mergeCell ref="A194:K194"/>
    <mergeCell ref="A183:K183"/>
    <mergeCell ref="A184:K184"/>
    <mergeCell ref="A185:K185"/>
    <mergeCell ref="A186:K186"/>
    <mergeCell ref="A187:K187"/>
    <mergeCell ref="A188:K188"/>
    <mergeCell ref="A201:K201"/>
    <mergeCell ref="A202:K202"/>
    <mergeCell ref="A203:K203"/>
    <mergeCell ref="A204:K204"/>
    <mergeCell ref="A205:K205"/>
    <mergeCell ref="A206:K206"/>
    <mergeCell ref="A195:K195"/>
    <mergeCell ref="A196:K196"/>
    <mergeCell ref="A197:K197"/>
    <mergeCell ref="A198:K198"/>
    <mergeCell ref="A199:K199"/>
    <mergeCell ref="A200:K200"/>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5" sqref="F105"/>
    </sheetView>
  </sheetViews>
  <sheetFormatPr defaultColWidth="9" defaultRowHeight="14.25"/>
  <cols>
    <col min="1" max="16384" width="9" style="2"/>
  </cols>
  <sheetData>
    <row r="1" spans="1:11">
      <c r="A1" s="3" t="s">
        <v>1583</v>
      </c>
    </row>
    <row r="2" spans="1:11">
      <c r="A2" s="65" t="s">
        <v>1581</v>
      </c>
      <c r="B2" s="65"/>
      <c r="C2" s="65"/>
      <c r="D2" s="65"/>
      <c r="E2" s="65"/>
      <c r="F2" s="65"/>
      <c r="G2" s="65"/>
      <c r="H2" s="65"/>
      <c r="I2" s="65"/>
      <c r="J2" s="65"/>
      <c r="K2" s="65"/>
    </row>
    <row r="3" spans="1:11">
      <c r="A3" s="65" t="s">
        <v>1582</v>
      </c>
      <c r="B3" s="65"/>
      <c r="C3" s="65"/>
      <c r="D3" s="65"/>
      <c r="E3" s="65"/>
      <c r="F3" s="65"/>
      <c r="G3" s="65"/>
      <c r="H3" s="65"/>
      <c r="I3" s="65"/>
      <c r="J3" s="65"/>
      <c r="K3" s="65"/>
    </row>
    <row r="4" spans="1:11">
      <c r="A4" s="65" t="s">
        <v>1546</v>
      </c>
      <c r="B4" s="65"/>
      <c r="C4" s="65"/>
      <c r="D4" s="65"/>
      <c r="E4" s="65"/>
      <c r="F4" s="65"/>
      <c r="G4" s="65"/>
      <c r="H4" s="65"/>
      <c r="I4" s="65"/>
      <c r="J4" s="65"/>
      <c r="K4" s="65"/>
    </row>
    <row r="6" spans="1:11">
      <c r="A6" s="3" t="s">
        <v>1</v>
      </c>
    </row>
    <row r="7" spans="1:11" ht="15">
      <c r="A7" s="65" t="s">
        <v>1584</v>
      </c>
      <c r="B7" s="65"/>
      <c r="C7" s="65"/>
      <c r="D7" s="65"/>
      <c r="E7" s="65"/>
      <c r="F7" s="65"/>
      <c r="G7" s="65"/>
      <c r="H7" s="65"/>
      <c r="I7" s="65"/>
      <c r="J7" s="65"/>
      <c r="K7" s="65"/>
    </row>
    <row r="8" spans="1:11">
      <c r="A8" s="65" t="s">
        <v>1585</v>
      </c>
      <c r="B8" s="65"/>
      <c r="C8" s="65"/>
      <c r="D8" s="65"/>
      <c r="E8" s="65"/>
      <c r="F8" s="65"/>
      <c r="G8" s="65"/>
      <c r="H8" s="65"/>
      <c r="I8" s="65"/>
      <c r="J8" s="65"/>
      <c r="K8" s="65"/>
    </row>
    <row r="9" spans="1:11">
      <c r="A9" s="65" t="s">
        <v>1586</v>
      </c>
      <c r="B9" s="65"/>
      <c r="C9" s="65"/>
      <c r="D9" s="65"/>
      <c r="E9" s="65"/>
      <c r="F9" s="65"/>
      <c r="G9" s="65"/>
      <c r="H9" s="65"/>
      <c r="I9" s="65"/>
      <c r="J9" s="65"/>
      <c r="K9" s="65"/>
    </row>
    <row r="11" spans="1:11">
      <c r="A11" s="3" t="s">
        <v>220</v>
      </c>
    </row>
    <row r="12" spans="1:11">
      <c r="A12" s="66" t="s">
        <v>1596</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1339</v>
      </c>
      <c r="B14" s="67"/>
      <c r="C14" s="67"/>
      <c r="D14" s="67"/>
      <c r="E14" s="67"/>
      <c r="F14" s="67"/>
      <c r="G14" s="67"/>
      <c r="H14" s="67"/>
      <c r="I14" s="67"/>
      <c r="J14" s="67"/>
      <c r="K14" s="67"/>
    </row>
    <row r="15" spans="1:11">
      <c r="A15" s="67" t="s">
        <v>1340</v>
      </c>
      <c r="B15" s="67"/>
      <c r="C15" s="67"/>
      <c r="D15" s="67"/>
      <c r="E15" s="67"/>
      <c r="F15" s="67"/>
      <c r="G15" s="67"/>
      <c r="H15" s="67"/>
      <c r="I15" s="67"/>
      <c r="J15" s="67"/>
      <c r="K15" s="67"/>
    </row>
    <row r="16" spans="1:11">
      <c r="A16" s="67" t="s">
        <v>1341</v>
      </c>
      <c r="B16" s="67"/>
      <c r="C16" s="67"/>
      <c r="D16" s="67"/>
      <c r="E16" s="67"/>
      <c r="F16" s="67"/>
      <c r="G16" s="67"/>
      <c r="H16" s="67"/>
      <c r="I16" s="67"/>
      <c r="J16" s="67"/>
      <c r="K16" s="67"/>
    </row>
    <row r="17" spans="1:11">
      <c r="A17" s="67" t="s">
        <v>1301</v>
      </c>
      <c r="B17" s="67"/>
      <c r="C17" s="67"/>
      <c r="D17" s="67"/>
      <c r="E17" s="67"/>
      <c r="F17" s="67"/>
      <c r="G17" s="67"/>
      <c r="H17" s="67"/>
      <c r="I17" s="67"/>
      <c r="J17" s="67"/>
      <c r="K17" s="67"/>
    </row>
    <row r="18" spans="1:11">
      <c r="A18" s="67" t="s">
        <v>1302</v>
      </c>
      <c r="B18" s="67"/>
      <c r="C18" s="67"/>
      <c r="D18" s="67"/>
      <c r="E18" s="67"/>
      <c r="F18" s="67"/>
      <c r="G18" s="67"/>
      <c r="H18" s="67"/>
      <c r="I18" s="67"/>
      <c r="J18" s="67"/>
      <c r="K18" s="67"/>
    </row>
    <row r="19" spans="1:11">
      <c r="A19" s="67" t="s">
        <v>1303</v>
      </c>
      <c r="B19" s="67"/>
      <c r="C19" s="67"/>
      <c r="D19" s="67"/>
      <c r="E19" s="67"/>
      <c r="F19" s="67"/>
      <c r="G19" s="67"/>
      <c r="H19" s="67"/>
      <c r="I19" s="67"/>
      <c r="J19" s="67"/>
      <c r="K19" s="67"/>
    </row>
    <row r="20" spans="1:11">
      <c r="A20" s="67" t="s">
        <v>1414</v>
      </c>
      <c r="B20" s="67"/>
      <c r="C20" s="67"/>
      <c r="D20" s="67"/>
      <c r="E20" s="67"/>
      <c r="F20" s="67"/>
      <c r="G20" s="67"/>
      <c r="H20" s="67"/>
      <c r="I20" s="67"/>
      <c r="J20" s="67"/>
      <c r="K20" s="67"/>
    </row>
    <row r="21" spans="1:11">
      <c r="A21" s="67" t="s">
        <v>1304</v>
      </c>
      <c r="B21" s="67"/>
      <c r="C21" s="67"/>
      <c r="D21" s="67"/>
      <c r="E21" s="67"/>
      <c r="F21" s="67"/>
      <c r="G21" s="67"/>
      <c r="H21" s="67"/>
      <c r="I21" s="67"/>
      <c r="J21" s="67"/>
      <c r="K21" s="67"/>
    </row>
    <row r="22" spans="1:11">
      <c r="A22" s="67" t="s">
        <v>77</v>
      </c>
      <c r="B22" s="67"/>
      <c r="C22" s="67"/>
      <c r="D22" s="67"/>
      <c r="E22" s="67"/>
      <c r="F22" s="67"/>
      <c r="G22" s="67"/>
      <c r="H22" s="67"/>
      <c r="I22" s="67"/>
      <c r="J22" s="67"/>
      <c r="K22" s="67"/>
    </row>
    <row r="23" spans="1:11">
      <c r="A23" s="67" t="s">
        <v>1587</v>
      </c>
      <c r="B23" s="67"/>
      <c r="C23" s="67"/>
      <c r="D23" s="67"/>
      <c r="E23" s="67"/>
      <c r="F23" s="67"/>
      <c r="G23" s="67"/>
      <c r="H23" s="67"/>
      <c r="I23" s="67"/>
      <c r="J23" s="67"/>
      <c r="K23" s="67"/>
    </row>
    <row r="24" spans="1:11">
      <c r="A24" s="67" t="s">
        <v>1588</v>
      </c>
      <c r="B24" s="67"/>
      <c r="C24" s="67"/>
      <c r="D24" s="67"/>
      <c r="E24" s="67"/>
      <c r="F24" s="67"/>
      <c r="G24" s="67"/>
      <c r="H24" s="67"/>
      <c r="I24" s="67"/>
      <c r="J24" s="67"/>
      <c r="K24" s="67"/>
    </row>
    <row r="25" spans="1:11">
      <c r="A25" s="67" t="s">
        <v>1553</v>
      </c>
      <c r="B25" s="67"/>
      <c r="C25" s="67"/>
      <c r="D25" s="67"/>
      <c r="E25" s="67"/>
      <c r="F25" s="67"/>
      <c r="G25" s="67"/>
      <c r="H25" s="67"/>
      <c r="I25" s="67"/>
      <c r="J25" s="67"/>
      <c r="K25" s="67"/>
    </row>
    <row r="26" spans="1:11">
      <c r="A26" s="67" t="s">
        <v>1589</v>
      </c>
      <c r="B26" s="67"/>
      <c r="C26" s="67"/>
      <c r="D26" s="67"/>
      <c r="E26" s="67"/>
      <c r="F26" s="67"/>
      <c r="G26" s="67"/>
      <c r="H26" s="67"/>
      <c r="I26" s="67"/>
      <c r="J26" s="67"/>
      <c r="K26" s="67"/>
    </row>
    <row r="27" spans="1:11">
      <c r="A27" s="67" t="s">
        <v>1590</v>
      </c>
      <c r="B27" s="67"/>
      <c r="C27" s="67"/>
      <c r="D27" s="67"/>
      <c r="E27" s="67"/>
      <c r="F27" s="67"/>
      <c r="G27" s="67"/>
      <c r="H27" s="67"/>
      <c r="I27" s="67"/>
      <c r="J27" s="67"/>
      <c r="K27" s="67"/>
    </row>
    <row r="28" spans="1:11">
      <c r="A28" s="67" t="s">
        <v>1591</v>
      </c>
      <c r="B28" s="67"/>
      <c r="C28" s="67"/>
      <c r="D28" s="67"/>
      <c r="E28" s="67"/>
      <c r="F28" s="67"/>
      <c r="G28" s="67"/>
      <c r="H28" s="67"/>
      <c r="I28" s="67"/>
      <c r="J28" s="67"/>
      <c r="K28" s="67"/>
    </row>
    <row r="29" spans="1:11">
      <c r="A29" s="67" t="s">
        <v>146</v>
      </c>
      <c r="B29" s="67"/>
      <c r="C29" s="67"/>
      <c r="D29" s="67"/>
      <c r="E29" s="67"/>
      <c r="F29" s="67"/>
      <c r="G29" s="67"/>
      <c r="H29" s="67"/>
      <c r="I29" s="67"/>
      <c r="J29" s="67"/>
      <c r="K29" s="67"/>
    </row>
    <row r="30" spans="1:11">
      <c r="A30" s="67" t="s">
        <v>77</v>
      </c>
      <c r="B30" s="67"/>
      <c r="C30" s="67"/>
      <c r="D30" s="67"/>
      <c r="E30" s="67"/>
      <c r="F30" s="67"/>
      <c r="G30" s="67"/>
      <c r="H30" s="67"/>
      <c r="I30" s="67"/>
      <c r="J30" s="67"/>
      <c r="K30" s="67"/>
    </row>
    <row r="31" spans="1:11">
      <c r="A31" s="67" t="s">
        <v>1344</v>
      </c>
      <c r="B31" s="67"/>
      <c r="C31" s="67"/>
      <c r="D31" s="67"/>
      <c r="E31" s="67"/>
      <c r="F31" s="67"/>
      <c r="G31" s="67"/>
      <c r="H31" s="67"/>
      <c r="I31" s="67"/>
      <c r="J31" s="67"/>
      <c r="K31" s="67"/>
    </row>
    <row r="32" spans="1:11">
      <c r="A32" s="67" t="s">
        <v>1369</v>
      </c>
      <c r="B32" s="67"/>
      <c r="C32" s="67"/>
      <c r="D32" s="67"/>
      <c r="E32" s="67"/>
      <c r="F32" s="67"/>
      <c r="G32" s="67"/>
      <c r="H32" s="67"/>
      <c r="I32" s="67"/>
      <c r="J32" s="67"/>
      <c r="K32" s="67"/>
    </row>
    <row r="33" spans="1:11">
      <c r="A33" s="67" t="s">
        <v>1345</v>
      </c>
      <c r="B33" s="67"/>
      <c r="C33" s="67"/>
      <c r="D33" s="67"/>
      <c r="E33" s="67"/>
      <c r="F33" s="67"/>
      <c r="G33" s="67"/>
      <c r="H33" s="67"/>
      <c r="I33" s="67"/>
      <c r="J33" s="67"/>
      <c r="K33" s="67"/>
    </row>
    <row r="34" spans="1:11">
      <c r="A34" s="67" t="s">
        <v>1370</v>
      </c>
      <c r="B34" s="67"/>
      <c r="C34" s="67"/>
      <c r="D34" s="67"/>
      <c r="E34" s="67"/>
      <c r="F34" s="67"/>
      <c r="G34" s="67"/>
      <c r="H34" s="67"/>
      <c r="I34" s="67"/>
      <c r="J34" s="67"/>
      <c r="K34" s="67"/>
    </row>
    <row r="35" spans="1:11">
      <c r="A35" s="67" t="s">
        <v>1371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1305</v>
      </c>
      <c r="B38" s="67"/>
      <c r="C38" s="67"/>
      <c r="D38" s="67"/>
      <c r="E38" s="67"/>
      <c r="F38" s="67"/>
      <c r="G38" s="67"/>
      <c r="H38" s="67"/>
      <c r="I38" s="67"/>
      <c r="J38" s="67"/>
      <c r="K38" s="67"/>
    </row>
    <row r="39" spans="1:11">
      <c r="A39" s="67" t="s">
        <v>1346</v>
      </c>
      <c r="B39" s="67"/>
      <c r="C39" s="67"/>
      <c r="D39" s="67"/>
      <c r="E39" s="67"/>
      <c r="F39" s="67"/>
      <c r="G39" s="67"/>
      <c r="H39" s="67"/>
      <c r="I39" s="67"/>
      <c r="J39" s="67"/>
      <c r="K39" s="67"/>
    </row>
    <row r="40" spans="1:11">
      <c r="A40" s="67" t="s">
        <v>1592</v>
      </c>
      <c r="B40" s="67"/>
      <c r="C40" s="67"/>
      <c r="D40" s="67"/>
      <c r="E40" s="67"/>
      <c r="F40" s="67"/>
      <c r="G40" s="67"/>
      <c r="H40" s="67"/>
      <c r="I40" s="67"/>
      <c r="J40" s="67"/>
      <c r="K40" s="67"/>
    </row>
    <row r="41" spans="1:11">
      <c r="A41" s="67" t="s">
        <v>1593</v>
      </c>
      <c r="B41" s="67"/>
      <c r="C41" s="67"/>
      <c r="D41" s="67"/>
      <c r="E41" s="67"/>
      <c r="F41" s="67"/>
      <c r="G41" s="67"/>
      <c r="H41" s="67"/>
      <c r="I41" s="67"/>
      <c r="J41" s="67"/>
      <c r="K41" s="67"/>
    </row>
    <row r="42" spans="1:11">
      <c r="A42" s="67" t="s">
        <v>146</v>
      </c>
      <c r="B42" s="67"/>
      <c r="C42" s="67"/>
      <c r="D42" s="67"/>
      <c r="E42" s="67"/>
      <c r="F42" s="67"/>
      <c r="G42" s="67"/>
      <c r="H42" s="67"/>
      <c r="I42" s="67"/>
      <c r="J42" s="67"/>
      <c r="K42" s="67"/>
    </row>
    <row r="43" spans="1:11">
      <c r="A43" s="67" t="s">
        <v>77</v>
      </c>
      <c r="B43" s="67"/>
      <c r="C43" s="67"/>
      <c r="D43" s="67"/>
      <c r="E43" s="67"/>
      <c r="F43" s="67"/>
      <c r="G43" s="67"/>
      <c r="H43" s="67"/>
      <c r="I43" s="67"/>
      <c r="J43" s="67"/>
      <c r="K43" s="67"/>
    </row>
    <row r="44" spans="1:11">
      <c r="A44" s="67" t="s">
        <v>1310</v>
      </c>
      <c r="B44" s="67"/>
      <c r="C44" s="67"/>
      <c r="D44" s="67"/>
      <c r="E44" s="67"/>
      <c r="F44" s="67"/>
      <c r="G44" s="67"/>
      <c r="H44" s="67"/>
      <c r="I44" s="67"/>
      <c r="J44" s="67"/>
      <c r="K44" s="67"/>
    </row>
    <row r="45" spans="1:11">
      <c r="A45" s="67" t="s">
        <v>1349</v>
      </c>
      <c r="B45" s="67"/>
      <c r="C45" s="67"/>
      <c r="D45" s="67"/>
      <c r="E45" s="67"/>
      <c r="F45" s="67"/>
      <c r="G45" s="67"/>
      <c r="H45" s="67"/>
      <c r="I45" s="67"/>
      <c r="J45" s="67"/>
      <c r="K45" s="67"/>
    </row>
    <row r="46" spans="1:11">
      <c r="A46" s="67" t="s">
        <v>1594</v>
      </c>
      <c r="B46" s="67"/>
      <c r="C46" s="67"/>
      <c r="D46" s="67"/>
      <c r="E46" s="67"/>
      <c r="F46" s="67"/>
      <c r="G46" s="67"/>
      <c r="H46" s="67"/>
      <c r="I46" s="67"/>
      <c r="J46" s="67"/>
      <c r="K46" s="67"/>
    </row>
    <row r="47" spans="1:11">
      <c r="A47" s="67" t="s">
        <v>1351</v>
      </c>
      <c r="B47" s="67"/>
      <c r="C47" s="67"/>
      <c r="D47" s="67"/>
      <c r="E47" s="67"/>
      <c r="F47" s="67"/>
      <c r="G47" s="67"/>
      <c r="H47" s="67"/>
      <c r="I47" s="67"/>
      <c r="J47" s="67"/>
      <c r="K47" s="67"/>
    </row>
    <row r="48" spans="1:11">
      <c r="A48" s="67" t="s">
        <v>1595</v>
      </c>
      <c r="B48" s="67"/>
      <c r="C48" s="67"/>
      <c r="D48" s="67"/>
      <c r="E48" s="67"/>
      <c r="F48" s="67"/>
      <c r="G48" s="67"/>
      <c r="H48" s="67"/>
      <c r="I48" s="67"/>
      <c r="J48" s="67"/>
      <c r="K48" s="67"/>
    </row>
    <row r="49" spans="1:11">
      <c r="A49" s="67" t="s">
        <v>1311</v>
      </c>
      <c r="B49" s="67"/>
      <c r="C49" s="67"/>
      <c r="D49" s="67"/>
      <c r="E49" s="67"/>
      <c r="F49" s="67"/>
      <c r="G49" s="67"/>
      <c r="H49" s="67"/>
      <c r="I49" s="67"/>
      <c r="J49" s="67"/>
      <c r="K49" s="67"/>
    </row>
    <row r="50" spans="1:11">
      <c r="A50" s="67" t="s">
        <v>1353</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177</v>
      </c>
      <c r="B52" s="67"/>
      <c r="C52" s="67"/>
      <c r="D52" s="67"/>
      <c r="E52" s="67"/>
      <c r="F52" s="67"/>
      <c r="G52" s="67"/>
      <c r="H52" s="67"/>
      <c r="I52" s="67"/>
      <c r="J52" s="67"/>
      <c r="K52" s="67"/>
    </row>
    <row r="53" spans="1:11">
      <c r="A53" s="67" t="s">
        <v>97</v>
      </c>
      <c r="B53" s="67"/>
      <c r="C53" s="67"/>
      <c r="D53" s="67"/>
      <c r="E53" s="67"/>
      <c r="F53" s="67"/>
      <c r="G53" s="67"/>
      <c r="H53" s="67"/>
      <c r="I53" s="67"/>
      <c r="J53" s="67"/>
      <c r="K53" s="67"/>
    </row>
    <row r="55" spans="1:11">
      <c r="A55" s="3" t="s">
        <v>213</v>
      </c>
    </row>
    <row r="56" spans="1:11">
      <c r="A56" s="63" t="s">
        <v>188</v>
      </c>
      <c r="B56" s="63"/>
      <c r="C56" s="64" t="s">
        <v>2</v>
      </c>
      <c r="D56" s="64"/>
      <c r="E56" s="64"/>
      <c r="F56" s="64"/>
      <c r="G56" s="64"/>
      <c r="H56" s="64"/>
      <c r="I56" s="64"/>
      <c r="J56" s="64"/>
      <c r="K56" s="64"/>
    </row>
    <row r="57" spans="1:11">
      <c r="A57" s="59" t="s">
        <v>1387</v>
      </c>
      <c r="B57" s="59"/>
      <c r="C57" s="62" t="s">
        <v>1561</v>
      </c>
      <c r="D57" s="62"/>
      <c r="E57" s="62"/>
      <c r="F57" s="62"/>
      <c r="G57" s="62"/>
      <c r="H57" s="62"/>
      <c r="I57" s="62"/>
      <c r="J57" s="62"/>
      <c r="K57" s="62"/>
    </row>
    <row r="58" spans="1:11">
      <c r="A58" s="59" t="s">
        <v>1384</v>
      </c>
      <c r="B58" s="59"/>
      <c r="C58" s="62" t="s">
        <v>1467</v>
      </c>
      <c r="D58" s="62"/>
      <c r="E58" s="62"/>
      <c r="F58" s="62"/>
      <c r="G58" s="62"/>
      <c r="H58" s="62"/>
      <c r="I58" s="62"/>
      <c r="J58" s="62"/>
      <c r="K58" s="62"/>
    </row>
    <row r="59" spans="1:11" ht="26.25" customHeight="1">
      <c r="A59" s="59" t="s">
        <v>1312</v>
      </c>
      <c r="B59" s="59"/>
      <c r="C59" s="62" t="s">
        <v>1563</v>
      </c>
      <c r="D59" s="62"/>
      <c r="E59" s="62"/>
      <c r="F59" s="62"/>
      <c r="G59" s="62"/>
      <c r="H59" s="62"/>
      <c r="I59" s="62"/>
      <c r="J59" s="62"/>
      <c r="K59" s="62"/>
    </row>
    <row r="60" spans="1:11" ht="30" customHeight="1">
      <c r="A60" s="59" t="s">
        <v>1313</v>
      </c>
      <c r="B60" s="59"/>
      <c r="C60" s="62" t="s">
        <v>1564</v>
      </c>
      <c r="D60" s="62"/>
      <c r="E60" s="62"/>
      <c r="F60" s="62"/>
      <c r="G60" s="62"/>
      <c r="H60" s="62"/>
      <c r="I60" s="62"/>
      <c r="J60" s="62"/>
      <c r="K60" s="62"/>
    </row>
    <row r="62" spans="1:11">
      <c r="A62" s="3" t="s">
        <v>224</v>
      </c>
    </row>
    <row r="63" spans="1:11">
      <c r="A63" s="65" t="s">
        <v>1597</v>
      </c>
      <c r="B63" s="65"/>
      <c r="C63" s="65"/>
      <c r="D63" s="65"/>
      <c r="E63" s="65"/>
      <c r="F63" s="65"/>
      <c r="G63" s="65"/>
      <c r="H63" s="65"/>
      <c r="I63" s="65"/>
      <c r="J63" s="65"/>
      <c r="K63" s="65"/>
    </row>
    <row r="64" spans="1:11">
      <c r="A64" s="65" t="s">
        <v>1598</v>
      </c>
      <c r="B64" s="65"/>
      <c r="C64" s="65"/>
      <c r="D64" s="65"/>
      <c r="E64" s="65"/>
      <c r="F64" s="65"/>
      <c r="G64" s="65"/>
      <c r="H64" s="65"/>
      <c r="I64" s="65"/>
      <c r="J64" s="65"/>
      <c r="K64" s="65"/>
    </row>
    <row r="65" spans="1:11">
      <c r="A65" s="65" t="s">
        <v>1354</v>
      </c>
      <c r="B65" s="65"/>
      <c r="C65" s="65"/>
      <c r="D65" s="65"/>
      <c r="E65" s="65"/>
      <c r="F65" s="65"/>
      <c r="G65" s="65"/>
      <c r="H65" s="65"/>
      <c r="I65" s="65"/>
      <c r="J65" s="65"/>
      <c r="K65" s="65"/>
    </row>
    <row r="66" spans="1:11">
      <c r="A66" s="65" t="s">
        <v>1318</v>
      </c>
      <c r="B66" s="65"/>
      <c r="C66" s="65"/>
      <c r="D66" s="65"/>
      <c r="E66" s="65"/>
      <c r="F66" s="65"/>
      <c r="G66" s="65"/>
      <c r="H66" s="65"/>
      <c r="I66" s="65"/>
      <c r="J66" s="65"/>
      <c r="K66" s="65"/>
    </row>
    <row r="67" spans="1:11">
      <c r="A67" s="65" t="s">
        <v>1599</v>
      </c>
      <c r="B67" s="65"/>
      <c r="C67" s="65"/>
      <c r="D67" s="65"/>
      <c r="E67" s="65"/>
      <c r="F67" s="65"/>
      <c r="G67" s="65"/>
      <c r="H67" s="65"/>
      <c r="I67" s="65"/>
      <c r="J67" s="65"/>
      <c r="K67" s="65"/>
    </row>
    <row r="68" spans="1:11">
      <c r="A68" s="65" t="s">
        <v>1600</v>
      </c>
      <c r="B68" s="65"/>
      <c r="C68" s="65"/>
      <c r="D68" s="65"/>
      <c r="E68" s="65"/>
      <c r="F68" s="65"/>
      <c r="G68" s="65"/>
      <c r="H68" s="65"/>
      <c r="I68" s="65"/>
      <c r="J68" s="65"/>
      <c r="K68" s="65"/>
    </row>
    <row r="69" spans="1:11">
      <c r="A69" s="65" t="s">
        <v>1321</v>
      </c>
      <c r="B69" s="65"/>
      <c r="C69" s="65"/>
      <c r="D69" s="65"/>
      <c r="E69" s="65"/>
      <c r="F69" s="65"/>
      <c r="G69" s="65"/>
      <c r="H69" s="65"/>
      <c r="I69" s="65"/>
      <c r="J69" s="65"/>
      <c r="K69" s="65"/>
    </row>
    <row r="70" spans="1:11">
      <c r="A70" s="65" t="s">
        <v>1322</v>
      </c>
      <c r="B70" s="65"/>
      <c r="C70" s="65"/>
      <c r="D70" s="65"/>
      <c r="E70" s="65"/>
      <c r="F70" s="65"/>
      <c r="G70" s="65"/>
      <c r="H70" s="65"/>
      <c r="I70" s="65"/>
      <c r="J70" s="65"/>
      <c r="K70" s="65"/>
    </row>
    <row r="71" spans="1:11">
      <c r="A71" s="65" t="s">
        <v>1323</v>
      </c>
      <c r="B71" s="65"/>
      <c r="C71" s="65"/>
      <c r="D71" s="65"/>
      <c r="E71" s="65"/>
      <c r="F71" s="65"/>
      <c r="G71" s="65"/>
      <c r="H71" s="65"/>
      <c r="I71" s="65"/>
      <c r="J71" s="65"/>
      <c r="K71" s="65"/>
    </row>
    <row r="72" spans="1:11">
      <c r="A72" s="65" t="s">
        <v>1324</v>
      </c>
      <c r="B72" s="65"/>
      <c r="C72" s="65"/>
      <c r="D72" s="65"/>
      <c r="E72" s="65"/>
      <c r="F72" s="65"/>
      <c r="G72" s="65"/>
      <c r="H72" s="65"/>
      <c r="I72" s="65"/>
      <c r="J72" s="65"/>
      <c r="K72" s="65"/>
    </row>
    <row r="73" spans="1:11">
      <c r="A73" s="65" t="s">
        <v>1325</v>
      </c>
      <c r="B73" s="65"/>
      <c r="C73" s="65"/>
      <c r="D73" s="65"/>
      <c r="E73" s="65"/>
      <c r="F73" s="65"/>
      <c r="G73" s="65"/>
      <c r="H73" s="65"/>
      <c r="I73" s="65"/>
      <c r="J73" s="65"/>
      <c r="K73" s="65"/>
    </row>
    <row r="74" spans="1:11">
      <c r="A74" s="65" t="s">
        <v>1326</v>
      </c>
      <c r="B74" s="65"/>
      <c r="C74" s="65"/>
      <c r="D74" s="65"/>
      <c r="E74" s="65"/>
      <c r="F74" s="65"/>
      <c r="G74" s="65"/>
      <c r="H74" s="65"/>
      <c r="I74" s="65"/>
      <c r="J74" s="65"/>
      <c r="K74" s="65"/>
    </row>
    <row r="75" spans="1:11">
      <c r="A75" s="65" t="s">
        <v>1327</v>
      </c>
      <c r="B75" s="65"/>
      <c r="C75" s="65"/>
      <c r="D75" s="65"/>
      <c r="E75" s="65"/>
      <c r="F75" s="65"/>
      <c r="G75" s="65"/>
      <c r="H75" s="65"/>
      <c r="I75" s="65"/>
      <c r="J75" s="65"/>
      <c r="K75" s="65"/>
    </row>
    <row r="76" spans="1:11">
      <c r="A76" s="65" t="s">
        <v>1601</v>
      </c>
      <c r="B76" s="65"/>
      <c r="C76" s="65"/>
      <c r="D76" s="65"/>
      <c r="E76" s="65"/>
      <c r="F76" s="65"/>
      <c r="G76" s="65"/>
      <c r="H76" s="65"/>
      <c r="I76" s="65"/>
      <c r="J76" s="65"/>
      <c r="K76" s="65"/>
    </row>
    <row r="77" spans="1:11">
      <c r="A77" s="65" t="s">
        <v>1570</v>
      </c>
      <c r="B77" s="65"/>
      <c r="C77" s="65"/>
      <c r="D77" s="65"/>
      <c r="E77" s="65"/>
      <c r="F77" s="65"/>
      <c r="G77" s="65"/>
      <c r="H77" s="65"/>
      <c r="I77" s="65"/>
      <c r="J77" s="65"/>
      <c r="K77" s="65"/>
    </row>
    <row r="78" spans="1:11">
      <c r="A78" s="65" t="s">
        <v>1571</v>
      </c>
      <c r="B78" s="65"/>
      <c r="C78" s="65"/>
      <c r="D78" s="65"/>
      <c r="E78" s="65"/>
      <c r="F78" s="65"/>
      <c r="G78" s="65"/>
      <c r="H78" s="65"/>
      <c r="I78" s="65"/>
      <c r="J78" s="65"/>
      <c r="K78" s="65"/>
    </row>
    <row r="79" spans="1:11">
      <c r="A79" s="65" t="s">
        <v>1602</v>
      </c>
      <c r="B79" s="65"/>
      <c r="C79" s="65"/>
      <c r="D79" s="65"/>
      <c r="E79" s="65"/>
      <c r="F79" s="65"/>
      <c r="G79" s="65"/>
      <c r="H79" s="65"/>
      <c r="I79" s="65"/>
      <c r="J79" s="65"/>
      <c r="K79" s="65"/>
    </row>
    <row r="81" spans="1:11">
      <c r="A81" s="3" t="s">
        <v>519</v>
      </c>
    </row>
    <row r="82" spans="1:11">
      <c r="A82" s="65" t="s">
        <v>1605</v>
      </c>
      <c r="B82" s="65"/>
      <c r="C82" s="65"/>
      <c r="D82" s="65"/>
      <c r="E82" s="65"/>
      <c r="F82" s="65"/>
      <c r="G82" s="65"/>
      <c r="H82" s="65"/>
      <c r="I82" s="65"/>
      <c r="J82" s="65"/>
      <c r="K82" s="65"/>
    </row>
    <row r="83" spans="1:11">
      <c r="A83" s="75" t="s">
        <v>1603</v>
      </c>
      <c r="B83" s="75"/>
      <c r="C83" s="75"/>
      <c r="D83" s="75"/>
      <c r="E83" s="75"/>
      <c r="F83" s="75"/>
      <c r="G83" s="75"/>
      <c r="H83" s="75"/>
      <c r="I83" s="75"/>
      <c r="J83" s="75"/>
      <c r="K83" s="75"/>
    </row>
    <row r="84" spans="1:11">
      <c r="A84" s="75" t="s">
        <v>1604</v>
      </c>
      <c r="B84" s="75"/>
      <c r="C84" s="75"/>
      <c r="D84" s="75"/>
      <c r="E84" s="75"/>
      <c r="F84" s="75"/>
      <c r="G84" s="75"/>
      <c r="H84" s="75"/>
      <c r="I84" s="75"/>
      <c r="J84" s="75"/>
      <c r="K84" s="75"/>
    </row>
    <row r="85" spans="1:11">
      <c r="A85" s="65" t="s">
        <v>1355</v>
      </c>
      <c r="B85" s="65"/>
      <c r="C85" s="65"/>
      <c r="D85" s="65"/>
      <c r="E85" s="65"/>
      <c r="F85" s="65"/>
      <c r="G85" s="65"/>
      <c r="H85" s="65"/>
      <c r="I85" s="65"/>
      <c r="J85" s="65"/>
      <c r="K85" s="65"/>
    </row>
    <row r="86" spans="1:11">
      <c r="A86" s="75" t="s">
        <v>1575</v>
      </c>
      <c r="B86" s="75"/>
      <c r="C86" s="75"/>
      <c r="D86" s="75"/>
      <c r="E86" s="75"/>
      <c r="F86" s="75"/>
      <c r="G86" s="75"/>
      <c r="H86" s="75"/>
      <c r="I86" s="75"/>
      <c r="J86" s="75"/>
      <c r="K86" s="75"/>
    </row>
    <row r="88" spans="1:11">
      <c r="A88" s="3" t="s">
        <v>1367</v>
      </c>
    </row>
    <row r="89" spans="1:11">
      <c r="A89" s="77" t="s">
        <v>1040</v>
      </c>
      <c r="B89" s="77"/>
      <c r="C89" s="11" t="s">
        <v>235</v>
      </c>
      <c r="E89" s="11" t="s">
        <v>1377</v>
      </c>
      <c r="G89" s="74" t="s">
        <v>1606</v>
      </c>
      <c r="H89" s="74"/>
      <c r="I89" s="74"/>
      <c r="J89" s="74"/>
    </row>
    <row r="90" spans="1:11">
      <c r="A90" s="78" t="s">
        <v>1577</v>
      </c>
      <c r="B90" s="78"/>
      <c r="C90" s="13">
        <v>14.55</v>
      </c>
      <c r="E90" s="13" cm="1">
        <f t="array" ref="E90">PROCESS_EFFICIENCY(C90,C91)</f>
        <v>0.90880699562773259</v>
      </c>
      <c r="G90" s="79" t="str" cm="1">
        <f t="array" ref="G90">PROCESS_EFFICIENCY(C90,C91,TRUE)</f>
        <v>Good (90.88%)</v>
      </c>
      <c r="H90" s="79"/>
      <c r="I90" s="79"/>
      <c r="J90" s="79"/>
    </row>
    <row r="91" spans="1:11">
      <c r="A91" s="78" t="s">
        <v>1361</v>
      </c>
      <c r="B91" s="78"/>
      <c r="C91" s="13">
        <v>16.010000000000002</v>
      </c>
    </row>
    <row r="93" spans="1:11">
      <c r="A93" s="3" t="s">
        <v>1368</v>
      </c>
    </row>
    <row r="94" spans="1:11">
      <c r="A94" s="3" t="s">
        <v>1366</v>
      </c>
    </row>
    <row r="95" spans="1:11">
      <c r="A95" s="80" t="s">
        <v>534</v>
      </c>
      <c r="B95" s="80"/>
      <c r="C95" s="11" t="s">
        <v>235</v>
      </c>
    </row>
    <row r="96" spans="1:11">
      <c r="A96" s="78" t="s">
        <v>1526</v>
      </c>
      <c r="B96" s="78"/>
      <c r="C96" s="9">
        <v>0</v>
      </c>
    </row>
    <row r="97" spans="1:10">
      <c r="A97" s="78" t="s">
        <v>1527</v>
      </c>
      <c r="B97" s="78"/>
      <c r="C97" s="9">
        <v>0.5</v>
      </c>
    </row>
    <row r="98" spans="1:10">
      <c r="A98" s="78" t="s">
        <v>1528</v>
      </c>
      <c r="B98" s="78"/>
      <c r="C98" s="9">
        <v>0.7</v>
      </c>
    </row>
    <row r="99" spans="1:10">
      <c r="A99" s="78" t="s">
        <v>1529</v>
      </c>
      <c r="B99" s="78"/>
      <c r="C99" s="9">
        <v>0.85</v>
      </c>
    </row>
    <row r="100" spans="1:10">
      <c r="A100" s="78" t="s">
        <v>1534</v>
      </c>
      <c r="B100" s="78"/>
      <c r="C100" s="9">
        <v>0.95</v>
      </c>
    </row>
    <row r="102" spans="1:10">
      <c r="A102" s="35" t="s">
        <v>1040</v>
      </c>
      <c r="B102" s="35"/>
      <c r="C102" s="11" t="s">
        <v>235</v>
      </c>
      <c r="E102" s="11" t="s">
        <v>1377</v>
      </c>
      <c r="G102" s="74" t="s">
        <v>1606</v>
      </c>
      <c r="H102" s="74"/>
      <c r="I102" s="74"/>
      <c r="J102" s="74"/>
    </row>
    <row r="103" spans="1:10">
      <c r="A103" s="78" t="s">
        <v>1577</v>
      </c>
      <c r="B103" s="78"/>
      <c r="C103" s="13">
        <v>6.97</v>
      </c>
      <c r="E103" s="13" cm="1">
        <f t="array" ref="E103">PROCESS_EFFICIENCY(C103,C104)</f>
        <v>0.4799283894512153</v>
      </c>
      <c r="G103" s="79" t="str" cm="1">
        <f t="array" ref="G103">PROCESS_EFFICIENCY(C103,C104,TRUE,A96:C100)</f>
        <v>Poor (47.99%)</v>
      </c>
      <c r="H103" s="79"/>
      <c r="I103" s="79"/>
      <c r="J103" s="79"/>
    </row>
    <row r="104" spans="1:10">
      <c r="A104" s="78" t="s">
        <v>1361</v>
      </c>
      <c r="B104" s="78"/>
      <c r="C104" s="13">
        <v>14.523</v>
      </c>
    </row>
  </sheetData>
  <mergeCells count="95">
    <mergeCell ref="A100:B100"/>
    <mergeCell ref="G102:J102"/>
    <mergeCell ref="A103:B103"/>
    <mergeCell ref="G103:J103"/>
    <mergeCell ref="A104:B104"/>
    <mergeCell ref="A99:B99"/>
    <mergeCell ref="A85:K85"/>
    <mergeCell ref="A86:K86"/>
    <mergeCell ref="A89:B89"/>
    <mergeCell ref="G89:J89"/>
    <mergeCell ref="A90:B90"/>
    <mergeCell ref="G90:J90"/>
    <mergeCell ref="A91:B91"/>
    <mergeCell ref="A95:B95"/>
    <mergeCell ref="A96:B96"/>
    <mergeCell ref="A97:B97"/>
    <mergeCell ref="A98:B98"/>
    <mergeCell ref="A84:K84"/>
    <mergeCell ref="A71:K71"/>
    <mergeCell ref="A72:K72"/>
    <mergeCell ref="A73:K73"/>
    <mergeCell ref="A74:K74"/>
    <mergeCell ref="A75:K75"/>
    <mergeCell ref="A76:K76"/>
    <mergeCell ref="A77:K77"/>
    <mergeCell ref="A78:K78"/>
    <mergeCell ref="A79:K79"/>
    <mergeCell ref="A82:K82"/>
    <mergeCell ref="A83:K83"/>
    <mergeCell ref="A70:K70"/>
    <mergeCell ref="A59:B59"/>
    <mergeCell ref="C59:K59"/>
    <mergeCell ref="A60:B60"/>
    <mergeCell ref="C60:K60"/>
    <mergeCell ref="A63:K63"/>
    <mergeCell ref="A64:K64"/>
    <mergeCell ref="A65:K65"/>
    <mergeCell ref="A66:K66"/>
    <mergeCell ref="A67:K67"/>
    <mergeCell ref="A68:K68"/>
    <mergeCell ref="A69:K69"/>
    <mergeCell ref="A56:B56"/>
    <mergeCell ref="C56:K56"/>
    <mergeCell ref="A57:B57"/>
    <mergeCell ref="C57:K57"/>
    <mergeCell ref="A58:B58"/>
    <mergeCell ref="C58:K58"/>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2:K12"/>
    <mergeCell ref="A13:K13"/>
    <mergeCell ref="A14:K14"/>
    <mergeCell ref="A15:K15"/>
    <mergeCell ref="A16:K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4.25"/>
  <cols>
    <col min="1" max="16384" width="9" style="2"/>
  </cols>
  <sheetData>
    <row r="1" spans="1:11">
      <c r="A1" s="3" t="s">
        <v>1453</v>
      </c>
      <c r="K1" s="17">
        <v>46196</v>
      </c>
    </row>
    <row r="2" spans="1:11">
      <c r="A2" s="65" t="s">
        <v>1454</v>
      </c>
      <c r="B2" s="65"/>
      <c r="C2" s="65"/>
      <c r="D2" s="65"/>
      <c r="E2" s="65"/>
      <c r="F2" s="65"/>
      <c r="G2" s="65"/>
      <c r="H2" s="65"/>
      <c r="I2" s="65"/>
      <c r="J2" s="65"/>
      <c r="K2" s="65"/>
    </row>
    <row r="3" spans="1:11">
      <c r="A3" s="65" t="s">
        <v>1455</v>
      </c>
      <c r="B3" s="65"/>
      <c r="C3" s="65"/>
      <c r="D3" s="65"/>
      <c r="E3" s="65"/>
      <c r="F3" s="65"/>
      <c r="G3" s="65"/>
      <c r="H3" s="65"/>
      <c r="I3" s="65"/>
      <c r="J3" s="65"/>
      <c r="K3" s="65"/>
    </row>
    <row r="4" spans="1:11">
      <c r="A4" s="65" t="s">
        <v>1458</v>
      </c>
      <c r="B4" s="65"/>
      <c r="C4" s="65"/>
      <c r="D4" s="65"/>
      <c r="E4" s="65"/>
      <c r="F4" s="65"/>
      <c r="G4" s="65"/>
      <c r="H4" s="65"/>
      <c r="I4" s="65"/>
      <c r="J4" s="65"/>
      <c r="K4" s="65"/>
    </row>
    <row r="5" spans="1:11">
      <c r="A5" s="65" t="s">
        <v>1456</v>
      </c>
      <c r="B5" s="65"/>
      <c r="C5" s="65"/>
      <c r="D5" s="65"/>
      <c r="E5" s="65"/>
      <c r="F5" s="65"/>
      <c r="G5" s="65"/>
      <c r="H5" s="65"/>
      <c r="I5" s="65"/>
      <c r="J5" s="65"/>
      <c r="K5" s="65"/>
    </row>
    <row r="6" spans="1:11">
      <c r="A6" s="65" t="s">
        <v>1457</v>
      </c>
      <c r="B6" s="65"/>
      <c r="C6" s="65"/>
      <c r="D6" s="65"/>
      <c r="E6" s="65"/>
      <c r="F6" s="65"/>
      <c r="G6" s="65"/>
      <c r="H6" s="65"/>
      <c r="I6" s="65"/>
      <c r="J6" s="65"/>
      <c r="K6" s="65"/>
    </row>
    <row r="8" spans="1:11">
      <c r="A8" s="3" t="s">
        <v>1</v>
      </c>
    </row>
    <row r="9" spans="1:11">
      <c r="A9" s="65" t="s">
        <v>1461</v>
      </c>
      <c r="B9" s="65"/>
      <c r="C9" s="65"/>
      <c r="D9" s="65"/>
      <c r="E9" s="65"/>
      <c r="F9" s="65"/>
      <c r="G9" s="65"/>
      <c r="H9" s="65"/>
      <c r="I9" s="65"/>
      <c r="J9" s="65"/>
      <c r="K9" s="65"/>
    </row>
    <row r="10" spans="1:11">
      <c r="A10" s="65" t="s">
        <v>1462</v>
      </c>
      <c r="B10" s="65"/>
      <c r="C10" s="65"/>
      <c r="D10" s="65"/>
      <c r="E10" s="65"/>
      <c r="F10" s="65"/>
      <c r="G10" s="65"/>
      <c r="H10" s="65"/>
      <c r="I10" s="65"/>
      <c r="J10" s="65"/>
      <c r="K10" s="65"/>
    </row>
    <row r="11" spans="1:11">
      <c r="A11" s="65" t="s">
        <v>1463</v>
      </c>
      <c r="B11" s="65"/>
      <c r="C11" s="65"/>
      <c r="D11" s="65"/>
      <c r="E11" s="65"/>
      <c r="F11" s="65"/>
      <c r="G11" s="65"/>
      <c r="H11" s="65"/>
      <c r="I11" s="65"/>
      <c r="J11" s="65"/>
      <c r="K11" s="65"/>
    </row>
    <row r="12" spans="1:11">
      <c r="A12" s="65" t="s">
        <v>1464</v>
      </c>
      <c r="B12" s="65"/>
      <c r="C12" s="65"/>
      <c r="D12" s="65"/>
      <c r="E12" s="65"/>
      <c r="F12" s="65"/>
      <c r="G12" s="65"/>
      <c r="H12" s="65"/>
      <c r="I12" s="65"/>
      <c r="J12" s="65"/>
      <c r="K12" s="65"/>
    </row>
    <row r="14" spans="1:11">
      <c r="A14" s="3" t="s">
        <v>220</v>
      </c>
    </row>
    <row r="15" spans="1:11">
      <c r="A15" s="66" t="s">
        <v>1452</v>
      </c>
      <c r="B15" s="66"/>
      <c r="C15" s="66"/>
      <c r="D15" s="66"/>
      <c r="E15" s="66"/>
      <c r="F15" s="66"/>
      <c r="G15" s="66"/>
      <c r="H15" s="66"/>
      <c r="I15" s="66"/>
      <c r="J15" s="66"/>
      <c r="K15" s="66"/>
    </row>
    <row r="16" spans="1:11">
      <c r="A16" s="67" t="s">
        <v>101</v>
      </c>
      <c r="B16" s="67"/>
      <c r="C16" s="67"/>
      <c r="D16" s="67"/>
      <c r="E16" s="67"/>
      <c r="F16" s="67"/>
      <c r="G16" s="67"/>
      <c r="H16" s="67"/>
      <c r="I16" s="67"/>
      <c r="J16" s="67"/>
      <c r="K16" s="67"/>
    </row>
    <row r="17" spans="1:11">
      <c r="A17" s="67" t="s">
        <v>1389</v>
      </c>
      <c r="B17" s="67"/>
      <c r="C17" s="67"/>
      <c r="D17" s="67"/>
      <c r="E17" s="67"/>
      <c r="F17" s="67"/>
      <c r="G17" s="67"/>
      <c r="H17" s="67"/>
      <c r="I17" s="67"/>
      <c r="J17" s="67"/>
      <c r="K17" s="67"/>
    </row>
    <row r="18" spans="1:11">
      <c r="A18" s="67" t="s">
        <v>1339</v>
      </c>
      <c r="B18" s="67"/>
      <c r="C18" s="67"/>
      <c r="D18" s="67"/>
      <c r="E18" s="67"/>
      <c r="F18" s="67"/>
      <c r="G18" s="67"/>
      <c r="H18" s="67"/>
      <c r="I18" s="67"/>
      <c r="J18" s="67"/>
      <c r="K18" s="67"/>
    </row>
    <row r="19" spans="1:11">
      <c r="A19" s="67" t="s">
        <v>1340</v>
      </c>
      <c r="B19" s="67"/>
      <c r="C19" s="67"/>
      <c r="D19" s="67"/>
      <c r="E19" s="67"/>
      <c r="F19" s="67"/>
      <c r="G19" s="67"/>
      <c r="H19" s="67"/>
      <c r="I19" s="67"/>
      <c r="J19" s="67"/>
      <c r="K19" s="67"/>
    </row>
    <row r="20" spans="1:11">
      <c r="A20" s="67" t="s">
        <v>1390</v>
      </c>
      <c r="B20" s="67"/>
      <c r="C20" s="67"/>
      <c r="D20" s="67"/>
      <c r="E20" s="67"/>
      <c r="F20" s="67"/>
      <c r="G20" s="67"/>
      <c r="H20" s="67"/>
      <c r="I20" s="67"/>
      <c r="J20" s="67"/>
      <c r="K20" s="67"/>
    </row>
    <row r="21" spans="1:11">
      <c r="A21" s="67" t="s">
        <v>407</v>
      </c>
      <c r="B21" s="67"/>
      <c r="C21" s="67"/>
      <c r="D21" s="67"/>
      <c r="E21" s="67"/>
      <c r="F21" s="67"/>
      <c r="G21" s="67"/>
      <c r="H21" s="67"/>
      <c r="I21" s="67"/>
      <c r="J21" s="67"/>
      <c r="K21" s="67"/>
    </row>
    <row r="22" spans="1:11">
      <c r="A22" s="67" t="s">
        <v>1391</v>
      </c>
      <c r="B22" s="67"/>
      <c r="C22" s="67"/>
      <c r="D22" s="67"/>
      <c r="E22" s="67"/>
      <c r="F22" s="67"/>
      <c r="G22" s="67"/>
      <c r="H22" s="67"/>
      <c r="I22" s="67"/>
      <c r="J22" s="67"/>
      <c r="K22" s="67"/>
    </row>
    <row r="23" spans="1:11">
      <c r="A23" s="67" t="s">
        <v>1392</v>
      </c>
      <c r="B23" s="67"/>
      <c r="C23" s="67"/>
      <c r="D23" s="67"/>
      <c r="E23" s="67"/>
      <c r="F23" s="67"/>
      <c r="G23" s="67"/>
      <c r="H23" s="67"/>
      <c r="I23" s="67"/>
      <c r="J23" s="67"/>
      <c r="K23" s="67"/>
    </row>
    <row r="24" spans="1:11">
      <c r="A24" s="67" t="s">
        <v>1393</v>
      </c>
      <c r="B24" s="67"/>
      <c r="C24" s="67"/>
      <c r="D24" s="67"/>
      <c r="E24" s="67"/>
      <c r="F24" s="67"/>
      <c r="G24" s="67"/>
      <c r="H24" s="67"/>
      <c r="I24" s="67"/>
      <c r="J24" s="67"/>
      <c r="K24" s="67"/>
    </row>
    <row r="25" spans="1:11">
      <c r="A25" s="67" t="s">
        <v>1394</v>
      </c>
      <c r="B25" s="67"/>
      <c r="C25" s="67"/>
      <c r="D25" s="67"/>
      <c r="E25" s="67"/>
      <c r="F25" s="67"/>
      <c r="G25" s="67"/>
      <c r="H25" s="67"/>
      <c r="I25" s="67"/>
      <c r="J25" s="67"/>
      <c r="K25" s="67"/>
    </row>
    <row r="26" spans="1:11">
      <c r="A26" s="67" t="s">
        <v>76</v>
      </c>
      <c r="B26" s="67"/>
      <c r="C26" s="67"/>
      <c r="D26" s="67"/>
      <c r="E26" s="67"/>
      <c r="F26" s="67"/>
      <c r="G26" s="67"/>
      <c r="H26" s="67"/>
      <c r="I26" s="67"/>
      <c r="J26" s="67"/>
      <c r="K26" s="67"/>
    </row>
    <row r="27" spans="1:11">
      <c r="A27" s="67" t="s">
        <v>77</v>
      </c>
      <c r="B27" s="67"/>
      <c r="C27" s="67"/>
      <c r="D27" s="67"/>
      <c r="E27" s="67"/>
      <c r="F27" s="67"/>
      <c r="G27" s="67"/>
      <c r="H27" s="67"/>
      <c r="I27" s="67"/>
      <c r="J27" s="67"/>
      <c r="K27" s="67"/>
    </row>
    <row r="28" spans="1:11">
      <c r="A28" s="67" t="s">
        <v>1395</v>
      </c>
      <c r="B28" s="67"/>
      <c r="C28" s="67"/>
      <c r="D28" s="67"/>
      <c r="E28" s="67"/>
      <c r="F28" s="67"/>
      <c r="G28" s="67"/>
      <c r="H28" s="67"/>
      <c r="I28" s="67"/>
      <c r="J28" s="67"/>
      <c r="K28" s="67"/>
    </row>
    <row r="29" spans="1:11">
      <c r="A29" s="67" t="s">
        <v>1396</v>
      </c>
      <c r="B29" s="67"/>
      <c r="C29" s="67"/>
      <c r="D29" s="67"/>
      <c r="E29" s="67"/>
      <c r="F29" s="67"/>
      <c r="G29" s="67"/>
      <c r="H29" s="67"/>
      <c r="I29" s="67"/>
      <c r="J29" s="67"/>
      <c r="K29" s="67"/>
    </row>
    <row r="30" spans="1:11">
      <c r="A30" s="67" t="s">
        <v>1397</v>
      </c>
      <c r="B30" s="67"/>
      <c r="C30" s="67"/>
      <c r="D30" s="67"/>
      <c r="E30" s="67"/>
      <c r="F30" s="67"/>
      <c r="G30" s="67"/>
      <c r="H30" s="67"/>
      <c r="I30" s="67"/>
      <c r="J30" s="67"/>
      <c r="K30" s="67"/>
    </row>
    <row r="31" spans="1:11">
      <c r="A31" s="67" t="s">
        <v>1398</v>
      </c>
      <c r="B31" s="67"/>
      <c r="C31" s="67"/>
      <c r="D31" s="67"/>
      <c r="E31" s="67"/>
      <c r="F31" s="67"/>
      <c r="G31" s="67"/>
      <c r="H31" s="67"/>
      <c r="I31" s="67"/>
      <c r="J31" s="67"/>
      <c r="K31" s="67"/>
    </row>
    <row r="32" spans="1:11">
      <c r="A32" s="67" t="s">
        <v>146</v>
      </c>
      <c r="B32" s="67"/>
      <c r="C32" s="67"/>
      <c r="D32" s="67"/>
      <c r="E32" s="67"/>
      <c r="F32" s="67"/>
      <c r="G32" s="67"/>
      <c r="H32" s="67"/>
      <c r="I32" s="67"/>
      <c r="J32" s="67"/>
      <c r="K32" s="67"/>
    </row>
    <row r="33" spans="1:11">
      <c r="A33" s="67" t="s">
        <v>77</v>
      </c>
      <c r="B33" s="67"/>
      <c r="C33" s="67"/>
      <c r="D33" s="67"/>
      <c r="E33" s="67"/>
      <c r="F33" s="67"/>
      <c r="G33" s="67"/>
      <c r="H33" s="67"/>
      <c r="I33" s="67"/>
      <c r="J33" s="67"/>
      <c r="K33" s="67"/>
    </row>
    <row r="34" spans="1:11">
      <c r="A34" s="67" t="s">
        <v>1399</v>
      </c>
      <c r="B34" s="67"/>
      <c r="C34" s="67"/>
      <c r="D34" s="67"/>
      <c r="E34" s="67"/>
      <c r="F34" s="67"/>
      <c r="G34" s="67"/>
      <c r="H34" s="67"/>
      <c r="I34" s="67"/>
      <c r="J34" s="67"/>
      <c r="K34" s="67"/>
    </row>
    <row r="35" spans="1:11">
      <c r="A35" s="67" t="s">
        <v>1400</v>
      </c>
      <c r="B35" s="67"/>
      <c r="C35" s="67"/>
      <c r="D35" s="67"/>
      <c r="E35" s="67"/>
      <c r="F35" s="67"/>
      <c r="G35" s="67"/>
      <c r="H35" s="67"/>
      <c r="I35" s="67"/>
      <c r="J35" s="67"/>
      <c r="K35" s="67"/>
    </row>
    <row r="36" spans="1:11">
      <c r="A36" s="67" t="s">
        <v>1401</v>
      </c>
      <c r="B36" s="67"/>
      <c r="C36" s="67"/>
      <c r="D36" s="67"/>
      <c r="E36" s="67"/>
      <c r="F36" s="67"/>
      <c r="G36" s="67"/>
      <c r="H36" s="67"/>
      <c r="I36" s="67"/>
      <c r="J36" s="67"/>
      <c r="K36" s="67"/>
    </row>
    <row r="37" spans="1:11">
      <c r="A37" s="67" t="s">
        <v>1402</v>
      </c>
      <c r="B37" s="67"/>
      <c r="C37" s="67"/>
      <c r="D37" s="67"/>
      <c r="E37" s="67"/>
      <c r="F37" s="67"/>
      <c r="G37" s="67"/>
      <c r="H37" s="67"/>
      <c r="I37" s="67"/>
      <c r="J37" s="67"/>
      <c r="K37" s="67"/>
    </row>
    <row r="38" spans="1:11">
      <c r="A38" s="67" t="s">
        <v>146</v>
      </c>
      <c r="B38" s="67"/>
      <c r="C38" s="67"/>
      <c r="D38" s="67"/>
      <c r="E38" s="67"/>
      <c r="F38" s="67"/>
      <c r="G38" s="67"/>
      <c r="H38" s="67"/>
      <c r="I38" s="67"/>
      <c r="J38" s="67"/>
      <c r="K38" s="67"/>
    </row>
    <row r="39" spans="1:11">
      <c r="A39" s="67" t="s">
        <v>77</v>
      </c>
      <c r="B39" s="67"/>
      <c r="C39" s="67"/>
      <c r="D39" s="67"/>
      <c r="E39" s="67"/>
      <c r="F39" s="67"/>
      <c r="G39" s="67"/>
      <c r="H39" s="67"/>
      <c r="I39" s="67"/>
      <c r="J39" s="67"/>
      <c r="K39" s="67"/>
    </row>
    <row r="40" spans="1:11">
      <c r="A40" s="67" t="s">
        <v>1403</v>
      </c>
      <c r="B40" s="67"/>
      <c r="C40" s="67"/>
      <c r="D40" s="67"/>
      <c r="E40" s="67"/>
      <c r="F40" s="67"/>
      <c r="G40" s="67"/>
      <c r="H40" s="67"/>
      <c r="I40" s="67"/>
      <c r="J40" s="67"/>
      <c r="K40" s="67"/>
    </row>
    <row r="41" spans="1:11">
      <c r="A41" s="67" t="s">
        <v>1404</v>
      </c>
      <c r="B41" s="67"/>
      <c r="C41" s="67"/>
      <c r="D41" s="67"/>
      <c r="E41" s="67"/>
      <c r="F41" s="67"/>
      <c r="G41" s="67"/>
      <c r="H41" s="67"/>
      <c r="I41" s="67"/>
      <c r="J41" s="67"/>
      <c r="K41" s="67"/>
    </row>
    <row r="42" spans="1:11">
      <c r="A42" s="67" t="s">
        <v>1405</v>
      </c>
      <c r="B42" s="67"/>
      <c r="C42" s="67"/>
      <c r="D42" s="67"/>
      <c r="E42" s="67"/>
      <c r="F42" s="67"/>
      <c r="G42" s="67"/>
      <c r="H42" s="67"/>
      <c r="I42" s="67"/>
      <c r="J42" s="67"/>
      <c r="K42" s="67"/>
    </row>
    <row r="43" spans="1:11">
      <c r="A43" s="67" t="s">
        <v>1406</v>
      </c>
      <c r="B43" s="67"/>
      <c r="C43" s="67"/>
      <c r="D43" s="67"/>
      <c r="E43" s="67"/>
      <c r="F43" s="67"/>
      <c r="G43" s="67"/>
      <c r="H43" s="67"/>
      <c r="I43" s="67"/>
      <c r="J43" s="67"/>
      <c r="K43" s="67"/>
    </row>
    <row r="44" spans="1:11">
      <c r="A44" s="67" t="s">
        <v>146</v>
      </c>
      <c r="B44" s="67"/>
      <c r="C44" s="67"/>
      <c r="D44" s="67"/>
      <c r="E44" s="67"/>
      <c r="F44" s="67"/>
      <c r="G44" s="67"/>
      <c r="H44" s="67"/>
      <c r="I44" s="67"/>
      <c r="J44" s="67"/>
      <c r="K44" s="67"/>
    </row>
    <row r="45" spans="1:11">
      <c r="A45" s="67" t="s">
        <v>77</v>
      </c>
      <c r="B45" s="67"/>
      <c r="C45" s="67"/>
      <c r="D45" s="67"/>
      <c r="E45" s="67"/>
      <c r="F45" s="67"/>
      <c r="G45" s="67"/>
      <c r="H45" s="67"/>
      <c r="I45" s="67"/>
      <c r="J45" s="67"/>
      <c r="K45" s="67"/>
    </row>
    <row r="46" spans="1:11">
      <c r="A46" s="67" t="s">
        <v>1407</v>
      </c>
      <c r="B46" s="67"/>
      <c r="C46" s="67"/>
      <c r="D46" s="67"/>
      <c r="E46" s="67"/>
      <c r="F46" s="67"/>
      <c r="G46" s="67"/>
      <c r="H46" s="67"/>
      <c r="I46" s="67"/>
      <c r="J46" s="67"/>
      <c r="K46" s="67"/>
    </row>
    <row r="47" spans="1:11">
      <c r="A47" s="67" t="s">
        <v>1408</v>
      </c>
      <c r="B47" s="67"/>
      <c r="C47" s="67"/>
      <c r="D47" s="67"/>
      <c r="E47" s="67"/>
      <c r="F47" s="67"/>
      <c r="G47" s="67"/>
      <c r="H47" s="67"/>
      <c r="I47" s="67"/>
      <c r="J47" s="67"/>
      <c r="K47" s="67"/>
    </row>
    <row r="48" spans="1:11">
      <c r="A48" s="67" t="s">
        <v>1409</v>
      </c>
      <c r="B48" s="67"/>
      <c r="C48" s="67"/>
      <c r="D48" s="67"/>
      <c r="E48" s="67"/>
      <c r="F48" s="67"/>
      <c r="G48" s="67"/>
      <c r="H48" s="67"/>
      <c r="I48" s="67"/>
      <c r="J48" s="67"/>
      <c r="K48" s="67"/>
    </row>
    <row r="49" spans="1:11">
      <c r="A49" s="67" t="s">
        <v>1410</v>
      </c>
      <c r="B49" s="67"/>
      <c r="C49" s="67"/>
      <c r="D49" s="67"/>
      <c r="E49" s="67"/>
      <c r="F49" s="67"/>
      <c r="G49" s="67"/>
      <c r="H49" s="67"/>
      <c r="I49" s="67"/>
      <c r="J49" s="67"/>
      <c r="K49" s="67"/>
    </row>
    <row r="50" spans="1:11">
      <c r="A50" s="67" t="s">
        <v>1411</v>
      </c>
      <c r="B50" s="67"/>
      <c r="C50" s="67"/>
      <c r="D50" s="67"/>
      <c r="E50" s="67"/>
      <c r="F50" s="67"/>
      <c r="G50" s="67"/>
      <c r="H50" s="67"/>
      <c r="I50" s="67"/>
      <c r="J50" s="67"/>
      <c r="K50" s="67"/>
    </row>
    <row r="51" spans="1:11">
      <c r="A51" s="67" t="s">
        <v>77</v>
      </c>
      <c r="B51" s="67"/>
      <c r="C51" s="67"/>
      <c r="D51" s="67"/>
      <c r="E51" s="67"/>
      <c r="F51" s="67"/>
      <c r="G51" s="67"/>
      <c r="H51" s="67"/>
      <c r="I51" s="67"/>
      <c r="J51" s="67"/>
      <c r="K51" s="67"/>
    </row>
    <row r="52" spans="1:11">
      <c r="A52" s="67" t="s">
        <v>1412</v>
      </c>
      <c r="B52" s="67"/>
      <c r="C52" s="67"/>
      <c r="D52" s="67"/>
      <c r="E52" s="67"/>
      <c r="F52" s="67"/>
      <c r="G52" s="67"/>
      <c r="H52" s="67"/>
      <c r="I52" s="67"/>
      <c r="J52" s="67"/>
      <c r="K52" s="67"/>
    </row>
    <row r="53" spans="1:11">
      <c r="A53" s="67" t="s">
        <v>1413</v>
      </c>
      <c r="B53" s="67"/>
      <c r="C53" s="67"/>
      <c r="D53" s="67"/>
      <c r="E53" s="67"/>
      <c r="F53" s="67"/>
      <c r="G53" s="67"/>
      <c r="H53" s="67"/>
      <c r="I53" s="67"/>
      <c r="J53" s="67"/>
      <c r="K53" s="67"/>
    </row>
    <row r="54" spans="1:11">
      <c r="A54" s="67" t="s">
        <v>1414</v>
      </c>
      <c r="B54" s="67"/>
      <c r="C54" s="67"/>
      <c r="D54" s="67"/>
      <c r="E54" s="67"/>
      <c r="F54" s="67"/>
      <c r="G54" s="67"/>
      <c r="H54" s="67"/>
      <c r="I54" s="67"/>
      <c r="J54" s="67"/>
      <c r="K54" s="67"/>
    </row>
    <row r="55" spans="1:11">
      <c r="A55" s="67" t="s">
        <v>1415</v>
      </c>
      <c r="B55" s="67"/>
      <c r="C55" s="67"/>
      <c r="D55" s="67"/>
      <c r="E55" s="67"/>
      <c r="F55" s="67"/>
      <c r="G55" s="67"/>
      <c r="H55" s="67"/>
      <c r="I55" s="67"/>
      <c r="J55" s="67"/>
      <c r="K55" s="67"/>
    </row>
    <row r="56" spans="1:11">
      <c r="A56" s="67" t="s">
        <v>77</v>
      </c>
      <c r="B56" s="67"/>
      <c r="C56" s="67"/>
      <c r="D56" s="67"/>
      <c r="E56" s="67"/>
      <c r="F56" s="67"/>
      <c r="G56" s="67"/>
      <c r="H56" s="67"/>
      <c r="I56" s="67"/>
      <c r="J56" s="67"/>
      <c r="K56" s="67"/>
    </row>
    <row r="57" spans="1:11">
      <c r="A57" s="67" t="s">
        <v>1416</v>
      </c>
      <c r="B57" s="67"/>
      <c r="C57" s="67"/>
      <c r="D57" s="67"/>
      <c r="E57" s="67"/>
      <c r="F57" s="67"/>
      <c r="G57" s="67"/>
      <c r="H57" s="67"/>
      <c r="I57" s="67"/>
      <c r="J57" s="67"/>
      <c r="K57" s="67"/>
    </row>
    <row r="58" spans="1:11">
      <c r="A58" s="67" t="s">
        <v>1417</v>
      </c>
      <c r="B58" s="67"/>
      <c r="C58" s="67"/>
      <c r="D58" s="67"/>
      <c r="E58" s="67"/>
      <c r="F58" s="67"/>
      <c r="G58" s="67"/>
      <c r="H58" s="67"/>
      <c r="I58" s="67"/>
      <c r="J58" s="67"/>
      <c r="K58" s="67"/>
    </row>
    <row r="59" spans="1:11">
      <c r="A59" s="67" t="s">
        <v>1414</v>
      </c>
      <c r="B59" s="67"/>
      <c r="C59" s="67"/>
      <c r="D59" s="67"/>
      <c r="E59" s="67"/>
      <c r="F59" s="67"/>
      <c r="G59" s="67"/>
      <c r="H59" s="67"/>
      <c r="I59" s="67"/>
      <c r="J59" s="67"/>
      <c r="K59" s="67"/>
    </row>
    <row r="60" spans="1:11">
      <c r="A60" s="67" t="s">
        <v>1418</v>
      </c>
      <c r="B60" s="67"/>
      <c r="C60" s="67"/>
      <c r="D60" s="67"/>
      <c r="E60" s="67"/>
      <c r="F60" s="67"/>
      <c r="G60" s="67"/>
      <c r="H60" s="67"/>
      <c r="I60" s="67"/>
      <c r="J60" s="67"/>
      <c r="K60" s="67"/>
    </row>
    <row r="61" spans="1:11">
      <c r="A61" s="67" t="s">
        <v>77</v>
      </c>
      <c r="B61" s="67"/>
      <c r="C61" s="67"/>
      <c r="D61" s="67"/>
      <c r="E61" s="67"/>
      <c r="F61" s="67"/>
      <c r="G61" s="67"/>
      <c r="H61" s="67"/>
      <c r="I61" s="67"/>
      <c r="J61" s="67"/>
      <c r="K61" s="67"/>
    </row>
    <row r="62" spans="1:11">
      <c r="A62" s="67" t="s">
        <v>1344</v>
      </c>
      <c r="B62" s="67"/>
      <c r="C62" s="67"/>
      <c r="D62" s="67"/>
      <c r="E62" s="67"/>
      <c r="F62" s="67"/>
      <c r="G62" s="67"/>
      <c r="H62" s="67"/>
      <c r="I62" s="67"/>
      <c r="J62" s="67"/>
      <c r="K62" s="67"/>
    </row>
    <row r="63" spans="1:11">
      <c r="A63" s="67" t="s">
        <v>1419</v>
      </c>
      <c r="B63" s="67"/>
      <c r="C63" s="67"/>
      <c r="D63" s="67"/>
      <c r="E63" s="67"/>
      <c r="F63" s="67"/>
      <c r="G63" s="67"/>
      <c r="H63" s="67"/>
      <c r="I63" s="67"/>
      <c r="J63" s="67"/>
      <c r="K63" s="67"/>
    </row>
    <row r="64" spans="1:11">
      <c r="A64" s="67" t="s">
        <v>439</v>
      </c>
      <c r="B64" s="67"/>
      <c r="C64" s="67"/>
      <c r="D64" s="67"/>
      <c r="E64" s="67"/>
      <c r="F64" s="67"/>
      <c r="G64" s="67"/>
      <c r="H64" s="67"/>
      <c r="I64" s="67"/>
      <c r="J64" s="67"/>
      <c r="K64" s="67"/>
    </row>
    <row r="65" spans="1:11">
      <c r="A65" s="67" t="s">
        <v>1420</v>
      </c>
      <c r="B65" s="67"/>
      <c r="C65" s="67"/>
      <c r="D65" s="67"/>
      <c r="E65" s="67"/>
      <c r="F65" s="67"/>
      <c r="G65" s="67"/>
      <c r="H65" s="67"/>
      <c r="I65" s="67"/>
      <c r="J65" s="67"/>
      <c r="K65" s="67"/>
    </row>
    <row r="66" spans="1:11">
      <c r="A66" s="67" t="s">
        <v>1421</v>
      </c>
      <c r="B66" s="67"/>
      <c r="C66" s="67"/>
      <c r="D66" s="67"/>
      <c r="E66" s="67"/>
      <c r="F66" s="67"/>
      <c r="G66" s="67"/>
      <c r="H66" s="67"/>
      <c r="I66" s="67"/>
      <c r="J66" s="67"/>
      <c r="K66" s="67"/>
    </row>
    <row r="67" spans="1:11">
      <c r="A67" s="67" t="s">
        <v>1422</v>
      </c>
      <c r="B67" s="67"/>
      <c r="C67" s="67"/>
      <c r="D67" s="67"/>
      <c r="E67" s="67"/>
      <c r="F67" s="67"/>
      <c r="G67" s="67"/>
      <c r="H67" s="67"/>
      <c r="I67" s="67"/>
      <c r="J67" s="67"/>
      <c r="K67" s="67"/>
    </row>
    <row r="68" spans="1:11">
      <c r="A68" s="67" t="s">
        <v>1423</v>
      </c>
      <c r="B68" s="67"/>
      <c r="C68" s="67"/>
      <c r="D68" s="67"/>
      <c r="E68" s="67"/>
      <c r="F68" s="67"/>
      <c r="G68" s="67"/>
      <c r="H68" s="67"/>
      <c r="I68" s="67"/>
      <c r="J68" s="67"/>
      <c r="K68" s="67"/>
    </row>
    <row r="69" spans="1:11">
      <c r="A69" s="67" t="s">
        <v>1538</v>
      </c>
      <c r="B69" s="67"/>
      <c r="C69" s="67"/>
      <c r="D69" s="67"/>
      <c r="E69" s="67"/>
      <c r="F69" s="67"/>
      <c r="G69" s="67"/>
      <c r="H69" s="67"/>
      <c r="I69" s="67"/>
      <c r="J69" s="67"/>
      <c r="K69" s="67"/>
    </row>
    <row r="70" spans="1:11">
      <c r="A70" s="67" t="s">
        <v>1424</v>
      </c>
      <c r="B70" s="67"/>
      <c r="C70" s="67"/>
      <c r="D70" s="67"/>
      <c r="E70" s="67"/>
      <c r="F70" s="67"/>
      <c r="G70" s="67"/>
      <c r="H70" s="67"/>
      <c r="I70" s="67"/>
      <c r="J70" s="67"/>
      <c r="K70" s="67"/>
    </row>
    <row r="71" spans="1:11">
      <c r="A71" s="67" t="s">
        <v>80</v>
      </c>
      <c r="B71" s="67"/>
      <c r="C71" s="67"/>
      <c r="D71" s="67"/>
      <c r="E71" s="67"/>
      <c r="F71" s="67"/>
      <c r="G71" s="67"/>
      <c r="H71" s="67"/>
      <c r="I71" s="67"/>
      <c r="J71" s="67"/>
      <c r="K71" s="67"/>
    </row>
    <row r="72" spans="1:11">
      <c r="A72" s="67" t="s">
        <v>81</v>
      </c>
      <c r="B72" s="67"/>
      <c r="C72" s="67"/>
      <c r="D72" s="67"/>
      <c r="E72" s="67"/>
      <c r="F72" s="67"/>
      <c r="G72" s="67"/>
      <c r="H72" s="67"/>
      <c r="I72" s="67"/>
      <c r="J72" s="67"/>
      <c r="K72" s="67"/>
    </row>
    <row r="73" spans="1:11">
      <c r="A73" s="67" t="s">
        <v>1425</v>
      </c>
      <c r="B73" s="67"/>
      <c r="C73" s="67"/>
      <c r="D73" s="67"/>
      <c r="E73" s="67"/>
      <c r="F73" s="67"/>
      <c r="G73" s="67"/>
      <c r="H73" s="67"/>
      <c r="I73" s="67"/>
      <c r="J73" s="67"/>
      <c r="K73" s="67"/>
    </row>
    <row r="74" spans="1:11">
      <c r="A74" s="67" t="s">
        <v>146</v>
      </c>
      <c r="B74" s="67"/>
      <c r="C74" s="67"/>
      <c r="D74" s="67"/>
      <c r="E74" s="67"/>
      <c r="F74" s="67"/>
      <c r="G74" s="67"/>
      <c r="H74" s="67"/>
      <c r="I74" s="67"/>
      <c r="J74" s="67"/>
      <c r="K74" s="67"/>
    </row>
    <row r="75" spans="1:11">
      <c r="A75" s="67" t="s">
        <v>77</v>
      </c>
      <c r="B75" s="67"/>
      <c r="C75" s="67"/>
      <c r="D75" s="67"/>
      <c r="E75" s="67"/>
      <c r="F75" s="67"/>
      <c r="G75" s="67"/>
      <c r="H75" s="67"/>
      <c r="I75" s="67"/>
      <c r="J75" s="67"/>
      <c r="K75" s="67"/>
    </row>
    <row r="76" spans="1:11">
      <c r="A76" s="67" t="s">
        <v>1426</v>
      </c>
      <c r="B76" s="67"/>
      <c r="C76" s="67"/>
      <c r="D76" s="67"/>
      <c r="E76" s="67"/>
      <c r="F76" s="67"/>
      <c r="G76" s="67"/>
      <c r="H76" s="67"/>
      <c r="I76" s="67"/>
      <c r="J76" s="67"/>
      <c r="K76" s="67"/>
    </row>
    <row r="77" spans="1:11">
      <c r="A77" s="67" t="s">
        <v>1427</v>
      </c>
      <c r="B77" s="67"/>
      <c r="C77" s="67"/>
      <c r="D77" s="67"/>
      <c r="E77" s="67"/>
      <c r="F77" s="67"/>
      <c r="G77" s="67"/>
      <c r="H77" s="67"/>
      <c r="I77" s="67"/>
      <c r="J77" s="67"/>
      <c r="K77" s="67"/>
    </row>
    <row r="78" spans="1:11">
      <c r="A78" s="67" t="s">
        <v>1428</v>
      </c>
      <c r="B78" s="67"/>
      <c r="C78" s="67"/>
      <c r="D78" s="67"/>
      <c r="E78" s="67"/>
      <c r="F78" s="67"/>
      <c r="G78" s="67"/>
      <c r="H78" s="67"/>
      <c r="I78" s="67"/>
      <c r="J78" s="67"/>
      <c r="K78" s="67"/>
    </row>
    <row r="79" spans="1:11">
      <c r="A79" s="67" t="s">
        <v>1429</v>
      </c>
      <c r="B79" s="67"/>
      <c r="C79" s="67"/>
      <c r="D79" s="67"/>
      <c r="E79" s="67"/>
      <c r="F79" s="67"/>
      <c r="G79" s="67"/>
      <c r="H79" s="67"/>
      <c r="I79" s="67"/>
      <c r="J79" s="67"/>
      <c r="K79" s="67"/>
    </row>
    <row r="80" spans="1:11">
      <c r="A80" s="67" t="s">
        <v>439</v>
      </c>
      <c r="B80" s="67"/>
      <c r="C80" s="67"/>
      <c r="D80" s="67"/>
      <c r="E80" s="67"/>
      <c r="F80" s="67"/>
      <c r="G80" s="67"/>
      <c r="H80" s="67"/>
      <c r="I80" s="67"/>
      <c r="J80" s="67"/>
      <c r="K80" s="67"/>
    </row>
    <row r="81" spans="1:11">
      <c r="A81" s="67" t="s">
        <v>1430</v>
      </c>
      <c r="B81" s="67"/>
      <c r="C81" s="67"/>
      <c r="D81" s="67"/>
      <c r="E81" s="67"/>
      <c r="F81" s="67"/>
      <c r="G81" s="67"/>
      <c r="H81" s="67"/>
      <c r="I81" s="67"/>
      <c r="J81" s="67"/>
      <c r="K81" s="67"/>
    </row>
    <row r="82" spans="1:11">
      <c r="A82" s="67" t="s">
        <v>1431</v>
      </c>
      <c r="B82" s="67"/>
      <c r="C82" s="67"/>
      <c r="D82" s="67"/>
      <c r="E82" s="67"/>
      <c r="F82" s="67"/>
      <c r="G82" s="67"/>
      <c r="H82" s="67"/>
      <c r="I82" s="67"/>
      <c r="J82" s="67"/>
      <c r="K82" s="67"/>
    </row>
    <row r="83" spans="1:11">
      <c r="A83" s="67" t="s">
        <v>1432</v>
      </c>
      <c r="B83" s="67"/>
      <c r="C83" s="67"/>
      <c r="D83" s="67"/>
      <c r="E83" s="67"/>
      <c r="F83" s="67"/>
      <c r="G83" s="67"/>
      <c r="H83" s="67"/>
      <c r="I83" s="67"/>
      <c r="J83" s="67"/>
      <c r="K83" s="67"/>
    </row>
    <row r="84" spans="1:11">
      <c r="A84" s="67" t="s">
        <v>1433</v>
      </c>
      <c r="B84" s="67"/>
      <c r="C84" s="67"/>
      <c r="D84" s="67"/>
      <c r="E84" s="67"/>
      <c r="F84" s="67"/>
      <c r="G84" s="67"/>
      <c r="H84" s="67"/>
      <c r="I84" s="67"/>
      <c r="J84" s="67"/>
      <c r="K84" s="67"/>
    </row>
    <row r="85" spans="1:11">
      <c r="A85" s="67" t="s">
        <v>1434</v>
      </c>
      <c r="B85" s="67"/>
      <c r="C85" s="67"/>
      <c r="D85" s="67"/>
      <c r="E85" s="67"/>
      <c r="F85" s="67"/>
      <c r="G85" s="67"/>
      <c r="H85" s="67"/>
      <c r="I85" s="67"/>
      <c r="J85" s="67"/>
      <c r="K85" s="67"/>
    </row>
    <row r="86" spans="1:11">
      <c r="A86" s="67" t="s">
        <v>1435</v>
      </c>
      <c r="B86" s="67"/>
      <c r="C86" s="67"/>
      <c r="D86" s="67"/>
      <c r="E86" s="67"/>
      <c r="F86" s="67"/>
      <c r="G86" s="67"/>
      <c r="H86" s="67"/>
      <c r="I86" s="67"/>
      <c r="J86" s="67"/>
      <c r="K86" s="67"/>
    </row>
    <row r="87" spans="1:11">
      <c r="A87" s="67" t="s">
        <v>1436</v>
      </c>
      <c r="B87" s="67"/>
      <c r="C87" s="67"/>
      <c r="D87" s="67"/>
      <c r="E87" s="67"/>
      <c r="F87" s="67"/>
      <c r="G87" s="67"/>
      <c r="H87" s="67"/>
      <c r="I87" s="67"/>
      <c r="J87" s="67"/>
      <c r="K87" s="67"/>
    </row>
    <row r="88" spans="1:11">
      <c r="A88" s="67" t="s">
        <v>1437</v>
      </c>
      <c r="B88" s="67"/>
      <c r="C88" s="67"/>
      <c r="D88" s="67"/>
      <c r="E88" s="67"/>
      <c r="F88" s="67"/>
      <c r="G88" s="67"/>
      <c r="H88" s="67"/>
      <c r="I88" s="67"/>
      <c r="J88" s="67"/>
      <c r="K88" s="67"/>
    </row>
    <row r="89" spans="1:11">
      <c r="A89" s="67" t="s">
        <v>1438</v>
      </c>
      <c r="B89" s="67"/>
      <c r="C89" s="67"/>
      <c r="D89" s="67"/>
      <c r="E89" s="67"/>
      <c r="F89" s="67"/>
      <c r="G89" s="67"/>
      <c r="H89" s="67"/>
      <c r="I89" s="67"/>
      <c r="J89" s="67"/>
      <c r="K89" s="67"/>
    </row>
    <row r="90" spans="1:11">
      <c r="A90" s="67" t="s">
        <v>1439</v>
      </c>
      <c r="B90" s="67"/>
      <c r="C90" s="67"/>
      <c r="D90" s="67"/>
      <c r="E90" s="67"/>
      <c r="F90" s="67"/>
      <c r="G90" s="67"/>
      <c r="H90" s="67"/>
      <c r="I90" s="67"/>
      <c r="J90" s="67"/>
      <c r="K90" s="67"/>
    </row>
    <row r="91" spans="1:11">
      <c r="A91" s="67" t="s">
        <v>1440</v>
      </c>
      <c r="B91" s="67"/>
      <c r="C91" s="67"/>
      <c r="D91" s="67"/>
      <c r="E91" s="67"/>
      <c r="F91" s="67"/>
      <c r="G91" s="67"/>
      <c r="H91" s="67"/>
      <c r="I91" s="67"/>
      <c r="J91" s="67"/>
      <c r="K91" s="67"/>
    </row>
    <row r="92" spans="1:11">
      <c r="A92" s="67" t="s">
        <v>1441</v>
      </c>
      <c r="B92" s="67"/>
      <c r="C92" s="67"/>
      <c r="D92" s="67"/>
      <c r="E92" s="67"/>
      <c r="F92" s="67"/>
      <c r="G92" s="67"/>
      <c r="H92" s="67"/>
      <c r="I92" s="67"/>
      <c r="J92" s="67"/>
      <c r="K92" s="67"/>
    </row>
    <row r="93" spans="1:11">
      <c r="A93" s="67" t="s">
        <v>1442</v>
      </c>
      <c r="B93" s="67"/>
      <c r="C93" s="67"/>
      <c r="D93" s="67"/>
      <c r="E93" s="67"/>
      <c r="F93" s="67"/>
      <c r="G93" s="67"/>
      <c r="H93" s="67"/>
      <c r="I93" s="67"/>
      <c r="J93" s="67"/>
      <c r="K93" s="67"/>
    </row>
    <row r="94" spans="1:11">
      <c r="A94" s="67" t="s">
        <v>615</v>
      </c>
      <c r="B94" s="67"/>
      <c r="C94" s="67"/>
      <c r="D94" s="67"/>
      <c r="E94" s="67"/>
      <c r="F94" s="67"/>
      <c r="G94" s="67"/>
      <c r="H94" s="67"/>
      <c r="I94" s="67"/>
      <c r="J94" s="67"/>
      <c r="K94" s="67"/>
    </row>
    <row r="95" spans="1:11">
      <c r="A95" s="67" t="s">
        <v>1424</v>
      </c>
      <c r="B95" s="67"/>
      <c r="C95" s="67"/>
      <c r="D95" s="67"/>
      <c r="E95" s="67"/>
      <c r="F95" s="67"/>
      <c r="G95" s="67"/>
      <c r="H95" s="67"/>
      <c r="I95" s="67"/>
      <c r="J95" s="67"/>
      <c r="K95" s="67"/>
    </row>
    <row r="96" spans="1:11">
      <c r="A96" s="67" t="s">
        <v>80</v>
      </c>
      <c r="B96" s="67"/>
      <c r="C96" s="67"/>
      <c r="D96" s="67"/>
      <c r="E96" s="67"/>
      <c r="F96" s="67"/>
      <c r="G96" s="67"/>
      <c r="H96" s="67"/>
      <c r="I96" s="67"/>
      <c r="J96" s="67"/>
      <c r="K96" s="67"/>
    </row>
    <row r="97" spans="1:11">
      <c r="A97" s="67" t="s">
        <v>81</v>
      </c>
      <c r="B97" s="67"/>
      <c r="C97" s="67"/>
      <c r="D97" s="67"/>
      <c r="E97" s="67"/>
      <c r="F97" s="67"/>
      <c r="G97" s="67"/>
      <c r="H97" s="67"/>
      <c r="I97" s="67"/>
      <c r="J97" s="67"/>
      <c r="K97" s="67"/>
    </row>
    <row r="98" spans="1:11">
      <c r="A98" s="67" t="s">
        <v>1443</v>
      </c>
      <c r="B98" s="67"/>
      <c r="C98" s="67"/>
      <c r="D98" s="67"/>
      <c r="E98" s="67"/>
      <c r="F98" s="67"/>
      <c r="G98" s="67"/>
      <c r="H98" s="67"/>
      <c r="I98" s="67"/>
      <c r="J98" s="67"/>
      <c r="K98" s="67"/>
    </row>
    <row r="99" spans="1:11">
      <c r="A99" s="67" t="s">
        <v>439</v>
      </c>
      <c r="B99" s="67"/>
      <c r="C99" s="67"/>
      <c r="D99" s="67"/>
      <c r="E99" s="67"/>
      <c r="F99" s="67"/>
      <c r="G99" s="67"/>
      <c r="H99" s="67"/>
      <c r="I99" s="67"/>
      <c r="J99" s="67"/>
      <c r="K99" s="67"/>
    </row>
    <row r="100" spans="1:11">
      <c r="A100" s="67" t="s">
        <v>1430</v>
      </c>
      <c r="B100" s="67"/>
      <c r="C100" s="67"/>
      <c r="D100" s="67"/>
      <c r="E100" s="67"/>
      <c r="F100" s="67"/>
      <c r="G100" s="67"/>
      <c r="H100" s="67"/>
      <c r="I100" s="67"/>
      <c r="J100" s="67"/>
      <c r="K100" s="67"/>
    </row>
    <row r="101" spans="1:11">
      <c r="A101" s="67" t="s">
        <v>1431</v>
      </c>
      <c r="B101" s="67"/>
      <c r="C101" s="67"/>
      <c r="D101" s="67"/>
      <c r="E101" s="67"/>
      <c r="F101" s="67"/>
      <c r="G101" s="67"/>
      <c r="H101" s="67"/>
      <c r="I101" s="67"/>
      <c r="J101" s="67"/>
      <c r="K101" s="67"/>
    </row>
    <row r="102" spans="1:11">
      <c r="A102" s="67" t="s">
        <v>1432</v>
      </c>
      <c r="B102" s="67"/>
      <c r="C102" s="67"/>
      <c r="D102" s="67"/>
      <c r="E102" s="67"/>
      <c r="F102" s="67"/>
      <c r="G102" s="67"/>
      <c r="H102" s="67"/>
      <c r="I102" s="67"/>
      <c r="J102" s="67"/>
      <c r="K102" s="67"/>
    </row>
    <row r="103" spans="1:11">
      <c r="A103" s="67" t="s">
        <v>1433</v>
      </c>
      <c r="B103" s="67"/>
      <c r="C103" s="67"/>
      <c r="D103" s="67"/>
      <c r="E103" s="67"/>
      <c r="F103" s="67"/>
      <c r="G103" s="67"/>
      <c r="H103" s="67"/>
      <c r="I103" s="67"/>
      <c r="J103" s="67"/>
      <c r="K103" s="67"/>
    </row>
    <row r="104" spans="1:11">
      <c r="A104" s="67" t="s">
        <v>1444</v>
      </c>
      <c r="B104" s="67"/>
      <c r="C104" s="67"/>
      <c r="D104" s="67"/>
      <c r="E104" s="67"/>
      <c r="F104" s="67"/>
      <c r="G104" s="67"/>
      <c r="H104" s="67"/>
      <c r="I104" s="67"/>
      <c r="J104" s="67"/>
      <c r="K104" s="67"/>
    </row>
    <row r="105" spans="1:11">
      <c r="A105" s="67" t="s">
        <v>1445</v>
      </c>
      <c r="B105" s="67"/>
      <c r="C105" s="67"/>
      <c r="D105" s="67"/>
      <c r="E105" s="67"/>
      <c r="F105" s="67"/>
      <c r="G105" s="67"/>
      <c r="H105" s="67"/>
      <c r="I105" s="67"/>
      <c r="J105" s="67"/>
      <c r="K105" s="67"/>
    </row>
    <row r="106" spans="1:11">
      <c r="A106" s="67" t="s">
        <v>1424</v>
      </c>
      <c r="B106" s="67"/>
      <c r="C106" s="67"/>
      <c r="D106" s="67"/>
      <c r="E106" s="67"/>
      <c r="F106" s="67"/>
      <c r="G106" s="67"/>
      <c r="H106" s="67"/>
      <c r="I106" s="67"/>
      <c r="J106" s="67"/>
      <c r="K106" s="67"/>
    </row>
    <row r="107" spans="1:11">
      <c r="A107" s="67" t="s">
        <v>80</v>
      </c>
      <c r="B107" s="67"/>
      <c r="C107" s="67"/>
      <c r="D107" s="67"/>
      <c r="E107" s="67"/>
      <c r="F107" s="67"/>
      <c r="G107" s="67"/>
      <c r="H107" s="67"/>
      <c r="I107" s="67"/>
      <c r="J107" s="67"/>
      <c r="K107" s="67"/>
    </row>
    <row r="108" spans="1:11">
      <c r="A108" s="67" t="s">
        <v>81</v>
      </c>
      <c r="B108" s="67"/>
      <c r="C108" s="67"/>
      <c r="D108" s="67"/>
      <c r="E108" s="67"/>
      <c r="F108" s="67"/>
      <c r="G108" s="67"/>
      <c r="H108" s="67"/>
      <c r="I108" s="67"/>
      <c r="J108" s="67"/>
      <c r="K108" s="67"/>
    </row>
    <row r="109" spans="1:11">
      <c r="A109" s="67" t="s">
        <v>1446</v>
      </c>
      <c r="B109" s="67"/>
      <c r="C109" s="67"/>
      <c r="D109" s="67"/>
      <c r="E109" s="67"/>
      <c r="F109" s="67"/>
      <c r="G109" s="67"/>
      <c r="H109" s="67"/>
      <c r="I109" s="67"/>
      <c r="J109" s="67"/>
      <c r="K109" s="67"/>
    </row>
    <row r="110" spans="1:11">
      <c r="A110" s="67" t="s">
        <v>1447</v>
      </c>
      <c r="B110" s="67"/>
      <c r="C110" s="67"/>
      <c r="D110" s="67"/>
      <c r="E110" s="67"/>
      <c r="F110" s="67"/>
      <c r="G110" s="67"/>
      <c r="H110" s="67"/>
      <c r="I110" s="67"/>
      <c r="J110" s="67"/>
      <c r="K110" s="67"/>
    </row>
    <row r="111" spans="1:11">
      <c r="A111" s="67" t="s">
        <v>1448</v>
      </c>
      <c r="B111" s="67"/>
      <c r="C111" s="67"/>
      <c r="D111" s="67"/>
      <c r="E111" s="67"/>
      <c r="F111" s="67"/>
      <c r="G111" s="67"/>
      <c r="H111" s="67"/>
      <c r="I111" s="67"/>
      <c r="J111" s="67"/>
      <c r="K111" s="67"/>
    </row>
    <row r="112" spans="1:11">
      <c r="A112" s="67" t="s">
        <v>1449</v>
      </c>
      <c r="B112" s="67"/>
      <c r="C112" s="67"/>
      <c r="D112" s="67"/>
      <c r="E112" s="67"/>
      <c r="F112" s="67"/>
      <c r="G112" s="67"/>
      <c r="H112" s="67"/>
      <c r="I112" s="67"/>
      <c r="J112" s="67"/>
      <c r="K112" s="67"/>
    </row>
    <row r="113" spans="1:11">
      <c r="A113" s="67" t="s">
        <v>146</v>
      </c>
      <c r="B113" s="67"/>
      <c r="C113" s="67"/>
      <c r="D113" s="67"/>
      <c r="E113" s="67"/>
      <c r="F113" s="67"/>
      <c r="G113" s="67"/>
      <c r="H113" s="67"/>
      <c r="I113" s="67"/>
      <c r="J113" s="67"/>
      <c r="K113" s="67"/>
    </row>
    <row r="114" spans="1:11">
      <c r="A114" s="67" t="s">
        <v>77</v>
      </c>
      <c r="B114" s="67"/>
      <c r="C114" s="67"/>
      <c r="D114" s="67"/>
      <c r="E114" s="67"/>
      <c r="F114" s="67"/>
      <c r="G114" s="67"/>
      <c r="H114" s="67"/>
      <c r="I114" s="67"/>
      <c r="J114" s="67"/>
      <c r="K114" s="67"/>
    </row>
    <row r="115" spans="1:11">
      <c r="A115" s="67" t="s">
        <v>1450</v>
      </c>
      <c r="B115" s="67"/>
      <c r="C115" s="67"/>
      <c r="D115" s="67"/>
      <c r="E115" s="67"/>
      <c r="F115" s="67"/>
      <c r="G115" s="67"/>
      <c r="H115" s="67"/>
      <c r="I115" s="67"/>
      <c r="J115" s="67"/>
      <c r="K115" s="67"/>
    </row>
    <row r="116" spans="1:11">
      <c r="A116" s="67" t="s">
        <v>1451</v>
      </c>
      <c r="B116" s="67"/>
      <c r="C116" s="67"/>
      <c r="D116" s="67"/>
      <c r="E116" s="67"/>
      <c r="F116" s="67"/>
      <c r="G116" s="67"/>
      <c r="H116" s="67"/>
      <c r="I116" s="67"/>
      <c r="J116" s="67"/>
      <c r="K116" s="67"/>
    </row>
    <row r="117" spans="1:11">
      <c r="A117" s="67" t="s">
        <v>177</v>
      </c>
      <c r="B117" s="67"/>
      <c r="C117" s="67"/>
      <c r="D117" s="67"/>
      <c r="E117" s="67"/>
      <c r="F117" s="67"/>
      <c r="G117" s="67"/>
      <c r="H117" s="67"/>
      <c r="I117" s="67"/>
      <c r="J117" s="67"/>
      <c r="K117" s="67"/>
    </row>
    <row r="118" spans="1:11">
      <c r="A118" s="67" t="s">
        <v>97</v>
      </c>
      <c r="B118" s="67"/>
      <c r="C118" s="67"/>
      <c r="D118" s="67"/>
      <c r="E118" s="67"/>
      <c r="F118" s="67"/>
      <c r="G118" s="67"/>
      <c r="H118" s="67"/>
      <c r="I118" s="67"/>
      <c r="J118" s="67"/>
      <c r="K118" s="67"/>
    </row>
    <row r="120" spans="1:11">
      <c r="A120" s="3" t="s">
        <v>213</v>
      </c>
    </row>
    <row r="121" spans="1:11">
      <c r="A121" s="63" t="s">
        <v>188</v>
      </c>
      <c r="B121" s="63"/>
      <c r="C121" s="64" t="s">
        <v>2</v>
      </c>
      <c r="D121" s="64"/>
      <c r="E121" s="64"/>
      <c r="F121" s="64"/>
      <c r="G121" s="64"/>
      <c r="H121" s="64"/>
      <c r="I121" s="64"/>
      <c r="J121" s="64"/>
      <c r="K121" s="64"/>
    </row>
    <row r="122" spans="1:11">
      <c r="A122" s="59" t="s">
        <v>1387</v>
      </c>
      <c r="B122" s="59"/>
      <c r="C122" s="62" t="s">
        <v>1465</v>
      </c>
      <c r="D122" s="62"/>
      <c r="E122" s="62"/>
      <c r="F122" s="62"/>
      <c r="G122" s="62"/>
      <c r="H122" s="62"/>
      <c r="I122" s="62"/>
      <c r="J122" s="62"/>
      <c r="K122" s="62"/>
    </row>
    <row r="123" spans="1:11" ht="28.5" customHeight="1">
      <c r="A123" s="59" t="s">
        <v>1383</v>
      </c>
      <c r="B123" s="59"/>
      <c r="C123" s="62" t="s">
        <v>1466</v>
      </c>
      <c r="D123" s="62"/>
      <c r="E123" s="62"/>
      <c r="F123" s="62"/>
      <c r="G123" s="62"/>
      <c r="H123" s="62"/>
      <c r="I123" s="62"/>
      <c r="J123" s="62"/>
      <c r="K123" s="62"/>
    </row>
    <row r="124" spans="1:11">
      <c r="A124" s="59" t="s">
        <v>1384</v>
      </c>
      <c r="B124" s="59"/>
      <c r="C124" s="62" t="s">
        <v>1467</v>
      </c>
      <c r="D124" s="62"/>
      <c r="E124" s="62"/>
      <c r="F124" s="62"/>
      <c r="G124" s="62"/>
      <c r="H124" s="62"/>
      <c r="I124" s="62"/>
      <c r="J124" s="62"/>
      <c r="K124" s="62"/>
    </row>
    <row r="125" spans="1:11" ht="28.5" customHeight="1">
      <c r="A125" s="59" t="s">
        <v>1468</v>
      </c>
      <c r="B125" s="59"/>
      <c r="C125" s="62" t="s">
        <v>1473</v>
      </c>
      <c r="D125" s="62"/>
      <c r="E125" s="62"/>
      <c r="F125" s="62"/>
      <c r="G125" s="62"/>
      <c r="H125" s="62"/>
      <c r="I125" s="62"/>
      <c r="J125" s="62"/>
      <c r="K125" s="62"/>
    </row>
    <row r="126" spans="1:11" ht="27.75" customHeight="1">
      <c r="A126" s="59" t="s">
        <v>1469</v>
      </c>
      <c r="B126" s="59"/>
      <c r="C126" s="62" t="s">
        <v>1474</v>
      </c>
      <c r="D126" s="62"/>
      <c r="E126" s="62"/>
      <c r="F126" s="62"/>
      <c r="G126" s="62"/>
      <c r="H126" s="62"/>
      <c r="I126" s="62"/>
      <c r="J126" s="62"/>
      <c r="K126" s="62"/>
    </row>
    <row r="127" spans="1:11" ht="28.5" customHeight="1">
      <c r="A127" s="59" t="s">
        <v>1470</v>
      </c>
      <c r="B127" s="59"/>
      <c r="C127" s="62" t="s">
        <v>1475</v>
      </c>
      <c r="D127" s="62"/>
      <c r="E127" s="62"/>
      <c r="F127" s="62"/>
      <c r="G127" s="62"/>
      <c r="H127" s="62"/>
      <c r="I127" s="62"/>
      <c r="J127" s="62"/>
      <c r="K127" s="62"/>
    </row>
    <row r="128" spans="1:11" ht="31.5" customHeight="1">
      <c r="A128" s="59" t="s">
        <v>1471</v>
      </c>
      <c r="B128" s="59"/>
      <c r="C128" s="62" t="s">
        <v>1472</v>
      </c>
      <c r="D128" s="62"/>
      <c r="E128" s="62"/>
      <c r="F128" s="62"/>
      <c r="G128" s="62"/>
      <c r="H128" s="62"/>
      <c r="I128" s="62"/>
      <c r="J128" s="62"/>
      <c r="K128" s="62"/>
    </row>
    <row r="130" spans="1:11" ht="15" thickBot="1">
      <c r="A130" s="3" t="s">
        <v>1484</v>
      </c>
    </row>
    <row r="131" spans="1:11" ht="15" thickBot="1">
      <c r="A131" s="37" t="s">
        <v>1476</v>
      </c>
      <c r="B131" s="92" t="s">
        <v>1477</v>
      </c>
      <c r="C131" s="64"/>
      <c r="D131" s="93"/>
      <c r="E131" s="92" t="s">
        <v>2</v>
      </c>
      <c r="F131" s="64"/>
      <c r="G131" s="64"/>
      <c r="H131" s="64"/>
      <c r="I131" s="64"/>
      <c r="J131" s="64"/>
      <c r="K131" s="64"/>
    </row>
    <row r="132" spans="1:11" ht="30.75" customHeight="1" thickBot="1">
      <c r="A132" s="38" t="s">
        <v>1362</v>
      </c>
      <c r="B132" s="94" t="s">
        <v>1478</v>
      </c>
      <c r="C132" s="62"/>
      <c r="D132" s="95"/>
      <c r="E132" s="94" t="s">
        <v>1479</v>
      </c>
      <c r="F132" s="62"/>
      <c r="G132" s="62"/>
      <c r="H132" s="62"/>
      <c r="I132" s="62"/>
      <c r="J132" s="62"/>
      <c r="K132" s="62"/>
    </row>
    <row r="133" spans="1:11" ht="15" thickBot="1">
      <c r="A133" s="38" t="s">
        <v>1376</v>
      </c>
      <c r="B133" s="94" t="s">
        <v>1480</v>
      </c>
      <c r="C133" s="62"/>
      <c r="D133" s="95"/>
      <c r="E133" s="94" t="s">
        <v>1481</v>
      </c>
      <c r="F133" s="62"/>
      <c r="G133" s="62"/>
      <c r="H133" s="62"/>
      <c r="I133" s="62"/>
      <c r="J133" s="62"/>
      <c r="K133" s="62"/>
    </row>
    <row r="134" spans="1:11" ht="15" thickBot="1">
      <c r="A134" s="38" t="s">
        <v>1377</v>
      </c>
      <c r="B134" s="94" t="s">
        <v>1482</v>
      </c>
      <c r="C134" s="62"/>
      <c r="D134" s="95"/>
      <c r="E134" s="94" t="s">
        <v>1483</v>
      </c>
      <c r="F134" s="62"/>
      <c r="G134" s="62"/>
      <c r="H134" s="62"/>
      <c r="I134" s="62"/>
      <c r="J134" s="62"/>
      <c r="K134" s="62"/>
    </row>
    <row r="136" spans="1:11">
      <c r="A136" s="3" t="s">
        <v>1537</v>
      </c>
    </row>
    <row r="137" spans="1:11">
      <c r="A137" s="63" t="s">
        <v>1183</v>
      </c>
      <c r="B137" s="63"/>
      <c r="C137" s="64" t="s">
        <v>2</v>
      </c>
      <c r="D137" s="64"/>
      <c r="E137" s="64"/>
      <c r="F137" s="64"/>
      <c r="G137" s="64"/>
      <c r="H137" s="64"/>
      <c r="I137" s="64"/>
      <c r="J137" s="64"/>
      <c r="K137" s="64"/>
    </row>
    <row r="138" spans="1:11">
      <c r="A138" s="91" t="s">
        <v>1485</v>
      </c>
      <c r="B138" s="91"/>
      <c r="C138" s="62" t="s">
        <v>1518</v>
      </c>
      <c r="D138" s="62"/>
      <c r="E138" s="62"/>
      <c r="F138" s="62"/>
      <c r="G138" s="62"/>
      <c r="H138" s="62"/>
      <c r="I138" s="62"/>
      <c r="J138" s="62"/>
      <c r="K138" s="62"/>
    </row>
    <row r="139" spans="1:11">
      <c r="A139" s="91" t="s">
        <v>1486</v>
      </c>
      <c r="B139" s="91"/>
      <c r="C139" s="62" t="s">
        <v>1324</v>
      </c>
      <c r="D139" s="62"/>
      <c r="E139" s="62"/>
      <c r="F139" s="62"/>
      <c r="G139" s="62"/>
      <c r="H139" s="62"/>
      <c r="I139" s="62"/>
      <c r="J139" s="62"/>
      <c r="K139" s="62"/>
    </row>
    <row r="140" spans="1:11">
      <c r="A140" s="91" t="s">
        <v>385</v>
      </c>
      <c r="B140" s="91"/>
      <c r="C140" s="62" t="s">
        <v>1487</v>
      </c>
      <c r="D140" s="62"/>
      <c r="E140" s="62"/>
      <c r="F140" s="62"/>
      <c r="G140" s="62"/>
      <c r="H140" s="62"/>
      <c r="I140" s="62"/>
      <c r="J140" s="62"/>
      <c r="K140" s="62"/>
    </row>
    <row r="141" spans="1:11">
      <c r="A141" s="91" t="s">
        <v>1488</v>
      </c>
      <c r="B141" s="91"/>
      <c r="C141" s="62" t="s">
        <v>1489</v>
      </c>
      <c r="D141" s="62"/>
      <c r="E141" s="62"/>
      <c r="F141" s="62"/>
      <c r="G141" s="62"/>
      <c r="H141" s="62"/>
      <c r="I141" s="62"/>
      <c r="J141" s="62"/>
      <c r="K141" s="62"/>
    </row>
    <row r="142" spans="1:11">
      <c r="A142" s="91" t="s">
        <v>1490</v>
      </c>
      <c r="B142" s="91"/>
      <c r="C142" s="62" t="s">
        <v>1491</v>
      </c>
      <c r="D142" s="62"/>
      <c r="E142" s="62"/>
      <c r="F142" s="62"/>
      <c r="G142" s="62"/>
      <c r="H142" s="62"/>
      <c r="I142" s="62"/>
      <c r="J142" s="62"/>
      <c r="K142" s="62"/>
    </row>
    <row r="144" spans="1:11">
      <c r="A144" s="3" t="s">
        <v>1492</v>
      </c>
    </row>
    <row r="145" spans="1:11">
      <c r="A145" s="97" t="s">
        <v>1493</v>
      </c>
      <c r="B145" s="63"/>
      <c r="C145" s="98"/>
      <c r="D145" s="92" t="s">
        <v>1494</v>
      </c>
      <c r="E145" s="64"/>
      <c r="F145" s="64"/>
      <c r="G145" s="64"/>
      <c r="H145" s="64"/>
      <c r="I145" s="64"/>
      <c r="J145" s="64"/>
      <c r="K145" s="64"/>
    </row>
    <row r="146" spans="1:11" ht="14.25" customHeight="1">
      <c r="A146" s="94" t="s">
        <v>1495</v>
      </c>
      <c r="B146" s="62"/>
      <c r="C146" s="95"/>
      <c r="D146" s="96" t="s">
        <v>1503</v>
      </c>
      <c r="E146" s="60"/>
      <c r="F146" s="60"/>
      <c r="G146" s="60"/>
      <c r="H146" s="60"/>
      <c r="I146" s="60"/>
      <c r="J146" s="60"/>
      <c r="K146" s="60"/>
    </row>
    <row r="147" spans="1:11" ht="14.25" customHeight="1">
      <c r="A147" s="94" t="s">
        <v>1496</v>
      </c>
      <c r="B147" s="62"/>
      <c r="C147" s="95"/>
      <c r="D147" s="96" t="s">
        <v>1504</v>
      </c>
      <c r="E147" s="60"/>
      <c r="F147" s="60"/>
      <c r="G147" s="60"/>
      <c r="H147" s="60"/>
      <c r="I147" s="60"/>
      <c r="J147" s="60"/>
      <c r="K147" s="60"/>
    </row>
    <row r="148" spans="1:11" ht="14.25" customHeight="1">
      <c r="A148" s="94" t="s">
        <v>1497</v>
      </c>
      <c r="B148" s="62"/>
      <c r="C148" s="95"/>
      <c r="D148" s="96" t="s">
        <v>1505</v>
      </c>
      <c r="E148" s="60"/>
      <c r="F148" s="60"/>
      <c r="G148" s="60"/>
      <c r="H148" s="60"/>
      <c r="I148" s="60"/>
      <c r="J148" s="60"/>
      <c r="K148" s="60"/>
    </row>
    <row r="149" spans="1:11" ht="14.25" customHeight="1">
      <c r="A149" s="94" t="s">
        <v>1498</v>
      </c>
      <c r="B149" s="62"/>
      <c r="C149" s="95"/>
      <c r="D149" s="96" t="s">
        <v>1506</v>
      </c>
      <c r="E149" s="60"/>
      <c r="F149" s="60"/>
      <c r="G149" s="60"/>
      <c r="H149" s="60"/>
      <c r="I149" s="60"/>
      <c r="J149" s="60"/>
      <c r="K149" s="60"/>
    </row>
    <row r="150" spans="1:11" ht="14.25" customHeight="1">
      <c r="A150" s="94" t="s">
        <v>1499</v>
      </c>
      <c r="B150" s="62"/>
      <c r="C150" s="95"/>
      <c r="D150" s="96" t="s">
        <v>1500</v>
      </c>
      <c r="E150" s="60"/>
      <c r="F150" s="60"/>
      <c r="G150" s="60"/>
      <c r="H150" s="60"/>
      <c r="I150" s="60"/>
      <c r="J150" s="60"/>
      <c r="K150" s="60"/>
    </row>
    <row r="151" spans="1:11" ht="14.25" customHeight="1">
      <c r="A151" s="94" t="s">
        <v>1501</v>
      </c>
      <c r="B151" s="62"/>
      <c r="C151" s="95"/>
      <c r="D151" s="96" t="s">
        <v>1502</v>
      </c>
      <c r="E151" s="60"/>
      <c r="F151" s="60"/>
      <c r="G151" s="60"/>
      <c r="H151" s="60"/>
      <c r="I151" s="60"/>
      <c r="J151" s="60"/>
      <c r="K151" s="60"/>
    </row>
    <row r="153" spans="1:11">
      <c r="A153" s="3" t="s">
        <v>224</v>
      </c>
    </row>
    <row r="154" spans="1:11">
      <c r="A154" s="65" t="s">
        <v>1507</v>
      </c>
      <c r="B154" s="65"/>
      <c r="C154" s="65"/>
      <c r="D154" s="65"/>
      <c r="E154" s="65"/>
      <c r="F154" s="65"/>
      <c r="G154" s="65"/>
      <c r="H154" s="65"/>
      <c r="I154" s="65"/>
      <c r="J154" s="65"/>
      <c r="K154" s="65"/>
    </row>
    <row r="155" spans="1:11">
      <c r="A155" s="65" t="s">
        <v>1508</v>
      </c>
      <c r="B155" s="65"/>
      <c r="C155" s="65"/>
      <c r="D155" s="65"/>
      <c r="E155" s="65"/>
      <c r="F155" s="65"/>
      <c r="G155" s="65"/>
      <c r="H155" s="65"/>
      <c r="I155" s="65"/>
      <c r="J155" s="65"/>
      <c r="K155" s="65"/>
    </row>
    <row r="156" spans="1:11">
      <c r="A156" s="65" t="s">
        <v>1509</v>
      </c>
      <c r="B156" s="65"/>
      <c r="C156" s="65"/>
      <c r="D156" s="65"/>
      <c r="E156" s="65"/>
      <c r="F156" s="65"/>
      <c r="G156" s="65"/>
      <c r="H156" s="65"/>
      <c r="I156" s="65"/>
      <c r="J156" s="65"/>
      <c r="K156" s="65"/>
    </row>
    <row r="157" spans="1:11">
      <c r="A157" s="65" t="s">
        <v>1510</v>
      </c>
      <c r="B157" s="65"/>
      <c r="C157" s="65"/>
      <c r="D157" s="65"/>
      <c r="E157" s="65"/>
      <c r="F157" s="65"/>
      <c r="G157" s="65"/>
      <c r="H157" s="65"/>
      <c r="I157" s="65"/>
      <c r="J157" s="65"/>
      <c r="K157" s="65"/>
    </row>
    <row r="158" spans="1:11">
      <c r="A158" s="65" t="s">
        <v>1511</v>
      </c>
      <c r="B158" s="65"/>
      <c r="C158" s="65"/>
      <c r="D158" s="65"/>
      <c r="E158" s="65"/>
      <c r="F158" s="65"/>
      <c r="G158" s="65"/>
      <c r="H158" s="65"/>
      <c r="I158" s="65"/>
      <c r="J158" s="65"/>
      <c r="K158" s="65"/>
    </row>
    <row r="159" spans="1:11">
      <c r="A159" s="65" t="s">
        <v>1512</v>
      </c>
      <c r="B159" s="65"/>
      <c r="C159" s="65"/>
      <c r="D159" s="65"/>
      <c r="E159" s="65"/>
      <c r="F159" s="65"/>
      <c r="G159" s="65"/>
      <c r="H159" s="65"/>
      <c r="I159" s="65"/>
      <c r="J159" s="65"/>
      <c r="K159" s="65"/>
    </row>
    <row r="161" spans="1:11">
      <c r="A161" s="3" t="s">
        <v>519</v>
      </c>
    </row>
    <row r="162" spans="1:11">
      <c r="A162" s="65" t="s">
        <v>515</v>
      </c>
      <c r="B162" s="65"/>
      <c r="C162" s="65"/>
      <c r="D162" s="65"/>
      <c r="E162" s="65"/>
      <c r="F162" s="65"/>
      <c r="G162" s="65"/>
      <c r="H162" s="65"/>
      <c r="I162" s="65"/>
      <c r="J162" s="65"/>
      <c r="K162" s="65"/>
    </row>
    <row r="163" spans="1:11">
      <c r="A163" s="75" t="s">
        <v>1514</v>
      </c>
      <c r="B163" s="75"/>
      <c r="C163" s="75"/>
      <c r="D163" s="75"/>
      <c r="E163" s="75"/>
      <c r="F163" s="75"/>
      <c r="G163" s="75"/>
      <c r="H163" s="75"/>
      <c r="I163" s="75"/>
      <c r="J163" s="75"/>
      <c r="K163" s="75"/>
    </row>
    <row r="164" spans="1:11">
      <c r="A164" s="75" t="s">
        <v>1515</v>
      </c>
      <c r="B164" s="75"/>
      <c r="C164" s="75"/>
      <c r="D164" s="75"/>
      <c r="E164" s="75"/>
      <c r="F164" s="75"/>
      <c r="G164" s="75"/>
      <c r="H164" s="75"/>
      <c r="I164" s="75"/>
      <c r="J164" s="75"/>
      <c r="K164" s="75"/>
    </row>
    <row r="165" spans="1:11">
      <c r="A165" s="75" t="s">
        <v>1516</v>
      </c>
      <c r="B165" s="75"/>
      <c r="C165" s="75"/>
      <c r="D165" s="75"/>
      <c r="E165" s="75"/>
      <c r="F165" s="75"/>
      <c r="G165" s="75"/>
      <c r="H165" s="75"/>
      <c r="I165" s="75"/>
      <c r="J165" s="75"/>
      <c r="K165" s="75"/>
    </row>
    <row r="166" spans="1:11">
      <c r="A166" s="75" t="s">
        <v>1517</v>
      </c>
      <c r="B166" s="75"/>
      <c r="C166" s="75"/>
      <c r="D166" s="75"/>
      <c r="E166" s="75"/>
      <c r="F166" s="75"/>
      <c r="G166" s="75"/>
      <c r="H166" s="75"/>
      <c r="I166" s="75"/>
      <c r="J166" s="75"/>
      <c r="K166" s="75"/>
    </row>
    <row r="167" spans="1:11">
      <c r="A167" s="65" t="s">
        <v>1513</v>
      </c>
      <c r="B167" s="65"/>
      <c r="C167" s="65"/>
      <c r="D167" s="65"/>
      <c r="E167" s="65"/>
      <c r="F167" s="65"/>
      <c r="G167" s="65"/>
      <c r="H167" s="65"/>
      <c r="I167" s="65"/>
      <c r="J167" s="65"/>
      <c r="K167" s="65"/>
    </row>
    <row r="169" spans="1:11">
      <c r="A169" s="3" t="s">
        <v>1535</v>
      </c>
    </row>
    <row r="170" spans="1:11">
      <c r="A170" s="11" t="s">
        <v>1522</v>
      </c>
      <c r="B170" s="11" t="s">
        <v>235</v>
      </c>
      <c r="D170" s="35" t="str" cm="1">
        <f t="array" ref="D170:F173">PROCESS_METRICS(B171,B172,B173)</f>
        <v>Metric</v>
      </c>
      <c r="E170" s="11" t="str">
        <v>Value</v>
      </c>
      <c r="F170" s="35" t="str">
        <v>Interpretation</v>
      </c>
    </row>
    <row r="171" spans="1:11">
      <c r="A171" s="34" t="s">
        <v>1387</v>
      </c>
      <c r="B171" s="13">
        <v>4</v>
      </c>
      <c r="D171" s="34" t="str">
        <v>ME</v>
      </c>
      <c r="E171" s="39">
        <v>-0.19999999999999996</v>
      </c>
      <c r="F171" s="34" t="str">
        <v>Low Suppression</v>
      </c>
    </row>
    <row r="172" spans="1:11">
      <c r="A172" s="34" t="s">
        <v>1383</v>
      </c>
      <c r="B172" s="13">
        <v>5</v>
      </c>
      <c r="D172" s="34" t="str">
        <v>EE</v>
      </c>
      <c r="E172" s="39">
        <v>0.83333333333333337</v>
      </c>
      <c r="F172" s="34" t="str">
        <v>Good</v>
      </c>
    </row>
    <row r="173" spans="1:11">
      <c r="A173" s="34" t="s">
        <v>1384</v>
      </c>
      <c r="B173" s="13">
        <v>6</v>
      </c>
      <c r="D173" s="34" t="str">
        <v>PE</v>
      </c>
      <c r="E173" s="39">
        <v>0.66666666666666663</v>
      </c>
      <c r="F173" s="34" t="str">
        <v>Moderate</v>
      </c>
    </row>
    <row r="176" spans="1:11">
      <c r="A176" s="3" t="s">
        <v>1536</v>
      </c>
    </row>
    <row r="177" spans="1:11">
      <c r="A177" s="3" t="s">
        <v>1519</v>
      </c>
      <c r="E177" s="3" t="s">
        <v>1520</v>
      </c>
      <c r="I177" s="3" t="s">
        <v>1521</v>
      </c>
    </row>
    <row r="178" spans="1:11">
      <c r="A178" s="80" t="s">
        <v>534</v>
      </c>
      <c r="B178" s="80"/>
      <c r="C178" s="11" t="s">
        <v>235</v>
      </c>
      <c r="E178" s="80" t="s">
        <v>534</v>
      </c>
      <c r="F178" s="80"/>
      <c r="G178" s="11" t="s">
        <v>235</v>
      </c>
      <c r="I178" s="80" t="s">
        <v>534</v>
      </c>
      <c r="J178" s="80"/>
      <c r="K178" s="11" t="s">
        <v>235</v>
      </c>
    </row>
    <row r="179" spans="1:11">
      <c r="A179" s="68" t="s">
        <v>1539</v>
      </c>
      <c r="B179" s="68"/>
      <c r="C179" s="10">
        <v>0</v>
      </c>
      <c r="E179" s="68" t="s">
        <v>1526</v>
      </c>
      <c r="F179" s="68"/>
      <c r="G179" s="10">
        <v>0</v>
      </c>
      <c r="I179" s="68" t="s">
        <v>1531</v>
      </c>
      <c r="J179" s="68"/>
      <c r="K179" s="10">
        <v>0</v>
      </c>
    </row>
    <row r="180" spans="1:11">
      <c r="A180" s="68" t="s">
        <v>1523</v>
      </c>
      <c r="B180" s="68"/>
      <c r="C180" s="10">
        <v>0.1</v>
      </c>
      <c r="E180" s="68" t="s">
        <v>1527</v>
      </c>
      <c r="F180" s="68"/>
      <c r="G180" s="10">
        <v>0.5</v>
      </c>
      <c r="I180" s="68" t="s">
        <v>1532</v>
      </c>
      <c r="J180" s="68"/>
      <c r="K180" s="10">
        <v>0.5</v>
      </c>
    </row>
    <row r="181" spans="1:11">
      <c r="A181" s="68" t="s">
        <v>1364</v>
      </c>
      <c r="B181" s="68"/>
      <c r="C181" s="10">
        <v>0.25</v>
      </c>
      <c r="E181" s="68" t="s">
        <v>1528</v>
      </c>
      <c r="F181" s="68"/>
      <c r="G181" s="10">
        <v>0.7</v>
      </c>
      <c r="I181" s="68" t="s">
        <v>1533</v>
      </c>
      <c r="J181" s="68"/>
      <c r="K181" s="10">
        <v>0.75</v>
      </c>
    </row>
    <row r="182" spans="1:11">
      <c r="A182" s="68" t="s">
        <v>1524</v>
      </c>
      <c r="B182" s="68"/>
      <c r="C182" s="10">
        <v>0.5</v>
      </c>
      <c r="E182" s="68" t="s">
        <v>1529</v>
      </c>
      <c r="F182" s="68"/>
      <c r="G182" s="10">
        <v>0.85</v>
      </c>
      <c r="I182" s="68" t="s">
        <v>1373</v>
      </c>
      <c r="J182" s="68"/>
      <c r="K182" s="10">
        <v>0.9</v>
      </c>
    </row>
    <row r="183" spans="1:11">
      <c r="A183" s="68" t="s">
        <v>1525</v>
      </c>
      <c r="B183" s="68"/>
      <c r="C183" s="10">
        <v>0.75</v>
      </c>
      <c r="E183" s="68" t="s">
        <v>1530</v>
      </c>
      <c r="F183" s="68"/>
      <c r="G183" s="10">
        <v>0.95</v>
      </c>
      <c r="I183" s="68" t="s">
        <v>1534</v>
      </c>
      <c r="J183" s="68"/>
      <c r="K183" s="10">
        <v>0.98</v>
      </c>
    </row>
    <row r="185" spans="1:11">
      <c r="A185" s="11" t="s">
        <v>1522</v>
      </c>
      <c r="B185" s="11" t="s">
        <v>235</v>
      </c>
      <c r="D185" s="35" t="str" cm="1">
        <f t="array" ref="D185:F188">PROCESS_METRICS(B186,B187,B188,TRUE,A179:C183,E179:G183,I179:K183)</f>
        <v>Metric</v>
      </c>
      <c r="E185" s="11" t="str">
        <v>Value</v>
      </c>
      <c r="F185" s="35" t="str">
        <v>Interpretation</v>
      </c>
    </row>
    <row r="186" spans="1:11">
      <c r="A186" s="34" t="s">
        <v>1387</v>
      </c>
      <c r="B186" s="13">
        <v>4.75</v>
      </c>
      <c r="D186" s="34" t="str">
        <v>ME</v>
      </c>
      <c r="E186" s="39">
        <v>-5.0000000000000044E-2</v>
      </c>
      <c r="F186" s="34" t="str">
        <v>No Suppression</v>
      </c>
    </row>
    <row r="187" spans="1:11">
      <c r="A187" s="34" t="s">
        <v>1383</v>
      </c>
      <c r="B187" s="13">
        <v>5</v>
      </c>
      <c r="D187" s="34" t="str">
        <v>EE</v>
      </c>
      <c r="E187" s="39">
        <v>0.625</v>
      </c>
      <c r="F187" s="34" t="str">
        <v>Fair</v>
      </c>
    </row>
    <row r="188" spans="1:11">
      <c r="A188" s="34" t="s">
        <v>1384</v>
      </c>
      <c r="B188" s="13">
        <v>8</v>
      </c>
      <c r="D188" s="34" t="str">
        <v>PE</v>
      </c>
      <c r="E188" s="39">
        <v>0.59375</v>
      </c>
      <c r="F188" s="34" t="str">
        <v>Acceptable</v>
      </c>
    </row>
  </sheetData>
  <mergeCells count="193">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 ref="A162:K162"/>
    <mergeCell ref="A163:K163"/>
    <mergeCell ref="A164:K164"/>
    <mergeCell ref="A165:K165"/>
    <mergeCell ref="A166:K166"/>
    <mergeCell ref="A167:K167"/>
    <mergeCell ref="A154:K154"/>
    <mergeCell ref="A155:K155"/>
    <mergeCell ref="A156:K156"/>
    <mergeCell ref="A157:K157"/>
    <mergeCell ref="A158:K158"/>
    <mergeCell ref="A159:K159"/>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82:K82"/>
    <mergeCell ref="A83:K83"/>
    <mergeCell ref="A84:K84"/>
    <mergeCell ref="A85:K85"/>
    <mergeCell ref="A74:K74"/>
    <mergeCell ref="A75:K75"/>
    <mergeCell ref="A76:K76"/>
    <mergeCell ref="A77:K77"/>
    <mergeCell ref="A78:K78"/>
    <mergeCell ref="A79:K79"/>
    <mergeCell ref="A69:K69"/>
    <mergeCell ref="A70:K70"/>
    <mergeCell ref="A71:K71"/>
    <mergeCell ref="A72:K72"/>
    <mergeCell ref="A73:K73"/>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49" workbookViewId="0">
      <selection activeCell="A18" sqref="A18:K18"/>
    </sheetView>
  </sheetViews>
  <sheetFormatPr defaultColWidth="9" defaultRowHeight="14.25"/>
  <cols>
    <col min="1" max="16384" width="9" style="2"/>
  </cols>
  <sheetData>
    <row r="1" spans="1:11">
      <c r="A1" s="3" t="s">
        <v>921</v>
      </c>
    </row>
    <row r="2" spans="1:11">
      <c r="A2" s="65" t="s">
        <v>934</v>
      </c>
      <c r="B2" s="65"/>
      <c r="C2" s="65"/>
      <c r="D2" s="65"/>
      <c r="E2" s="65"/>
      <c r="F2" s="65"/>
      <c r="G2" s="65"/>
      <c r="H2" s="65"/>
      <c r="I2" s="65"/>
      <c r="J2" s="65"/>
      <c r="K2" s="65"/>
    </row>
    <row r="3" spans="1:11">
      <c r="A3" s="65" t="s">
        <v>935</v>
      </c>
      <c r="B3" s="65"/>
      <c r="C3" s="65"/>
      <c r="D3" s="65"/>
      <c r="E3" s="65"/>
      <c r="F3" s="65"/>
      <c r="G3" s="65"/>
      <c r="H3" s="65"/>
      <c r="I3" s="65"/>
      <c r="J3" s="65"/>
      <c r="K3" s="65"/>
    </row>
    <row r="4" spans="1:11">
      <c r="A4" s="65" t="s">
        <v>936</v>
      </c>
      <c r="B4" s="65"/>
      <c r="C4" s="65"/>
      <c r="D4" s="65"/>
      <c r="E4" s="65"/>
      <c r="F4" s="65"/>
      <c r="G4" s="65"/>
      <c r="H4" s="65"/>
      <c r="I4" s="65"/>
      <c r="J4" s="65"/>
      <c r="K4" s="65"/>
    </row>
    <row r="6" spans="1:11">
      <c r="A6" s="3" t="s">
        <v>1</v>
      </c>
    </row>
    <row r="7" spans="1:11">
      <c r="A7" s="65" t="s">
        <v>923</v>
      </c>
      <c r="B7" s="65"/>
      <c r="C7" s="65"/>
      <c r="D7" s="65"/>
      <c r="E7" s="65"/>
      <c r="F7" s="65"/>
      <c r="G7" s="65"/>
      <c r="H7" s="65"/>
      <c r="I7" s="65"/>
      <c r="J7" s="65"/>
      <c r="K7" s="65"/>
    </row>
    <row r="8" spans="1:11">
      <c r="A8" s="75" t="s">
        <v>937</v>
      </c>
      <c r="B8" s="75"/>
      <c r="C8" s="75"/>
      <c r="D8" s="75"/>
      <c r="E8" s="75"/>
      <c r="F8" s="75"/>
      <c r="G8" s="75"/>
      <c r="H8" s="75"/>
      <c r="I8" s="75"/>
      <c r="J8" s="75"/>
      <c r="K8" s="75"/>
    </row>
    <row r="9" spans="1:11">
      <c r="A9" s="75" t="s">
        <v>938</v>
      </c>
      <c r="B9" s="75"/>
      <c r="C9" s="75"/>
      <c r="D9" s="75"/>
      <c r="E9" s="75"/>
      <c r="F9" s="75"/>
      <c r="G9" s="75"/>
      <c r="H9" s="75"/>
      <c r="I9" s="75"/>
      <c r="J9" s="75"/>
      <c r="K9" s="75"/>
    </row>
    <row r="10" spans="1:11">
      <c r="A10" s="75" t="s">
        <v>924</v>
      </c>
      <c r="B10" s="75"/>
      <c r="C10" s="75"/>
      <c r="D10" s="75"/>
      <c r="E10" s="75"/>
      <c r="F10" s="75"/>
      <c r="G10" s="75"/>
      <c r="H10" s="75"/>
      <c r="I10" s="75"/>
      <c r="J10" s="75"/>
      <c r="K10" s="75"/>
    </row>
    <row r="11" spans="1:11">
      <c r="A11" s="65" t="s">
        <v>925</v>
      </c>
      <c r="B11" s="65"/>
      <c r="C11" s="65"/>
      <c r="D11" s="65"/>
      <c r="E11" s="65"/>
      <c r="F11" s="65"/>
      <c r="G11" s="65"/>
      <c r="H11" s="65"/>
      <c r="I11" s="65"/>
      <c r="J11" s="65"/>
      <c r="K11" s="65"/>
    </row>
    <row r="12" spans="1:11">
      <c r="A12" s="75" t="s">
        <v>926</v>
      </c>
      <c r="B12" s="75"/>
      <c r="C12" s="75"/>
      <c r="D12" s="75"/>
      <c r="E12" s="75"/>
      <c r="F12" s="75"/>
      <c r="G12" s="75"/>
      <c r="H12" s="75"/>
      <c r="I12" s="75"/>
      <c r="J12" s="75"/>
      <c r="K12" s="75"/>
    </row>
    <row r="13" spans="1:11">
      <c r="A13" s="75" t="s">
        <v>927</v>
      </c>
      <c r="B13" s="75"/>
      <c r="C13" s="75"/>
      <c r="D13" s="75"/>
      <c r="E13" s="75"/>
      <c r="F13" s="75"/>
      <c r="G13" s="75"/>
      <c r="H13" s="75"/>
      <c r="I13" s="75"/>
      <c r="J13" s="75"/>
      <c r="K13" s="75"/>
    </row>
    <row r="14" spans="1:11">
      <c r="A14" s="75" t="s">
        <v>928</v>
      </c>
      <c r="B14" s="75"/>
      <c r="C14" s="75"/>
      <c r="D14" s="75"/>
      <c r="E14" s="75"/>
      <c r="F14" s="75"/>
      <c r="G14" s="75"/>
      <c r="H14" s="75"/>
      <c r="I14" s="75"/>
      <c r="J14" s="75"/>
      <c r="K14" s="75"/>
    </row>
    <row r="15" spans="1:11">
      <c r="A15" s="75" t="s">
        <v>929</v>
      </c>
      <c r="B15" s="75"/>
      <c r="C15" s="75"/>
      <c r="D15" s="75"/>
      <c r="E15" s="75"/>
      <c r="F15" s="75"/>
      <c r="G15" s="75"/>
      <c r="H15" s="75"/>
      <c r="I15" s="75"/>
      <c r="J15" s="75"/>
      <c r="K15" s="75"/>
    </row>
    <row r="17" spans="1:11">
      <c r="A17" s="3" t="s">
        <v>220</v>
      </c>
    </row>
    <row r="18" spans="1:11">
      <c r="A18" s="66" t="s">
        <v>933</v>
      </c>
      <c r="B18" s="66"/>
      <c r="C18" s="66"/>
      <c r="D18" s="66"/>
      <c r="E18" s="66"/>
      <c r="F18" s="66"/>
      <c r="G18" s="66"/>
      <c r="H18" s="66"/>
      <c r="I18" s="66"/>
      <c r="J18" s="66"/>
      <c r="K18" s="66"/>
    </row>
    <row r="19" spans="1:11">
      <c r="A19" s="67" t="s">
        <v>616</v>
      </c>
      <c r="B19" s="67"/>
      <c r="C19" s="67"/>
      <c r="D19" s="67"/>
      <c r="E19" s="67"/>
      <c r="F19" s="67"/>
      <c r="G19" s="67"/>
      <c r="H19" s="67"/>
      <c r="I19" s="67"/>
      <c r="J19" s="67"/>
      <c r="K19" s="67"/>
    </row>
    <row r="20" spans="1:11">
      <c r="A20" s="67" t="s">
        <v>930</v>
      </c>
      <c r="B20" s="67"/>
      <c r="C20" s="67"/>
      <c r="D20" s="67"/>
      <c r="E20" s="67"/>
      <c r="F20" s="67"/>
      <c r="G20" s="67"/>
      <c r="H20" s="67"/>
      <c r="I20" s="67"/>
      <c r="J20" s="67"/>
      <c r="K20" s="67"/>
    </row>
    <row r="21" spans="1:11">
      <c r="A21" s="67" t="s">
        <v>931</v>
      </c>
      <c r="B21" s="67"/>
      <c r="C21" s="67"/>
      <c r="D21" s="67"/>
      <c r="E21" s="67"/>
      <c r="F21" s="67"/>
      <c r="G21" s="67"/>
      <c r="H21" s="67"/>
      <c r="I21" s="67"/>
      <c r="J21" s="67"/>
      <c r="K21" s="67"/>
    </row>
    <row r="22" spans="1:11">
      <c r="A22" s="67" t="s">
        <v>932</v>
      </c>
      <c r="B22" s="67"/>
      <c r="C22" s="67"/>
      <c r="D22" s="67"/>
      <c r="E22" s="67"/>
      <c r="F22" s="67"/>
      <c r="G22" s="67"/>
      <c r="H22" s="67"/>
      <c r="I22" s="67"/>
      <c r="J22" s="67"/>
      <c r="K22" s="67"/>
    </row>
    <row r="23" spans="1:11">
      <c r="A23" s="67" t="s">
        <v>975</v>
      </c>
      <c r="B23" s="67"/>
      <c r="C23" s="67"/>
      <c r="D23" s="67"/>
      <c r="E23" s="67"/>
      <c r="F23" s="67"/>
      <c r="G23" s="67"/>
      <c r="H23" s="67"/>
      <c r="I23" s="67"/>
      <c r="J23" s="67"/>
      <c r="K23" s="67"/>
    </row>
    <row r="24" spans="1:11">
      <c r="A24" s="67" t="s">
        <v>976</v>
      </c>
      <c r="B24" s="67"/>
      <c r="C24" s="67"/>
      <c r="D24" s="67"/>
      <c r="E24" s="67"/>
      <c r="F24" s="67"/>
      <c r="G24" s="67"/>
      <c r="H24" s="67"/>
      <c r="I24" s="67"/>
      <c r="J24" s="67"/>
      <c r="K24" s="67"/>
    </row>
    <row r="25" spans="1:11">
      <c r="A25" s="67" t="s">
        <v>77</v>
      </c>
      <c r="B25" s="67"/>
      <c r="C25" s="67"/>
      <c r="D25" s="67"/>
      <c r="E25" s="67"/>
      <c r="F25" s="67"/>
      <c r="G25" s="67"/>
      <c r="H25" s="67"/>
      <c r="I25" s="67"/>
      <c r="J25" s="67"/>
      <c r="K25" s="67"/>
    </row>
    <row r="26" spans="1:11">
      <c r="A26" s="67" t="s">
        <v>977</v>
      </c>
      <c r="B26" s="67"/>
      <c r="C26" s="67"/>
      <c r="D26" s="67"/>
      <c r="E26" s="67"/>
      <c r="F26" s="67"/>
      <c r="G26" s="67"/>
      <c r="H26" s="67"/>
      <c r="I26" s="67"/>
      <c r="J26" s="67"/>
      <c r="K26" s="67"/>
    </row>
    <row r="27" spans="1:11">
      <c r="A27" s="67" t="s">
        <v>978</v>
      </c>
      <c r="B27" s="67"/>
      <c r="C27" s="67"/>
      <c r="D27" s="67"/>
      <c r="E27" s="67"/>
      <c r="F27" s="67"/>
      <c r="G27" s="67"/>
      <c r="H27" s="67"/>
      <c r="I27" s="67"/>
      <c r="J27" s="67"/>
      <c r="K27" s="67"/>
    </row>
    <row r="28" spans="1:11">
      <c r="A28" s="67" t="s">
        <v>974</v>
      </c>
      <c r="B28" s="67"/>
      <c r="C28" s="67"/>
      <c r="D28" s="67"/>
      <c r="E28" s="67"/>
      <c r="F28" s="67"/>
      <c r="G28" s="67"/>
      <c r="H28" s="67"/>
      <c r="I28" s="67"/>
      <c r="J28" s="67"/>
      <c r="K28" s="67"/>
    </row>
    <row r="29" spans="1:11">
      <c r="A29" s="67" t="s">
        <v>83</v>
      </c>
      <c r="B29" s="67"/>
      <c r="C29" s="67"/>
      <c r="D29" s="67"/>
      <c r="E29" s="67"/>
      <c r="F29" s="67"/>
      <c r="G29" s="67"/>
      <c r="H29" s="67"/>
      <c r="I29" s="67"/>
      <c r="J29" s="67"/>
      <c r="K29" s="67"/>
    </row>
    <row r="31" spans="1:11">
      <c r="A31" s="3" t="s">
        <v>213</v>
      </c>
    </row>
    <row r="32" spans="1:11">
      <c r="A32" s="63" t="s">
        <v>188</v>
      </c>
      <c r="B32" s="63"/>
      <c r="C32" s="64" t="s">
        <v>2</v>
      </c>
      <c r="D32" s="64"/>
      <c r="E32" s="64"/>
      <c r="F32" s="64"/>
      <c r="G32" s="64"/>
      <c r="H32" s="64"/>
      <c r="I32" s="64"/>
      <c r="J32" s="64"/>
      <c r="K32" s="64"/>
    </row>
    <row r="33" spans="1:11">
      <c r="A33" s="59" t="s">
        <v>939</v>
      </c>
      <c r="B33" s="59"/>
      <c r="C33" s="60" t="s">
        <v>940</v>
      </c>
      <c r="D33" s="60"/>
      <c r="E33" s="60"/>
      <c r="F33" s="60"/>
      <c r="G33" s="60"/>
      <c r="H33" s="60"/>
      <c r="I33" s="60"/>
      <c r="J33" s="60"/>
      <c r="K33" s="60"/>
    </row>
    <row r="34" spans="1:11">
      <c r="A34" s="59" t="s">
        <v>941</v>
      </c>
      <c r="B34" s="59"/>
      <c r="C34" s="60" t="s">
        <v>942</v>
      </c>
      <c r="D34" s="60"/>
      <c r="E34" s="60"/>
      <c r="F34" s="60"/>
      <c r="G34" s="60"/>
      <c r="H34" s="60"/>
      <c r="I34" s="60"/>
      <c r="J34" s="60"/>
      <c r="K34" s="60"/>
    </row>
    <row r="36" spans="1:11">
      <c r="A36" s="3" t="s">
        <v>943</v>
      </c>
    </row>
    <row r="37" spans="1:11">
      <c r="A37" s="63" t="s">
        <v>950</v>
      </c>
      <c r="B37" s="63"/>
      <c r="C37" s="64" t="s">
        <v>2</v>
      </c>
      <c r="D37" s="64"/>
      <c r="E37" s="64"/>
      <c r="F37" s="64"/>
      <c r="G37" s="64"/>
      <c r="H37" s="64"/>
      <c r="I37" s="64"/>
      <c r="J37" s="64"/>
      <c r="K37" s="64"/>
    </row>
    <row r="38" spans="1:11">
      <c r="A38" s="61" t="s">
        <v>944</v>
      </c>
      <c r="B38" s="61"/>
      <c r="C38" s="62" t="s">
        <v>945</v>
      </c>
      <c r="D38" s="62"/>
      <c r="E38" s="62"/>
      <c r="F38" s="62"/>
      <c r="G38" s="62"/>
      <c r="H38" s="62"/>
      <c r="I38" s="62"/>
      <c r="J38" s="62"/>
      <c r="K38" s="62"/>
    </row>
    <row r="39" spans="1:11">
      <c r="A39" s="61" t="s">
        <v>946</v>
      </c>
      <c r="B39" s="61"/>
      <c r="C39" s="62" t="s">
        <v>947</v>
      </c>
      <c r="D39" s="62"/>
      <c r="E39" s="62"/>
      <c r="F39" s="62"/>
      <c r="G39" s="62"/>
      <c r="H39" s="62"/>
      <c r="I39" s="62"/>
      <c r="J39" s="62"/>
      <c r="K39" s="62"/>
    </row>
    <row r="40" spans="1:11">
      <c r="A40" s="61" t="s">
        <v>948</v>
      </c>
      <c r="B40" s="61"/>
      <c r="C40" s="62" t="s">
        <v>949</v>
      </c>
      <c r="D40" s="62"/>
      <c r="E40" s="62"/>
      <c r="F40" s="62"/>
      <c r="G40" s="62"/>
      <c r="H40" s="62"/>
      <c r="I40" s="62"/>
      <c r="J40" s="62"/>
      <c r="K40" s="62"/>
    </row>
    <row r="42" spans="1:11">
      <c r="A42" s="3" t="s">
        <v>224</v>
      </c>
    </row>
    <row r="43" spans="1:11" ht="15">
      <c r="A43" s="83" t="s">
        <v>954</v>
      </c>
      <c r="B43" s="83"/>
      <c r="C43" s="83"/>
      <c r="D43" s="83"/>
      <c r="E43" s="83"/>
      <c r="F43" s="83"/>
      <c r="G43" s="83"/>
      <c r="H43" s="83"/>
      <c r="I43" s="83"/>
      <c r="J43" s="83"/>
      <c r="K43" s="83"/>
    </row>
    <row r="44" spans="1:11">
      <c r="A44" s="83" t="s">
        <v>955</v>
      </c>
      <c r="B44" s="83"/>
      <c r="C44" s="83"/>
      <c r="D44" s="83"/>
      <c r="E44" s="83"/>
      <c r="F44" s="83"/>
      <c r="G44" s="83"/>
      <c r="H44" s="83"/>
      <c r="I44" s="83"/>
      <c r="J44" s="83"/>
      <c r="K44" s="83"/>
    </row>
    <row r="45" spans="1:11">
      <c r="A45" s="83" t="s">
        <v>956</v>
      </c>
      <c r="B45" s="83"/>
      <c r="C45" s="83"/>
      <c r="D45" s="83"/>
      <c r="E45" s="83"/>
      <c r="F45" s="83"/>
      <c r="G45" s="83"/>
      <c r="H45" s="83"/>
      <c r="I45" s="83"/>
      <c r="J45" s="83"/>
      <c r="K45" s="83"/>
    </row>
    <row r="46" spans="1:11">
      <c r="A46" s="83" t="s">
        <v>957</v>
      </c>
      <c r="B46" s="83"/>
      <c r="C46" s="83"/>
      <c r="D46" s="83"/>
      <c r="E46" s="83"/>
      <c r="F46" s="83"/>
      <c r="G46" s="83"/>
      <c r="H46" s="83"/>
      <c r="I46" s="83"/>
      <c r="J46" s="83"/>
      <c r="K46" s="83"/>
    </row>
    <row r="47" spans="1:11">
      <c r="A47" s="83" t="s">
        <v>958</v>
      </c>
      <c r="B47" s="83"/>
      <c r="C47" s="83"/>
      <c r="D47" s="83"/>
      <c r="E47" s="83"/>
      <c r="F47" s="83"/>
      <c r="G47" s="83"/>
      <c r="H47" s="83"/>
      <c r="I47" s="83"/>
      <c r="J47" s="83"/>
      <c r="K47" s="83"/>
    </row>
    <row r="49" spans="1:12">
      <c r="A49" s="3" t="s">
        <v>519</v>
      </c>
    </row>
    <row r="50" spans="1:12">
      <c r="A50" s="83" t="s">
        <v>959</v>
      </c>
      <c r="B50" s="83"/>
      <c r="C50" s="83"/>
      <c r="D50" s="83"/>
      <c r="E50" s="83"/>
      <c r="F50" s="83"/>
      <c r="G50" s="83"/>
      <c r="H50" s="83"/>
      <c r="I50" s="83"/>
      <c r="J50" s="83"/>
      <c r="K50" s="83"/>
    </row>
    <row r="51" spans="1:12">
      <c r="A51" s="82" t="s">
        <v>951</v>
      </c>
      <c r="B51" s="82"/>
      <c r="C51" s="82"/>
      <c r="D51" s="82"/>
      <c r="E51" s="82"/>
      <c r="F51" s="82"/>
      <c r="G51" s="82"/>
      <c r="H51" s="82"/>
      <c r="I51" s="82"/>
      <c r="J51" s="82"/>
      <c r="K51" s="82"/>
    </row>
    <row r="52" spans="1:12">
      <c r="A52" s="82" t="s">
        <v>952</v>
      </c>
      <c r="B52" s="82"/>
      <c r="C52" s="82"/>
      <c r="D52" s="82"/>
      <c r="E52" s="82"/>
      <c r="F52" s="82"/>
      <c r="G52" s="82"/>
      <c r="H52" s="82"/>
      <c r="I52" s="82"/>
      <c r="J52" s="82"/>
      <c r="K52" s="82"/>
    </row>
    <row r="53" spans="1:12">
      <c r="A53" s="82" t="s">
        <v>953</v>
      </c>
      <c r="B53" s="82"/>
      <c r="C53" s="82"/>
      <c r="D53" s="82"/>
      <c r="E53" s="82"/>
      <c r="F53" s="82"/>
      <c r="G53" s="82"/>
      <c r="H53" s="82"/>
      <c r="I53" s="82"/>
      <c r="J53" s="82"/>
      <c r="K53" s="82"/>
    </row>
    <row r="55" spans="1:12">
      <c r="A55" s="3" t="s">
        <v>960</v>
      </c>
    </row>
    <row r="56" spans="1:12">
      <c r="A56" s="11" t="s">
        <v>739</v>
      </c>
      <c r="C56" s="11" t="s">
        <v>961</v>
      </c>
    </row>
    <row r="57" spans="1:12" ht="15">
      <c r="A57" s="25">
        <v>1</v>
      </c>
      <c r="C57" s="25" cm="1">
        <f t="array" ref="C57:C66">REVERSE_ARRAY(A57:A66)</f>
        <v>10</v>
      </c>
    </row>
    <row r="58" spans="1:12" ht="15">
      <c r="A58" s="25">
        <v>2</v>
      </c>
      <c r="C58" s="25">
        <v>9</v>
      </c>
    </row>
    <row r="59" spans="1:12" ht="15">
      <c r="A59" s="25">
        <v>3</v>
      </c>
      <c r="C59" s="25">
        <v>8</v>
      </c>
    </row>
    <row r="60" spans="1:12" ht="15">
      <c r="A60" s="25">
        <v>4</v>
      </c>
      <c r="C60" s="25">
        <v>7</v>
      </c>
    </row>
    <row r="61" spans="1:12" ht="15">
      <c r="A61" s="25">
        <v>5</v>
      </c>
      <c r="C61" s="25">
        <v>6</v>
      </c>
      <c r="L61" s="26"/>
    </row>
    <row r="62" spans="1:12" ht="15">
      <c r="A62" s="25">
        <v>6</v>
      </c>
      <c r="C62" s="25">
        <v>5</v>
      </c>
    </row>
    <row r="63" spans="1:12" ht="15">
      <c r="A63" s="25">
        <v>7</v>
      </c>
      <c r="C63" s="25">
        <v>4</v>
      </c>
    </row>
    <row r="64" spans="1:12" ht="15">
      <c r="A64" s="25">
        <v>8</v>
      </c>
      <c r="C64" s="25">
        <v>3</v>
      </c>
    </row>
    <row r="65" spans="1:11" ht="15">
      <c r="A65" s="25">
        <v>9</v>
      </c>
      <c r="C65" s="25">
        <v>2</v>
      </c>
    </row>
    <row r="66" spans="1:11" ht="15">
      <c r="A66" s="25">
        <v>10</v>
      </c>
      <c r="C66" s="25">
        <v>1</v>
      </c>
    </row>
    <row r="68" spans="1:11">
      <c r="A68" s="3" t="s">
        <v>962</v>
      </c>
    </row>
    <row r="69" spans="1:11">
      <c r="A69" s="74" t="s">
        <v>739</v>
      </c>
      <c r="B69" s="74"/>
      <c r="C69" s="74"/>
      <c r="E69" s="74" t="s">
        <v>973</v>
      </c>
      <c r="F69" s="74"/>
      <c r="G69" s="74"/>
      <c r="I69" s="74" t="s">
        <v>972</v>
      </c>
      <c r="J69" s="74"/>
      <c r="K69" s="74"/>
    </row>
    <row r="70" spans="1:11" ht="15">
      <c r="A70" s="25">
        <v>1</v>
      </c>
      <c r="B70" s="25" t="s">
        <v>917</v>
      </c>
      <c r="C70" s="25" t="s">
        <v>463</v>
      </c>
      <c r="E70" s="25" t="str" cm="1">
        <f t="array" ref="E70:G79">REVERSE_ARRAY(A70:C79,"col")</f>
        <v>A</v>
      </c>
      <c r="F70" s="25" t="str">
        <v>a</v>
      </c>
      <c r="G70" s="25">
        <v>1</v>
      </c>
      <c r="I70" s="25" t="str" cm="1">
        <f t="array" ref="I70:K79">REVERSE_ARRAY(A70:C79, "both")</f>
        <v>J</v>
      </c>
      <c r="J70" s="25" t="str">
        <v>j</v>
      </c>
      <c r="K70" s="25">
        <v>10</v>
      </c>
    </row>
    <row r="71" spans="1:11" ht="15">
      <c r="A71" s="25">
        <v>2</v>
      </c>
      <c r="B71" s="25" t="s">
        <v>918</v>
      </c>
      <c r="C71" s="25" t="s">
        <v>464</v>
      </c>
      <c r="E71" s="25" t="str">
        <v>B</v>
      </c>
      <c r="F71" s="25" t="str">
        <v>b</v>
      </c>
      <c r="G71" s="25">
        <v>2</v>
      </c>
      <c r="I71" s="25" t="str">
        <v>I</v>
      </c>
      <c r="J71" s="25" t="str">
        <v>i</v>
      </c>
      <c r="K71" s="25">
        <v>9</v>
      </c>
    </row>
    <row r="72" spans="1:11" ht="15">
      <c r="A72" s="25">
        <v>3</v>
      </c>
      <c r="B72" s="25" t="s">
        <v>963</v>
      </c>
      <c r="C72" s="25" t="s">
        <v>466</v>
      </c>
      <c r="E72" s="25" t="str">
        <v>C</v>
      </c>
      <c r="F72" s="25" t="str">
        <v>c</v>
      </c>
      <c r="G72" s="25">
        <v>3</v>
      </c>
      <c r="I72" s="25" t="str">
        <v>H</v>
      </c>
      <c r="J72" s="25" t="str">
        <v>h</v>
      </c>
      <c r="K72" s="25">
        <v>8</v>
      </c>
    </row>
    <row r="73" spans="1:11" ht="15">
      <c r="A73" s="25">
        <v>4</v>
      </c>
      <c r="B73" s="25" t="s">
        <v>919</v>
      </c>
      <c r="C73" s="25" t="s">
        <v>467</v>
      </c>
      <c r="E73" s="25" t="str">
        <v>D</v>
      </c>
      <c r="F73" s="25" t="str">
        <v>d</v>
      </c>
      <c r="G73" s="25">
        <v>4</v>
      </c>
      <c r="I73" s="25" t="str">
        <v>G</v>
      </c>
      <c r="J73" s="25" t="str">
        <v>g</v>
      </c>
      <c r="K73" s="25" t="str">
        <v/>
      </c>
    </row>
    <row r="74" spans="1:11" ht="15">
      <c r="A74" s="25">
        <v>5</v>
      </c>
      <c r="B74" s="25" t="s">
        <v>964</v>
      </c>
      <c r="C74" s="25"/>
      <c r="E74" s="25" t="str">
        <v/>
      </c>
      <c r="F74" s="25" t="str">
        <v>e</v>
      </c>
      <c r="G74" s="25">
        <v>5</v>
      </c>
      <c r="I74" s="25" t="str">
        <v>F</v>
      </c>
      <c r="J74" s="25" t="str">
        <v/>
      </c>
      <c r="K74" s="25">
        <v>6</v>
      </c>
    </row>
    <row r="75" spans="1:11" ht="15">
      <c r="A75" s="25">
        <v>6</v>
      </c>
      <c r="B75" s="25"/>
      <c r="C75" s="25" t="s">
        <v>469</v>
      </c>
      <c r="E75" s="25" t="str">
        <v>F</v>
      </c>
      <c r="F75" s="25" t="str">
        <v/>
      </c>
      <c r="G75" s="25">
        <v>6</v>
      </c>
      <c r="I75" s="25" t="str">
        <v/>
      </c>
      <c r="J75" s="25" t="str">
        <v>e</v>
      </c>
      <c r="K75" s="25">
        <v>5</v>
      </c>
    </row>
    <row r="76" spans="1:11" ht="15">
      <c r="A76" s="25"/>
      <c r="B76" s="25" t="s">
        <v>920</v>
      </c>
      <c r="C76" s="25" t="s">
        <v>968</v>
      </c>
      <c r="E76" s="25" t="str">
        <v>G</v>
      </c>
      <c r="F76" s="25" t="str">
        <v>g</v>
      </c>
      <c r="G76" s="25" t="str">
        <v/>
      </c>
      <c r="I76" s="25" t="str">
        <v>D</v>
      </c>
      <c r="J76" s="25" t="str">
        <v>d</v>
      </c>
      <c r="K76" s="25">
        <v>4</v>
      </c>
    </row>
    <row r="77" spans="1:11" ht="15">
      <c r="A77" s="25">
        <v>8</v>
      </c>
      <c r="B77" s="25" t="s">
        <v>965</v>
      </c>
      <c r="C77" s="25" t="s">
        <v>969</v>
      </c>
      <c r="E77" s="25" t="str">
        <v>H</v>
      </c>
      <c r="F77" s="25" t="str">
        <v>h</v>
      </c>
      <c r="G77" s="25">
        <v>8</v>
      </c>
      <c r="I77" s="25" t="str">
        <v>C</v>
      </c>
      <c r="J77" s="25" t="str">
        <v>c</v>
      </c>
      <c r="K77" s="25">
        <v>3</v>
      </c>
    </row>
    <row r="78" spans="1:11" ht="15">
      <c r="A78" s="25">
        <v>9</v>
      </c>
      <c r="B78" s="25" t="s">
        <v>966</v>
      </c>
      <c r="C78" s="25" t="s">
        <v>970</v>
      </c>
      <c r="E78" s="25" t="str">
        <v>I</v>
      </c>
      <c r="F78" s="25" t="str">
        <v>i</v>
      </c>
      <c r="G78" s="25">
        <v>9</v>
      </c>
      <c r="I78" s="25" t="str">
        <v>B</v>
      </c>
      <c r="J78" s="25" t="str">
        <v>b</v>
      </c>
      <c r="K78" s="25">
        <v>2</v>
      </c>
    </row>
    <row r="79" spans="1:11" ht="15">
      <c r="A79" s="25">
        <v>10</v>
      </c>
      <c r="B79" s="25" t="s">
        <v>967</v>
      </c>
      <c r="C79" s="25" t="s">
        <v>971</v>
      </c>
      <c r="E79" s="25" t="str">
        <v>J</v>
      </c>
      <c r="F79" s="25" t="str">
        <v>j</v>
      </c>
      <c r="G79" s="25">
        <v>10</v>
      </c>
      <c r="I79" s="25" t="str">
        <v>A</v>
      </c>
      <c r="J79" s="25" t="str">
        <v>a</v>
      </c>
      <c r="K79" s="25">
        <v>1</v>
      </c>
    </row>
  </sheetData>
  <mergeCells count="50">
    <mergeCell ref="A28:K28"/>
    <mergeCell ref="A18:K18"/>
    <mergeCell ref="A24:K24"/>
    <mergeCell ref="A25:K25"/>
    <mergeCell ref="A26:K26"/>
    <mergeCell ref="A27:K27"/>
    <mergeCell ref="A13:K13"/>
    <mergeCell ref="A14:K14"/>
    <mergeCell ref="A15:K15"/>
    <mergeCell ref="A2:K2"/>
    <mergeCell ref="A3:K3"/>
    <mergeCell ref="A4:K4"/>
    <mergeCell ref="A7:K7"/>
    <mergeCell ref="A8:K8"/>
    <mergeCell ref="A9:K9"/>
    <mergeCell ref="A10:K10"/>
    <mergeCell ref="A11:K11"/>
    <mergeCell ref="A12:K12"/>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H84" sqref="H84"/>
    </sheetView>
  </sheetViews>
  <sheetFormatPr defaultColWidth="9.125" defaultRowHeight="14.25"/>
  <cols>
    <col min="1" max="16384" width="9.125" style="2"/>
  </cols>
  <sheetData>
    <row r="1" spans="1:11">
      <c r="A1" s="3" t="s">
        <v>921</v>
      </c>
    </row>
    <row r="2" spans="1:11">
      <c r="A2" s="65" t="s">
        <v>1268</v>
      </c>
      <c r="B2" s="65"/>
      <c r="C2" s="65"/>
      <c r="D2" s="65"/>
      <c r="E2" s="65"/>
      <c r="F2" s="65"/>
      <c r="G2" s="65"/>
      <c r="H2" s="65"/>
      <c r="I2" s="65"/>
      <c r="J2" s="65"/>
      <c r="K2" s="65"/>
    </row>
    <row r="3" spans="1:11">
      <c r="A3" s="65" t="s">
        <v>1269</v>
      </c>
      <c r="B3" s="65"/>
      <c r="C3" s="65"/>
      <c r="D3" s="65"/>
      <c r="E3" s="65"/>
      <c r="F3" s="65"/>
      <c r="G3" s="65"/>
      <c r="H3" s="65"/>
      <c r="I3" s="65"/>
      <c r="J3" s="65"/>
      <c r="K3" s="65"/>
    </row>
    <row r="4" spans="1:11">
      <c r="A4" s="65" t="s">
        <v>1270</v>
      </c>
      <c r="B4" s="65"/>
      <c r="C4" s="65"/>
      <c r="D4" s="65"/>
      <c r="E4" s="65"/>
      <c r="F4" s="65"/>
      <c r="G4" s="65"/>
      <c r="H4" s="65"/>
      <c r="I4" s="65"/>
      <c r="J4" s="65"/>
      <c r="K4" s="65"/>
    </row>
    <row r="5" spans="1:11">
      <c r="A5" s="65" t="s">
        <v>1271</v>
      </c>
      <c r="B5" s="65"/>
      <c r="C5" s="65"/>
      <c r="D5" s="65"/>
      <c r="E5" s="65"/>
      <c r="F5" s="65"/>
      <c r="G5" s="65"/>
      <c r="H5" s="65"/>
      <c r="I5" s="65"/>
      <c r="J5" s="65"/>
      <c r="K5" s="65"/>
    </row>
    <row r="7" spans="1:11">
      <c r="A7" s="3" t="s">
        <v>1</v>
      </c>
    </row>
    <row r="8" spans="1:11">
      <c r="A8" s="65" t="s">
        <v>1272</v>
      </c>
      <c r="B8" s="65"/>
      <c r="C8" s="65"/>
      <c r="D8" s="65"/>
      <c r="E8" s="65"/>
      <c r="F8" s="65"/>
      <c r="G8" s="65"/>
      <c r="H8" s="65"/>
      <c r="I8" s="65"/>
      <c r="J8" s="65"/>
      <c r="K8" s="65"/>
    </row>
    <row r="9" spans="1:11">
      <c r="A9" s="75" t="s">
        <v>1280</v>
      </c>
      <c r="B9" s="75"/>
      <c r="C9" s="75"/>
      <c r="D9" s="75"/>
      <c r="E9" s="75"/>
      <c r="F9" s="75"/>
      <c r="G9" s="75"/>
      <c r="H9" s="75"/>
      <c r="I9" s="75"/>
      <c r="J9" s="75"/>
      <c r="K9" s="75"/>
    </row>
    <row r="10" spans="1:11">
      <c r="A10" s="65" t="s">
        <v>1031</v>
      </c>
      <c r="B10" s="65"/>
      <c r="C10" s="65"/>
      <c r="D10" s="65"/>
      <c r="E10" s="65"/>
      <c r="F10" s="65"/>
      <c r="G10" s="65"/>
      <c r="H10" s="65"/>
      <c r="I10" s="65"/>
      <c r="J10" s="65"/>
      <c r="K10" s="65"/>
    </row>
    <row r="11" spans="1:11">
      <c r="A11" s="75" t="s">
        <v>1273</v>
      </c>
      <c r="B11" s="75"/>
      <c r="C11" s="75"/>
      <c r="D11" s="75"/>
      <c r="E11" s="75"/>
      <c r="F11" s="75"/>
      <c r="G11" s="75"/>
      <c r="H11" s="75"/>
      <c r="I11" s="75"/>
      <c r="J11" s="75"/>
      <c r="K11" s="75"/>
    </row>
    <row r="12" spans="1:11">
      <c r="A12" s="75" t="s">
        <v>1274</v>
      </c>
      <c r="B12" s="75"/>
      <c r="C12" s="75"/>
      <c r="D12" s="75"/>
      <c r="E12" s="75"/>
      <c r="F12" s="75"/>
      <c r="G12" s="75"/>
      <c r="H12" s="75"/>
      <c r="I12" s="75"/>
      <c r="J12" s="75"/>
      <c r="K12" s="75"/>
    </row>
    <row r="13" spans="1:11">
      <c r="A13" s="75" t="s">
        <v>1275</v>
      </c>
      <c r="B13" s="75"/>
      <c r="C13" s="75"/>
      <c r="D13" s="75"/>
      <c r="E13" s="75"/>
      <c r="F13" s="75"/>
      <c r="G13" s="75"/>
      <c r="H13" s="75"/>
      <c r="I13" s="75"/>
      <c r="J13" s="75"/>
      <c r="K13" s="75"/>
    </row>
    <row r="14" spans="1:11">
      <c r="A14" s="75" t="s">
        <v>1276</v>
      </c>
      <c r="B14" s="75"/>
      <c r="C14" s="75"/>
      <c r="D14" s="75"/>
      <c r="E14" s="75"/>
      <c r="F14" s="75"/>
      <c r="G14" s="75"/>
      <c r="H14" s="75"/>
      <c r="I14" s="75"/>
      <c r="J14" s="75"/>
      <c r="K14" s="75"/>
    </row>
    <row r="15" spans="1:11">
      <c r="A15" s="75" t="s">
        <v>1277</v>
      </c>
      <c r="B15" s="75"/>
      <c r="C15" s="75"/>
      <c r="D15" s="75"/>
      <c r="E15" s="75"/>
      <c r="F15" s="75"/>
      <c r="G15" s="75"/>
      <c r="H15" s="75"/>
      <c r="I15" s="75"/>
      <c r="J15" s="75"/>
      <c r="K15" s="75"/>
    </row>
    <row r="16" spans="1:11">
      <c r="A16" s="65" t="s">
        <v>983</v>
      </c>
      <c r="B16" s="65"/>
      <c r="C16" s="65"/>
      <c r="D16" s="65"/>
      <c r="E16" s="65"/>
      <c r="F16" s="65"/>
      <c r="G16" s="65"/>
      <c r="H16" s="65"/>
      <c r="I16" s="65"/>
      <c r="J16" s="65"/>
      <c r="K16" s="65"/>
    </row>
    <row r="17" spans="1:11">
      <c r="A17" s="75" t="s">
        <v>1219</v>
      </c>
      <c r="B17" s="75"/>
      <c r="C17" s="75"/>
      <c r="D17" s="75"/>
      <c r="E17" s="75"/>
      <c r="F17" s="75"/>
      <c r="G17" s="75"/>
      <c r="H17" s="75"/>
      <c r="I17" s="75"/>
      <c r="J17" s="75"/>
      <c r="K17" s="75"/>
    </row>
    <row r="18" spans="1:11">
      <c r="A18" s="75" t="s">
        <v>1278</v>
      </c>
      <c r="B18" s="75"/>
      <c r="C18" s="75"/>
      <c r="D18" s="75"/>
      <c r="E18" s="75"/>
      <c r="F18" s="75"/>
      <c r="G18" s="75"/>
      <c r="H18" s="75"/>
      <c r="I18" s="75"/>
      <c r="J18" s="75"/>
      <c r="K18" s="75"/>
    </row>
    <row r="19" spans="1:11">
      <c r="A19" s="75" t="s">
        <v>1221</v>
      </c>
      <c r="B19" s="75"/>
      <c r="C19" s="75"/>
      <c r="D19" s="75"/>
      <c r="E19" s="75"/>
      <c r="F19" s="75"/>
      <c r="G19" s="75"/>
      <c r="H19" s="75"/>
      <c r="I19" s="75"/>
      <c r="J19" s="75"/>
      <c r="K19" s="75"/>
    </row>
    <row r="20" spans="1:11">
      <c r="A20" s="75" t="s">
        <v>1222</v>
      </c>
      <c r="B20" s="75"/>
      <c r="C20" s="75"/>
      <c r="D20" s="75"/>
      <c r="E20" s="75"/>
      <c r="F20" s="75"/>
      <c r="G20" s="75"/>
      <c r="H20" s="75"/>
      <c r="I20" s="75"/>
      <c r="J20" s="75"/>
      <c r="K20" s="75"/>
    </row>
    <row r="21" spans="1:11">
      <c r="A21" s="75" t="s">
        <v>1279</v>
      </c>
      <c r="B21" s="75"/>
      <c r="C21" s="75"/>
      <c r="D21" s="75"/>
      <c r="E21" s="75"/>
      <c r="F21" s="75"/>
      <c r="G21" s="75"/>
      <c r="H21" s="75"/>
      <c r="I21" s="75"/>
      <c r="J21" s="75"/>
      <c r="K21" s="75"/>
    </row>
    <row r="23" spans="1:11">
      <c r="A23" s="3" t="s">
        <v>1281</v>
      </c>
    </row>
    <row r="24" spans="1:11">
      <c r="A24" s="66" t="s">
        <v>1286</v>
      </c>
      <c r="B24" s="66"/>
      <c r="C24" s="66"/>
      <c r="D24" s="66"/>
      <c r="E24" s="66"/>
      <c r="F24" s="66"/>
      <c r="G24" s="66"/>
      <c r="H24" s="66"/>
      <c r="I24" s="66"/>
      <c r="J24" s="66"/>
      <c r="K24" s="66"/>
    </row>
    <row r="25" spans="1:11">
      <c r="A25" s="67" t="s">
        <v>616</v>
      </c>
      <c r="B25" s="67"/>
      <c r="C25" s="67"/>
      <c r="D25" s="67"/>
      <c r="E25" s="67"/>
      <c r="F25" s="67"/>
      <c r="G25" s="67"/>
      <c r="H25" s="67"/>
      <c r="I25" s="67"/>
      <c r="J25" s="67"/>
      <c r="K25" s="67"/>
    </row>
    <row r="26" spans="1:11">
      <c r="A26" s="67" t="s">
        <v>1226</v>
      </c>
      <c r="B26" s="67"/>
      <c r="C26" s="67"/>
      <c r="D26" s="67"/>
      <c r="E26" s="67"/>
      <c r="F26" s="67"/>
      <c r="G26" s="67"/>
      <c r="H26" s="67"/>
      <c r="I26" s="67"/>
      <c r="J26" s="67"/>
      <c r="K26" s="67"/>
    </row>
    <row r="27" spans="1:11">
      <c r="A27" s="67" t="s">
        <v>1227</v>
      </c>
      <c r="B27" s="67"/>
      <c r="C27" s="67"/>
      <c r="D27" s="67"/>
      <c r="E27" s="67"/>
      <c r="F27" s="67"/>
      <c r="G27" s="67"/>
      <c r="H27" s="67"/>
      <c r="I27" s="67"/>
      <c r="J27" s="67"/>
      <c r="K27" s="67"/>
    </row>
    <row r="28" spans="1:11">
      <c r="A28" s="67" t="s">
        <v>1232</v>
      </c>
      <c r="B28" s="67"/>
      <c r="C28" s="67"/>
      <c r="D28" s="67"/>
      <c r="E28" s="67"/>
      <c r="F28" s="67"/>
      <c r="G28" s="67"/>
      <c r="H28" s="67"/>
      <c r="I28" s="67"/>
      <c r="J28" s="67"/>
      <c r="K28" s="67"/>
    </row>
    <row r="29" spans="1:11">
      <c r="A29" s="67" t="s">
        <v>1233</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1282</v>
      </c>
      <c r="B34" s="67"/>
      <c r="C34" s="67"/>
      <c r="D34" s="67"/>
      <c r="E34" s="67"/>
      <c r="F34" s="67"/>
      <c r="G34" s="67"/>
      <c r="H34" s="67"/>
      <c r="I34" s="67"/>
      <c r="J34" s="67"/>
      <c r="K34" s="67"/>
    </row>
    <row r="35" spans="1:11">
      <c r="A35" s="67" t="s">
        <v>1230</v>
      </c>
      <c r="B35" s="67"/>
      <c r="C35" s="67"/>
      <c r="D35" s="67"/>
      <c r="E35" s="67"/>
      <c r="F35" s="67"/>
      <c r="G35" s="67"/>
      <c r="H35" s="67"/>
      <c r="I35" s="67"/>
      <c r="J35" s="67"/>
      <c r="K35" s="67"/>
    </row>
    <row r="36" spans="1:11">
      <c r="A36" s="67" t="s">
        <v>1283</v>
      </c>
      <c r="B36" s="67"/>
      <c r="C36" s="67"/>
      <c r="D36" s="67"/>
      <c r="E36" s="67"/>
      <c r="F36" s="67"/>
      <c r="G36" s="67"/>
      <c r="H36" s="67"/>
      <c r="I36" s="67"/>
      <c r="J36" s="67"/>
      <c r="K36" s="67"/>
    </row>
    <row r="37" spans="1:11">
      <c r="A37" s="67" t="s">
        <v>146</v>
      </c>
      <c r="B37" s="67"/>
      <c r="C37" s="67"/>
      <c r="D37" s="67"/>
      <c r="E37" s="67"/>
      <c r="F37" s="67"/>
      <c r="G37" s="67"/>
      <c r="H37" s="67"/>
      <c r="I37" s="67"/>
      <c r="J37" s="67"/>
      <c r="K37" s="67"/>
    </row>
    <row r="38" spans="1:11">
      <c r="A38" s="67" t="s">
        <v>77</v>
      </c>
      <c r="B38" s="67"/>
      <c r="C38" s="67"/>
      <c r="D38" s="67"/>
      <c r="E38" s="67"/>
      <c r="F38" s="67"/>
      <c r="G38" s="67"/>
      <c r="H38" s="67"/>
      <c r="I38" s="67"/>
      <c r="J38" s="67"/>
      <c r="K38" s="67"/>
    </row>
    <row r="39" spans="1:11">
      <c r="A39" s="67" t="s">
        <v>147</v>
      </c>
      <c r="B39" s="67"/>
      <c r="C39" s="67"/>
      <c r="D39" s="67"/>
      <c r="E39" s="67"/>
      <c r="F39" s="67"/>
      <c r="G39" s="67"/>
      <c r="H39" s="67"/>
      <c r="I39" s="67"/>
      <c r="J39" s="67"/>
      <c r="K39" s="67"/>
    </row>
    <row r="40" spans="1:11">
      <c r="A40" s="67" t="s">
        <v>148</v>
      </c>
      <c r="B40" s="67"/>
      <c r="C40" s="67"/>
      <c r="D40" s="67"/>
      <c r="E40" s="67"/>
      <c r="F40" s="67"/>
      <c r="G40" s="67"/>
      <c r="H40" s="67"/>
      <c r="I40" s="67"/>
      <c r="J40" s="67"/>
      <c r="K40" s="67"/>
    </row>
    <row r="41" spans="1:11">
      <c r="A41" s="67" t="s">
        <v>1284</v>
      </c>
      <c r="B41" s="67"/>
      <c r="C41" s="67"/>
      <c r="D41" s="67"/>
      <c r="E41" s="67"/>
      <c r="F41" s="67"/>
      <c r="G41" s="67"/>
      <c r="H41" s="67"/>
      <c r="I41" s="67"/>
      <c r="J41" s="67"/>
      <c r="K41" s="67"/>
    </row>
    <row r="42" spans="1:11">
      <c r="A42" s="67" t="s">
        <v>1285</v>
      </c>
      <c r="B42" s="67"/>
      <c r="C42" s="67"/>
      <c r="D42" s="67"/>
      <c r="E42" s="67"/>
      <c r="F42" s="67"/>
      <c r="G42" s="67"/>
      <c r="H42" s="67"/>
      <c r="I42" s="67"/>
      <c r="J42" s="67"/>
      <c r="K42" s="67"/>
    </row>
    <row r="43" spans="1:11">
      <c r="A43" s="67" t="s">
        <v>177</v>
      </c>
      <c r="B43" s="67"/>
      <c r="C43" s="67"/>
      <c r="D43" s="67"/>
      <c r="E43" s="67"/>
      <c r="F43" s="67"/>
      <c r="G43" s="67"/>
      <c r="H43" s="67"/>
      <c r="I43" s="67"/>
      <c r="J43" s="67"/>
      <c r="K43" s="67"/>
    </row>
    <row r="44" spans="1:11">
      <c r="A44" s="67" t="s">
        <v>97</v>
      </c>
      <c r="B44" s="67"/>
      <c r="C44" s="67"/>
      <c r="D44" s="67"/>
      <c r="E44" s="67"/>
      <c r="F44" s="67"/>
      <c r="G44" s="67"/>
      <c r="H44" s="67"/>
      <c r="I44" s="67"/>
      <c r="J44" s="67"/>
      <c r="K44" s="67"/>
    </row>
    <row r="46" spans="1:11">
      <c r="A46" s="3" t="s">
        <v>213</v>
      </c>
    </row>
    <row r="47" spans="1:11">
      <c r="A47" s="63" t="s">
        <v>188</v>
      </c>
      <c r="B47" s="63"/>
      <c r="C47" s="64" t="s">
        <v>2</v>
      </c>
      <c r="D47" s="64"/>
      <c r="E47" s="64"/>
      <c r="F47" s="64"/>
      <c r="G47" s="64"/>
      <c r="H47" s="64"/>
      <c r="I47" s="64"/>
      <c r="J47" s="64"/>
      <c r="K47" s="64"/>
    </row>
    <row r="48" spans="1:11">
      <c r="A48" s="59" t="s">
        <v>939</v>
      </c>
      <c r="B48" s="59"/>
      <c r="C48" s="62" t="s">
        <v>1245</v>
      </c>
      <c r="D48" s="62"/>
      <c r="E48" s="62"/>
      <c r="F48" s="62"/>
      <c r="G48" s="62"/>
      <c r="H48" s="62"/>
      <c r="I48" s="62"/>
      <c r="J48" s="62"/>
      <c r="K48" s="62"/>
    </row>
    <row r="49" spans="1:11" ht="31.5" customHeight="1">
      <c r="A49" s="59" t="s">
        <v>1244</v>
      </c>
      <c r="B49" s="59"/>
      <c r="C49" s="62" t="s">
        <v>1287</v>
      </c>
      <c r="D49" s="62"/>
      <c r="E49" s="62"/>
      <c r="F49" s="62"/>
      <c r="G49" s="62"/>
      <c r="H49" s="62"/>
      <c r="I49" s="62"/>
      <c r="J49" s="62"/>
      <c r="K49" s="62"/>
    </row>
    <row r="51" spans="1:11">
      <c r="A51" s="3" t="s">
        <v>1189</v>
      </c>
    </row>
    <row r="52" spans="1:11">
      <c r="A52" s="63" t="s">
        <v>1053</v>
      </c>
      <c r="B52" s="63"/>
      <c r="C52" s="64" t="s">
        <v>1054</v>
      </c>
      <c r="D52" s="64"/>
      <c r="E52" s="64"/>
      <c r="F52" s="64"/>
      <c r="G52" s="64"/>
      <c r="H52" s="64"/>
      <c r="I52" s="64"/>
      <c r="J52" s="64"/>
      <c r="K52" s="64"/>
    </row>
    <row r="53" spans="1:11">
      <c r="A53" s="61" t="s">
        <v>1247</v>
      </c>
      <c r="B53" s="61"/>
      <c r="C53" s="62" t="s">
        <v>1248</v>
      </c>
      <c r="D53" s="62"/>
      <c r="E53" s="62"/>
      <c r="F53" s="62"/>
      <c r="G53" s="62"/>
      <c r="H53" s="62"/>
      <c r="I53" s="62"/>
      <c r="J53" s="62"/>
      <c r="K53" s="62"/>
    </row>
    <row r="54" spans="1:11">
      <c r="A54" s="61" t="s">
        <v>1249</v>
      </c>
      <c r="B54" s="61"/>
      <c r="C54" s="62" t="s">
        <v>1250</v>
      </c>
      <c r="D54" s="62"/>
      <c r="E54" s="62"/>
      <c r="F54" s="62"/>
      <c r="G54" s="62"/>
      <c r="H54" s="62"/>
      <c r="I54" s="62"/>
      <c r="J54" s="62"/>
      <c r="K54" s="62"/>
    </row>
    <row r="55" spans="1:11">
      <c r="A55" s="61" t="s">
        <v>1288</v>
      </c>
      <c r="B55" s="61"/>
      <c r="C55" s="62" t="s">
        <v>1289</v>
      </c>
      <c r="D55" s="62"/>
      <c r="E55" s="62"/>
      <c r="F55" s="62"/>
      <c r="G55" s="62"/>
      <c r="H55" s="62"/>
      <c r="I55" s="62"/>
      <c r="J55" s="62"/>
      <c r="K55" s="62"/>
    </row>
    <row r="56" spans="1:11">
      <c r="A56" s="61" t="s">
        <v>1251</v>
      </c>
      <c r="B56" s="61"/>
      <c r="C56" s="62" t="s">
        <v>1252</v>
      </c>
      <c r="D56" s="62"/>
      <c r="E56" s="62"/>
      <c r="F56" s="62"/>
      <c r="G56" s="62"/>
      <c r="H56" s="62"/>
      <c r="I56" s="62"/>
      <c r="J56" s="62"/>
      <c r="K56" s="62"/>
    </row>
    <row r="58" spans="1:11">
      <c r="A58" s="3" t="s">
        <v>224</v>
      </c>
    </row>
    <row r="59" spans="1:11">
      <c r="A59" s="65" t="s">
        <v>1292</v>
      </c>
      <c r="B59" s="65"/>
      <c r="C59" s="65"/>
      <c r="D59" s="65"/>
      <c r="E59" s="65"/>
      <c r="F59" s="65"/>
      <c r="G59" s="65"/>
      <c r="H59" s="65"/>
      <c r="I59" s="65"/>
      <c r="J59" s="65"/>
      <c r="K59" s="65"/>
    </row>
    <row r="60" spans="1:11">
      <c r="A60" s="65" t="s">
        <v>1254</v>
      </c>
      <c r="B60" s="65"/>
      <c r="C60" s="65"/>
      <c r="D60" s="65"/>
      <c r="E60" s="65"/>
      <c r="F60" s="65"/>
      <c r="G60" s="65"/>
      <c r="H60" s="65"/>
      <c r="I60" s="65"/>
      <c r="J60" s="65"/>
      <c r="K60" s="65"/>
    </row>
    <row r="61" spans="1:11">
      <c r="A61" s="65" t="s">
        <v>1255</v>
      </c>
      <c r="B61" s="65"/>
      <c r="C61" s="65"/>
      <c r="D61" s="65"/>
      <c r="E61" s="65"/>
      <c r="F61" s="65"/>
      <c r="G61" s="65"/>
      <c r="H61" s="65"/>
      <c r="I61" s="65"/>
      <c r="J61" s="65"/>
      <c r="K61" s="65"/>
    </row>
    <row r="62" spans="1:11">
      <c r="A62" s="65" t="s">
        <v>1290</v>
      </c>
      <c r="B62" s="65"/>
      <c r="C62" s="65"/>
      <c r="D62" s="65"/>
      <c r="E62" s="65"/>
      <c r="F62" s="65"/>
      <c r="G62" s="65"/>
      <c r="H62" s="65"/>
      <c r="I62" s="65"/>
      <c r="J62" s="65"/>
      <c r="K62" s="65"/>
    </row>
    <row r="63" spans="1:11">
      <c r="A63" s="65" t="s">
        <v>1291</v>
      </c>
      <c r="B63" s="65"/>
      <c r="C63" s="65"/>
      <c r="D63" s="65"/>
      <c r="E63" s="65"/>
      <c r="F63" s="65"/>
      <c r="G63" s="65"/>
      <c r="H63" s="65"/>
      <c r="I63" s="65"/>
      <c r="J63" s="65"/>
      <c r="K63" s="65"/>
    </row>
    <row r="65" spans="1:11">
      <c r="A65" s="3" t="s">
        <v>519</v>
      </c>
    </row>
    <row r="66" spans="1:11">
      <c r="A66" s="65" t="s">
        <v>1081</v>
      </c>
      <c r="B66" s="65"/>
      <c r="C66" s="65"/>
      <c r="D66" s="65"/>
      <c r="E66" s="65"/>
      <c r="F66" s="65"/>
      <c r="G66" s="65"/>
      <c r="H66" s="65"/>
      <c r="I66" s="65"/>
      <c r="J66" s="65"/>
      <c r="K66" s="65"/>
    </row>
    <row r="67" spans="1:11">
      <c r="A67" s="75" t="s">
        <v>1293</v>
      </c>
      <c r="B67" s="75"/>
      <c r="C67" s="75"/>
      <c r="D67" s="75"/>
      <c r="E67" s="75"/>
      <c r="F67" s="75"/>
      <c r="G67" s="75"/>
      <c r="H67" s="75"/>
      <c r="I67" s="75"/>
      <c r="J67" s="75"/>
      <c r="K67" s="75"/>
    </row>
    <row r="68" spans="1:11">
      <c r="A68" s="65" t="s">
        <v>1262</v>
      </c>
      <c r="B68" s="65"/>
      <c r="C68" s="65"/>
      <c r="D68" s="65"/>
      <c r="E68" s="65"/>
      <c r="F68" s="65"/>
      <c r="G68" s="65"/>
      <c r="H68" s="65"/>
      <c r="I68" s="65"/>
      <c r="J68" s="65"/>
      <c r="K68" s="65"/>
    </row>
    <row r="69" spans="1:11">
      <c r="A69" s="75" t="s">
        <v>1260</v>
      </c>
      <c r="B69" s="75"/>
      <c r="C69" s="75"/>
      <c r="D69" s="75"/>
      <c r="E69" s="75"/>
      <c r="F69" s="75"/>
      <c r="G69" s="75"/>
      <c r="H69" s="75"/>
      <c r="I69" s="75"/>
      <c r="J69" s="75"/>
      <c r="K69" s="75"/>
    </row>
    <row r="71" spans="1:11">
      <c r="A71" s="3" t="s">
        <v>1206</v>
      </c>
    </row>
    <row r="72" spans="1:11">
      <c r="A72" s="3"/>
    </row>
    <row r="73" spans="1:11">
      <c r="A73" s="74" t="s">
        <v>1297</v>
      </c>
      <c r="B73" s="74"/>
      <c r="C73" s="74"/>
      <c r="D73" s="74"/>
      <c r="F73" s="11" t="s">
        <v>463</v>
      </c>
      <c r="G73" s="11" t="s">
        <v>464</v>
      </c>
      <c r="H73" s="11" t="s">
        <v>466</v>
      </c>
      <c r="I73" s="11" t="s">
        <v>467</v>
      </c>
      <c r="J73" s="11" t="s">
        <v>468</v>
      </c>
    </row>
    <row r="74" spans="1:11">
      <c r="A74" s="29" t="s">
        <v>463</v>
      </c>
      <c r="B74" s="80" t="s">
        <v>1266</v>
      </c>
      <c r="C74" s="80"/>
      <c r="D74" s="80"/>
      <c r="F74" s="13">
        <v>13.083136706429601</v>
      </c>
      <c r="G74" s="13">
        <v>13.083136706429601</v>
      </c>
      <c r="H74" s="13">
        <v>13.083136706429601</v>
      </c>
      <c r="I74" s="13">
        <v>10</v>
      </c>
      <c r="J74" s="13">
        <v>1</v>
      </c>
    </row>
    <row r="75" spans="1:11">
      <c r="A75" s="29" t="s">
        <v>464</v>
      </c>
      <c r="B75" s="80" t="s">
        <v>1295</v>
      </c>
      <c r="C75" s="80"/>
      <c r="D75" s="80"/>
      <c r="F75" s="13">
        <v>14.086882845995069</v>
      </c>
      <c r="G75" s="13">
        <v>14.086882845995069</v>
      </c>
      <c r="H75" s="13">
        <v>14.086882845995069</v>
      </c>
      <c r="I75" s="13">
        <v>10</v>
      </c>
      <c r="J75" s="13">
        <v>1</v>
      </c>
    </row>
    <row r="76" spans="1:11">
      <c r="A76" s="29" t="s">
        <v>466</v>
      </c>
      <c r="B76" s="80" t="s">
        <v>1294</v>
      </c>
      <c r="C76" s="80"/>
      <c r="D76" s="80"/>
      <c r="F76" s="13">
        <v>10.795379732776285</v>
      </c>
      <c r="G76" s="13">
        <v>10.795379732776285</v>
      </c>
      <c r="H76" s="13">
        <v>10.795379732776285</v>
      </c>
      <c r="I76" s="13">
        <v>10</v>
      </c>
      <c r="J76" s="13">
        <v>1</v>
      </c>
    </row>
    <row r="77" spans="1:11">
      <c r="A77" s="29" t="s">
        <v>467</v>
      </c>
      <c r="B77" s="80" t="s">
        <v>1267</v>
      </c>
      <c r="C77" s="80"/>
      <c r="D77" s="80"/>
      <c r="F77" s="13">
        <v>14.130556753068415</v>
      </c>
      <c r="G77" s="13">
        <v>14.130556753068415</v>
      </c>
      <c r="H77" s="13">
        <v>14.130556753068415</v>
      </c>
      <c r="I77" s="13">
        <v>10</v>
      </c>
      <c r="J77" s="13">
        <v>1</v>
      </c>
    </row>
    <row r="78" spans="1:11">
      <c r="A78" s="29" t="s">
        <v>468</v>
      </c>
      <c r="B78" s="80" t="s">
        <v>1296</v>
      </c>
      <c r="C78" s="80"/>
      <c r="D78" s="80"/>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1298</v>
      </c>
      <c r="H80" s="13" t="s">
        <v>1298</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1209</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5:K25"/>
    <mergeCell ref="A26:K26"/>
    <mergeCell ref="A27:K27"/>
    <mergeCell ref="A28:K28"/>
    <mergeCell ref="A29:K29"/>
    <mergeCell ref="A30:K30"/>
    <mergeCell ref="A49:B49"/>
    <mergeCell ref="C49:K49"/>
    <mergeCell ref="A52:B52"/>
    <mergeCell ref="C52:K52"/>
    <mergeCell ref="A31:K31"/>
    <mergeCell ref="A32:K32"/>
    <mergeCell ref="A33:K33"/>
    <mergeCell ref="A34:K34"/>
    <mergeCell ref="A35:K35"/>
    <mergeCell ref="A53:B53"/>
    <mergeCell ref="C53:K53"/>
    <mergeCell ref="A54:B54"/>
    <mergeCell ref="C54:K54"/>
    <mergeCell ref="A56:B56"/>
    <mergeCell ref="C56:K56"/>
    <mergeCell ref="A55:B55"/>
    <mergeCell ref="C55:K55"/>
    <mergeCell ref="A66:K66"/>
    <mergeCell ref="A67:K67"/>
    <mergeCell ref="A68:K68"/>
    <mergeCell ref="A69:K69"/>
    <mergeCell ref="A59:K59"/>
    <mergeCell ref="A60:K60"/>
    <mergeCell ref="A61:K61"/>
    <mergeCell ref="A62:K62"/>
    <mergeCell ref="A63:K63"/>
    <mergeCell ref="B77:D77"/>
    <mergeCell ref="B78:D78"/>
    <mergeCell ref="A73:D73"/>
    <mergeCell ref="B74:D74"/>
    <mergeCell ref="B75:D75"/>
    <mergeCell ref="B76:D7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00" zoomScaleNormal="100" workbookViewId="0">
      <selection activeCell="C221" sqref="C221"/>
    </sheetView>
  </sheetViews>
  <sheetFormatPr defaultColWidth="9.125" defaultRowHeight="14.25"/>
  <cols>
    <col min="1" max="1" width="10.75" style="2" customWidth="1"/>
    <col min="2" max="10" width="9.125" style="2"/>
    <col min="11" max="11" width="10.375" style="2" bestFit="1" customWidth="1"/>
    <col min="12" max="16384" width="9.125" style="2"/>
  </cols>
  <sheetData>
    <row r="1" spans="1:11">
      <c r="A1" s="3" t="s">
        <v>336</v>
      </c>
      <c r="K1" s="17">
        <v>46182</v>
      </c>
    </row>
    <row r="2" spans="1:11">
      <c r="A2" s="65" t="s">
        <v>338</v>
      </c>
      <c r="B2" s="65"/>
      <c r="C2" s="65"/>
      <c r="D2" s="65"/>
      <c r="E2" s="65"/>
      <c r="F2" s="65"/>
      <c r="G2" s="65"/>
      <c r="H2" s="65"/>
      <c r="I2" s="65"/>
      <c r="J2" s="65"/>
      <c r="K2" s="65"/>
    </row>
    <row r="3" spans="1:11">
      <c r="A3" s="65" t="s">
        <v>339</v>
      </c>
      <c r="B3" s="65"/>
      <c r="C3" s="65"/>
      <c r="D3" s="65"/>
      <c r="E3" s="65"/>
      <c r="F3" s="65"/>
      <c r="G3" s="65"/>
      <c r="H3" s="65"/>
      <c r="I3" s="65"/>
      <c r="J3" s="65"/>
      <c r="K3" s="65"/>
    </row>
    <row r="4" spans="1:11">
      <c r="A4" s="65" t="s">
        <v>340</v>
      </c>
      <c r="B4" s="65"/>
      <c r="C4" s="65"/>
      <c r="D4" s="65"/>
      <c r="E4" s="65"/>
      <c r="F4" s="65"/>
      <c r="G4" s="65"/>
      <c r="H4" s="65"/>
      <c r="I4" s="65"/>
      <c r="J4" s="65"/>
      <c r="K4" s="65"/>
    </row>
    <row r="6" spans="1:11">
      <c r="A6" s="3" t="s">
        <v>1</v>
      </c>
    </row>
    <row r="7" spans="1:11" ht="15">
      <c r="A7" s="65" t="s">
        <v>343</v>
      </c>
      <c r="B7" s="65"/>
      <c r="C7" s="65"/>
      <c r="D7" s="65"/>
      <c r="E7" s="65"/>
      <c r="F7" s="65"/>
      <c r="G7" s="65"/>
      <c r="H7" s="65"/>
      <c r="I7" s="65"/>
      <c r="J7" s="65"/>
      <c r="K7" s="65"/>
    </row>
    <row r="8" spans="1:11">
      <c r="A8" s="65" t="s">
        <v>341</v>
      </c>
      <c r="B8" s="65"/>
      <c r="C8" s="65"/>
      <c r="D8" s="65"/>
      <c r="E8" s="65"/>
      <c r="F8" s="65"/>
      <c r="G8" s="65"/>
      <c r="H8" s="65"/>
      <c r="I8" s="65"/>
      <c r="J8" s="65"/>
      <c r="K8" s="65"/>
    </row>
    <row r="9" spans="1:11">
      <c r="A9" s="65" t="s">
        <v>342</v>
      </c>
      <c r="B9" s="65"/>
      <c r="C9" s="65"/>
      <c r="D9" s="65"/>
      <c r="E9" s="65"/>
      <c r="F9" s="65"/>
      <c r="G9" s="65"/>
      <c r="H9" s="65"/>
      <c r="I9" s="65"/>
      <c r="J9" s="65"/>
      <c r="K9" s="65"/>
    </row>
    <row r="11" spans="1:11">
      <c r="A11" s="3" t="s">
        <v>220</v>
      </c>
    </row>
    <row r="12" spans="1:11">
      <c r="A12" s="66" t="s">
        <v>335</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241</v>
      </c>
      <c r="B14" s="67"/>
      <c r="C14" s="67"/>
      <c r="D14" s="67"/>
      <c r="E14" s="67"/>
      <c r="F14" s="67"/>
      <c r="G14" s="67"/>
      <c r="H14" s="67"/>
      <c r="I14" s="67"/>
      <c r="J14" s="67"/>
      <c r="K14" s="67"/>
    </row>
    <row r="15" spans="1:11">
      <c r="A15" s="67" t="s">
        <v>242</v>
      </c>
      <c r="B15" s="67"/>
      <c r="C15" s="67"/>
      <c r="D15" s="67"/>
      <c r="E15" s="67"/>
      <c r="F15" s="67"/>
      <c r="G15" s="67"/>
      <c r="H15" s="67"/>
      <c r="I15" s="67"/>
      <c r="J15" s="67"/>
      <c r="K15" s="67"/>
    </row>
    <row r="16" spans="1:11">
      <c r="A16" s="67" t="s">
        <v>243</v>
      </c>
      <c r="B16" s="67"/>
      <c r="C16" s="67"/>
      <c r="D16" s="67"/>
      <c r="E16" s="67"/>
      <c r="F16" s="67"/>
      <c r="G16" s="67"/>
      <c r="H16" s="67"/>
      <c r="I16" s="67"/>
      <c r="J16" s="67"/>
      <c r="K16" s="67"/>
    </row>
    <row r="17" spans="1:11">
      <c r="A17" s="67" t="s">
        <v>244</v>
      </c>
      <c r="B17" s="67"/>
      <c r="C17" s="67"/>
      <c r="D17" s="67"/>
      <c r="E17" s="67"/>
      <c r="F17" s="67"/>
      <c r="G17" s="67"/>
      <c r="H17" s="67"/>
      <c r="I17" s="67"/>
      <c r="J17" s="67"/>
      <c r="K17" s="67"/>
    </row>
    <row r="18" spans="1:11">
      <c r="A18" s="67" t="s">
        <v>77</v>
      </c>
      <c r="B18" s="67"/>
      <c r="C18" s="67"/>
      <c r="D18" s="67"/>
      <c r="E18" s="67"/>
      <c r="F18" s="67"/>
      <c r="G18" s="67"/>
      <c r="H18" s="67"/>
      <c r="I18" s="67"/>
      <c r="J18" s="67"/>
      <c r="K18" s="67"/>
    </row>
    <row r="19" spans="1:11">
      <c r="A19" s="67" t="s">
        <v>245</v>
      </c>
      <c r="B19" s="67"/>
      <c r="C19" s="67"/>
      <c r="D19" s="67"/>
      <c r="E19" s="67"/>
      <c r="F19" s="67"/>
      <c r="G19" s="67"/>
      <c r="H19" s="67"/>
      <c r="I19" s="67"/>
      <c r="J19" s="67"/>
      <c r="K19" s="67"/>
    </row>
    <row r="20" spans="1:11">
      <c r="A20" s="67" t="s">
        <v>246</v>
      </c>
      <c r="B20" s="67"/>
      <c r="C20" s="67"/>
      <c r="D20" s="67"/>
      <c r="E20" s="67"/>
      <c r="F20" s="67"/>
      <c r="G20" s="67"/>
      <c r="H20" s="67"/>
      <c r="I20" s="67"/>
      <c r="J20" s="67"/>
      <c r="K20" s="67"/>
    </row>
    <row r="21" spans="1:11">
      <c r="A21" s="67" t="s">
        <v>247</v>
      </c>
      <c r="B21" s="67"/>
      <c r="C21" s="67"/>
      <c r="D21" s="67"/>
      <c r="E21" s="67"/>
      <c r="F21" s="67"/>
      <c r="G21" s="67"/>
      <c r="H21" s="67"/>
      <c r="I21" s="67"/>
      <c r="J21" s="67"/>
      <c r="K21" s="67"/>
    </row>
    <row r="22" spans="1:11">
      <c r="A22" s="67" t="s">
        <v>248</v>
      </c>
      <c r="B22" s="67"/>
      <c r="C22" s="67"/>
      <c r="D22" s="67"/>
      <c r="E22" s="67"/>
      <c r="F22" s="67"/>
      <c r="G22" s="67"/>
      <c r="H22" s="67"/>
      <c r="I22" s="67"/>
      <c r="J22" s="67"/>
      <c r="K22" s="67"/>
    </row>
    <row r="23" spans="1:11">
      <c r="A23" s="67" t="s">
        <v>249</v>
      </c>
      <c r="B23" s="67"/>
      <c r="C23" s="67"/>
      <c r="D23" s="67"/>
      <c r="E23" s="67"/>
      <c r="F23" s="67"/>
      <c r="G23" s="67"/>
      <c r="H23" s="67"/>
      <c r="I23" s="67"/>
      <c r="J23" s="67"/>
      <c r="K23" s="67"/>
    </row>
    <row r="24" spans="1:11">
      <c r="A24" s="67" t="s">
        <v>250</v>
      </c>
      <c r="B24" s="67"/>
      <c r="C24" s="67"/>
      <c r="D24" s="67"/>
      <c r="E24" s="67"/>
      <c r="F24" s="67"/>
      <c r="G24" s="67"/>
      <c r="H24" s="67"/>
      <c r="I24" s="67"/>
      <c r="J24" s="67"/>
      <c r="K24" s="67"/>
    </row>
    <row r="25" spans="1:11">
      <c r="A25" s="67" t="s">
        <v>251</v>
      </c>
      <c r="B25" s="67"/>
      <c r="C25" s="67"/>
      <c r="D25" s="67"/>
      <c r="E25" s="67"/>
      <c r="F25" s="67"/>
      <c r="G25" s="67"/>
      <c r="H25" s="67"/>
      <c r="I25" s="67"/>
      <c r="J25" s="67"/>
      <c r="K25" s="67"/>
    </row>
    <row r="26" spans="1:11">
      <c r="A26" s="67" t="s">
        <v>252</v>
      </c>
      <c r="B26" s="67"/>
      <c r="C26" s="67"/>
      <c r="D26" s="67"/>
      <c r="E26" s="67"/>
      <c r="F26" s="67"/>
      <c r="G26" s="67"/>
      <c r="H26" s="67"/>
      <c r="I26" s="67"/>
      <c r="J26" s="67"/>
      <c r="K26" s="67"/>
    </row>
    <row r="27" spans="1:11">
      <c r="A27" s="67" t="s">
        <v>253</v>
      </c>
      <c r="B27" s="67"/>
      <c r="C27" s="67"/>
      <c r="D27" s="67"/>
      <c r="E27" s="67"/>
      <c r="F27" s="67"/>
      <c r="G27" s="67"/>
      <c r="H27" s="67"/>
      <c r="I27" s="67"/>
      <c r="J27" s="67"/>
      <c r="K27" s="67"/>
    </row>
    <row r="28" spans="1:11">
      <c r="A28" s="67" t="s">
        <v>254</v>
      </c>
      <c r="B28" s="67"/>
      <c r="C28" s="67"/>
      <c r="D28" s="67"/>
      <c r="E28" s="67"/>
      <c r="F28" s="67"/>
      <c r="G28" s="67"/>
      <c r="H28" s="67"/>
      <c r="I28" s="67"/>
      <c r="J28" s="67"/>
      <c r="K28" s="67"/>
    </row>
    <row r="29" spans="1:11">
      <c r="A29" s="67" t="s">
        <v>255</v>
      </c>
      <c r="B29" s="67"/>
      <c r="C29" s="67"/>
      <c r="D29" s="67"/>
      <c r="E29" s="67"/>
      <c r="F29" s="67"/>
      <c r="G29" s="67"/>
      <c r="H29" s="67"/>
      <c r="I29" s="67"/>
      <c r="J29" s="67"/>
      <c r="K29" s="67"/>
    </row>
    <row r="30" spans="1:11">
      <c r="A30" s="67" t="s">
        <v>256</v>
      </c>
      <c r="B30" s="67"/>
      <c r="C30" s="67"/>
      <c r="D30" s="67"/>
      <c r="E30" s="67"/>
      <c r="F30" s="67"/>
      <c r="G30" s="67"/>
      <c r="H30" s="67"/>
      <c r="I30" s="67"/>
      <c r="J30" s="67"/>
      <c r="K30" s="67"/>
    </row>
    <row r="31" spans="1:11">
      <c r="A31" s="67" t="s">
        <v>257</v>
      </c>
      <c r="B31" s="67"/>
      <c r="C31" s="67"/>
      <c r="D31" s="67"/>
      <c r="E31" s="67"/>
      <c r="F31" s="67"/>
      <c r="G31" s="67"/>
      <c r="H31" s="67"/>
      <c r="I31" s="67"/>
      <c r="J31" s="67"/>
      <c r="K31" s="67"/>
    </row>
    <row r="32" spans="1:11">
      <c r="A32" s="67" t="s">
        <v>258</v>
      </c>
      <c r="B32" s="67"/>
      <c r="C32" s="67"/>
      <c r="D32" s="67"/>
      <c r="E32" s="67"/>
      <c r="F32" s="67"/>
      <c r="G32" s="67"/>
      <c r="H32" s="67"/>
      <c r="I32" s="67"/>
      <c r="J32" s="67"/>
      <c r="K32" s="67"/>
    </row>
    <row r="33" spans="1:11">
      <c r="A33" s="67" t="s">
        <v>259</v>
      </c>
      <c r="B33" s="67"/>
      <c r="C33" s="67"/>
      <c r="D33" s="67"/>
      <c r="E33" s="67"/>
      <c r="F33" s="67"/>
      <c r="G33" s="67"/>
      <c r="H33" s="67"/>
      <c r="I33" s="67"/>
      <c r="J33" s="67"/>
      <c r="K33" s="67"/>
    </row>
    <row r="34" spans="1:11">
      <c r="A34" s="67" t="s">
        <v>260</v>
      </c>
      <c r="B34" s="67"/>
      <c r="C34" s="67"/>
      <c r="D34" s="67"/>
      <c r="E34" s="67"/>
      <c r="F34" s="67"/>
      <c r="G34" s="67"/>
      <c r="H34" s="67"/>
      <c r="I34" s="67"/>
      <c r="J34" s="67"/>
      <c r="K34" s="67"/>
    </row>
    <row r="35" spans="1:11">
      <c r="A35" s="67" t="s">
        <v>261</v>
      </c>
      <c r="B35" s="67"/>
      <c r="C35" s="67"/>
      <c r="D35" s="67"/>
      <c r="E35" s="67"/>
      <c r="F35" s="67"/>
      <c r="G35" s="67"/>
      <c r="H35" s="67"/>
      <c r="I35" s="67"/>
      <c r="J35" s="67"/>
      <c r="K35" s="67"/>
    </row>
    <row r="36" spans="1:11">
      <c r="A36" s="67" t="s">
        <v>262</v>
      </c>
      <c r="B36" s="67"/>
      <c r="C36" s="67"/>
      <c r="D36" s="67"/>
      <c r="E36" s="67"/>
      <c r="F36" s="67"/>
      <c r="G36" s="67"/>
      <c r="H36" s="67"/>
      <c r="I36" s="67"/>
      <c r="J36" s="67"/>
      <c r="K36" s="67"/>
    </row>
    <row r="37" spans="1:11">
      <c r="A37" s="67" t="s">
        <v>263</v>
      </c>
      <c r="B37" s="67"/>
      <c r="C37" s="67"/>
      <c r="D37" s="67"/>
      <c r="E37" s="67"/>
      <c r="F37" s="67"/>
      <c r="G37" s="67"/>
      <c r="H37" s="67"/>
      <c r="I37" s="67"/>
      <c r="J37" s="67"/>
      <c r="K37" s="67"/>
    </row>
    <row r="38" spans="1:11">
      <c r="A38" s="67" t="s">
        <v>264</v>
      </c>
      <c r="B38" s="67"/>
      <c r="C38" s="67"/>
      <c r="D38" s="67"/>
      <c r="E38" s="67"/>
      <c r="F38" s="67"/>
      <c r="G38" s="67"/>
      <c r="H38" s="67"/>
      <c r="I38" s="67"/>
      <c r="J38" s="67"/>
      <c r="K38" s="67"/>
    </row>
    <row r="39" spans="1:11">
      <c r="A39" s="67" t="s">
        <v>265</v>
      </c>
      <c r="B39" s="67"/>
      <c r="C39" s="67"/>
      <c r="D39" s="67"/>
      <c r="E39" s="67"/>
      <c r="F39" s="67"/>
      <c r="G39" s="67"/>
      <c r="H39" s="67"/>
      <c r="I39" s="67"/>
      <c r="J39" s="67"/>
      <c r="K39" s="67"/>
    </row>
    <row r="40" spans="1:11">
      <c r="A40" s="67" t="s">
        <v>82</v>
      </c>
      <c r="B40" s="67"/>
      <c r="C40" s="67"/>
      <c r="D40" s="67"/>
      <c r="E40" s="67"/>
      <c r="F40" s="67"/>
      <c r="G40" s="67"/>
      <c r="H40" s="67"/>
      <c r="I40" s="67"/>
      <c r="J40" s="67"/>
      <c r="K40" s="67"/>
    </row>
    <row r="41" spans="1:11">
      <c r="A41" s="67" t="s">
        <v>266</v>
      </c>
      <c r="B41" s="67"/>
      <c r="C41" s="67"/>
      <c r="D41" s="67"/>
      <c r="E41" s="67"/>
      <c r="F41" s="67"/>
      <c r="G41" s="67"/>
      <c r="H41" s="67"/>
      <c r="I41" s="67"/>
      <c r="J41" s="67"/>
      <c r="K41" s="67"/>
    </row>
    <row r="42" spans="1:11">
      <c r="A42" s="67" t="s">
        <v>81</v>
      </c>
      <c r="B42" s="67"/>
      <c r="C42" s="67"/>
      <c r="D42" s="67"/>
      <c r="E42" s="67"/>
      <c r="F42" s="67"/>
      <c r="G42" s="67"/>
      <c r="H42" s="67"/>
      <c r="I42" s="67"/>
      <c r="J42" s="67"/>
      <c r="K42" s="67"/>
    </row>
    <row r="43" spans="1:11">
      <c r="A43" s="67" t="s">
        <v>267</v>
      </c>
      <c r="B43" s="67"/>
      <c r="C43" s="67"/>
      <c r="D43" s="67"/>
      <c r="E43" s="67"/>
      <c r="F43" s="67"/>
      <c r="G43" s="67"/>
      <c r="H43" s="67"/>
      <c r="I43" s="67"/>
      <c r="J43" s="67"/>
      <c r="K43" s="67"/>
    </row>
    <row r="44" spans="1:11">
      <c r="A44" s="67" t="s">
        <v>251</v>
      </c>
      <c r="B44" s="67"/>
      <c r="C44" s="67"/>
      <c r="D44" s="67"/>
      <c r="E44" s="67"/>
      <c r="F44" s="67"/>
      <c r="G44" s="67"/>
      <c r="H44" s="67"/>
      <c r="I44" s="67"/>
      <c r="J44" s="67"/>
      <c r="K44" s="67"/>
    </row>
    <row r="45" spans="1:11">
      <c r="A45" s="67" t="s">
        <v>252</v>
      </c>
      <c r="B45" s="67"/>
      <c r="C45" s="67"/>
      <c r="D45" s="67"/>
      <c r="E45" s="67"/>
      <c r="F45" s="67"/>
      <c r="G45" s="67"/>
      <c r="H45" s="67"/>
      <c r="I45" s="67"/>
      <c r="J45" s="67"/>
      <c r="K45" s="67"/>
    </row>
    <row r="46" spans="1:11">
      <c r="A46" s="67" t="s">
        <v>253</v>
      </c>
      <c r="B46" s="67"/>
      <c r="C46" s="67"/>
      <c r="D46" s="67"/>
      <c r="E46" s="67"/>
      <c r="F46" s="67"/>
      <c r="G46" s="67"/>
      <c r="H46" s="67"/>
      <c r="I46" s="67"/>
      <c r="J46" s="67"/>
      <c r="K46" s="67"/>
    </row>
    <row r="47" spans="1:11">
      <c r="A47" s="67" t="s">
        <v>268</v>
      </c>
      <c r="B47" s="67"/>
      <c r="C47" s="67"/>
      <c r="D47" s="67"/>
      <c r="E47" s="67"/>
      <c r="F47" s="67"/>
      <c r="G47" s="67"/>
      <c r="H47" s="67"/>
      <c r="I47" s="67"/>
      <c r="J47" s="67"/>
      <c r="K47" s="67"/>
    </row>
    <row r="48" spans="1:11">
      <c r="A48" s="67" t="s">
        <v>255</v>
      </c>
      <c r="B48" s="67"/>
      <c r="C48" s="67"/>
      <c r="D48" s="67"/>
      <c r="E48" s="67"/>
      <c r="F48" s="67"/>
      <c r="G48" s="67"/>
      <c r="H48" s="67"/>
      <c r="I48" s="67"/>
      <c r="J48" s="67"/>
      <c r="K48" s="67"/>
    </row>
    <row r="49" spans="1:11">
      <c r="A49" s="67" t="s">
        <v>256</v>
      </c>
      <c r="B49" s="67"/>
      <c r="C49" s="67"/>
      <c r="D49" s="67"/>
      <c r="E49" s="67"/>
      <c r="F49" s="67"/>
      <c r="G49" s="67"/>
      <c r="H49" s="67"/>
      <c r="I49" s="67"/>
      <c r="J49" s="67"/>
      <c r="K49" s="67"/>
    </row>
    <row r="50" spans="1:11">
      <c r="A50" s="67" t="s">
        <v>257</v>
      </c>
      <c r="B50" s="67"/>
      <c r="C50" s="67"/>
      <c r="D50" s="67"/>
      <c r="E50" s="67"/>
      <c r="F50" s="67"/>
      <c r="G50" s="67"/>
      <c r="H50" s="67"/>
      <c r="I50" s="67"/>
      <c r="J50" s="67"/>
      <c r="K50" s="67"/>
    </row>
    <row r="51" spans="1:11">
      <c r="A51" s="67" t="s">
        <v>258</v>
      </c>
      <c r="B51" s="67"/>
      <c r="C51" s="67"/>
      <c r="D51" s="67"/>
      <c r="E51" s="67"/>
      <c r="F51" s="67"/>
      <c r="G51" s="67"/>
      <c r="H51" s="67"/>
      <c r="I51" s="67"/>
      <c r="J51" s="67"/>
      <c r="K51" s="67"/>
    </row>
    <row r="52" spans="1:11">
      <c r="A52" s="67" t="s">
        <v>259</v>
      </c>
      <c r="B52" s="67"/>
      <c r="C52" s="67"/>
      <c r="D52" s="67"/>
      <c r="E52" s="67"/>
      <c r="F52" s="67"/>
      <c r="G52" s="67"/>
      <c r="H52" s="67"/>
      <c r="I52" s="67"/>
      <c r="J52" s="67"/>
      <c r="K52" s="67"/>
    </row>
    <row r="53" spans="1:11">
      <c r="A53" s="67" t="s">
        <v>260</v>
      </c>
      <c r="B53" s="67"/>
      <c r="C53" s="67"/>
      <c r="D53" s="67"/>
      <c r="E53" s="67"/>
      <c r="F53" s="67"/>
      <c r="G53" s="67"/>
      <c r="H53" s="67"/>
      <c r="I53" s="67"/>
      <c r="J53" s="67"/>
      <c r="K53" s="67"/>
    </row>
    <row r="54" spans="1:11">
      <c r="A54" s="67" t="s">
        <v>261</v>
      </c>
      <c r="B54" s="67"/>
      <c r="C54" s="67"/>
      <c r="D54" s="67"/>
      <c r="E54" s="67"/>
      <c r="F54" s="67"/>
      <c r="G54" s="67"/>
      <c r="H54" s="67"/>
      <c r="I54" s="67"/>
      <c r="J54" s="67"/>
      <c r="K54" s="67"/>
    </row>
    <row r="55" spans="1:11">
      <c r="A55" s="67" t="s">
        <v>262</v>
      </c>
      <c r="B55" s="67"/>
      <c r="C55" s="67"/>
      <c r="D55" s="67"/>
      <c r="E55" s="67"/>
      <c r="F55" s="67"/>
      <c r="G55" s="67"/>
      <c r="H55" s="67"/>
      <c r="I55" s="67"/>
      <c r="J55" s="67"/>
      <c r="K55" s="67"/>
    </row>
    <row r="56" spans="1:11">
      <c r="A56" s="67" t="s">
        <v>263</v>
      </c>
      <c r="B56" s="67"/>
      <c r="C56" s="67"/>
      <c r="D56" s="67"/>
      <c r="E56" s="67"/>
      <c r="F56" s="67"/>
      <c r="G56" s="67"/>
      <c r="H56" s="67"/>
      <c r="I56" s="67"/>
      <c r="J56" s="67"/>
      <c r="K56" s="67"/>
    </row>
    <row r="57" spans="1:11">
      <c r="A57" s="67" t="s">
        <v>264</v>
      </c>
      <c r="B57" s="67"/>
      <c r="C57" s="67"/>
      <c r="D57" s="67"/>
      <c r="E57" s="67"/>
      <c r="F57" s="67"/>
      <c r="G57" s="67"/>
      <c r="H57" s="67"/>
      <c r="I57" s="67"/>
      <c r="J57" s="67"/>
      <c r="K57" s="67"/>
    </row>
    <row r="58" spans="1:11">
      <c r="A58" s="67" t="s">
        <v>265</v>
      </c>
      <c r="B58" s="67"/>
      <c r="C58" s="67"/>
      <c r="D58" s="67"/>
      <c r="E58" s="67"/>
      <c r="F58" s="67"/>
      <c r="G58" s="67"/>
      <c r="H58" s="67"/>
      <c r="I58" s="67"/>
      <c r="J58" s="67"/>
      <c r="K58" s="67"/>
    </row>
    <row r="59" spans="1:11">
      <c r="A59" s="67" t="s">
        <v>82</v>
      </c>
      <c r="B59" s="67"/>
      <c r="C59" s="67"/>
      <c r="D59" s="67"/>
      <c r="E59" s="67"/>
      <c r="F59" s="67"/>
      <c r="G59" s="67"/>
      <c r="H59" s="67"/>
      <c r="I59" s="67"/>
      <c r="J59" s="67"/>
      <c r="K59" s="67"/>
    </row>
    <row r="60" spans="1:11">
      <c r="A60" s="67" t="s">
        <v>266</v>
      </c>
      <c r="B60" s="67"/>
      <c r="C60" s="67"/>
      <c r="D60" s="67"/>
      <c r="E60" s="67"/>
      <c r="F60" s="67"/>
      <c r="G60" s="67"/>
      <c r="H60" s="67"/>
      <c r="I60" s="67"/>
      <c r="J60" s="67"/>
      <c r="K60" s="67"/>
    </row>
    <row r="61" spans="1:11">
      <c r="A61" s="67" t="s">
        <v>81</v>
      </c>
      <c r="B61" s="67"/>
      <c r="C61" s="67"/>
      <c r="D61" s="67"/>
      <c r="E61" s="67"/>
      <c r="F61" s="67"/>
      <c r="G61" s="67"/>
      <c r="H61" s="67"/>
      <c r="I61" s="67"/>
      <c r="J61" s="67"/>
      <c r="K61" s="67"/>
    </row>
    <row r="62" spans="1:11">
      <c r="A62" s="67" t="s">
        <v>269</v>
      </c>
      <c r="B62" s="67"/>
      <c r="C62" s="67"/>
      <c r="D62" s="67"/>
      <c r="E62" s="67"/>
      <c r="F62" s="67"/>
      <c r="G62" s="67"/>
      <c r="H62" s="67"/>
      <c r="I62" s="67"/>
      <c r="J62" s="67"/>
      <c r="K62" s="67"/>
    </row>
    <row r="63" spans="1:11">
      <c r="A63" s="67" t="s">
        <v>270</v>
      </c>
      <c r="B63" s="67"/>
      <c r="C63" s="67"/>
      <c r="D63" s="67"/>
      <c r="E63" s="67"/>
      <c r="F63" s="67"/>
      <c r="G63" s="67"/>
      <c r="H63" s="67"/>
      <c r="I63" s="67"/>
      <c r="J63" s="67"/>
      <c r="K63" s="67"/>
    </row>
    <row r="64" spans="1:11">
      <c r="A64" s="67" t="s">
        <v>251</v>
      </c>
      <c r="B64" s="67"/>
      <c r="C64" s="67"/>
      <c r="D64" s="67"/>
      <c r="E64" s="67"/>
      <c r="F64" s="67"/>
      <c r="G64" s="67"/>
      <c r="H64" s="67"/>
      <c r="I64" s="67"/>
      <c r="J64" s="67"/>
      <c r="K64" s="67"/>
    </row>
    <row r="65" spans="1:11">
      <c r="A65" s="67" t="s">
        <v>271</v>
      </c>
      <c r="B65" s="67"/>
      <c r="C65" s="67"/>
      <c r="D65" s="67"/>
      <c r="E65" s="67"/>
      <c r="F65" s="67"/>
      <c r="G65" s="67"/>
      <c r="H65" s="67"/>
      <c r="I65" s="67"/>
      <c r="J65" s="67"/>
      <c r="K65" s="67"/>
    </row>
    <row r="66" spans="1:11">
      <c r="A66" s="67" t="s">
        <v>272</v>
      </c>
      <c r="B66" s="67"/>
      <c r="C66" s="67"/>
      <c r="D66" s="67"/>
      <c r="E66" s="67"/>
      <c r="F66" s="67"/>
      <c r="G66" s="67"/>
      <c r="H66" s="67"/>
      <c r="I66" s="67"/>
      <c r="J66" s="67"/>
      <c r="K66" s="67"/>
    </row>
    <row r="67" spans="1:11">
      <c r="A67" s="67" t="s">
        <v>266</v>
      </c>
      <c r="B67" s="67"/>
      <c r="C67" s="67"/>
      <c r="D67" s="67"/>
      <c r="E67" s="67"/>
      <c r="F67" s="67"/>
      <c r="G67" s="67"/>
      <c r="H67" s="67"/>
      <c r="I67" s="67"/>
      <c r="J67" s="67"/>
      <c r="K67" s="67"/>
    </row>
    <row r="68" spans="1:11">
      <c r="A68" s="67" t="s">
        <v>81</v>
      </c>
      <c r="B68" s="67"/>
      <c r="C68" s="67"/>
      <c r="D68" s="67"/>
      <c r="E68" s="67"/>
      <c r="F68" s="67"/>
      <c r="G68" s="67"/>
      <c r="H68" s="67"/>
      <c r="I68" s="67"/>
      <c r="J68" s="67"/>
      <c r="K68" s="67"/>
    </row>
    <row r="69" spans="1:11">
      <c r="A69" s="67" t="s">
        <v>273</v>
      </c>
      <c r="B69" s="67"/>
      <c r="C69" s="67"/>
      <c r="D69" s="67"/>
      <c r="E69" s="67"/>
      <c r="F69" s="67"/>
      <c r="G69" s="67"/>
      <c r="H69" s="67"/>
      <c r="I69" s="67"/>
      <c r="J69" s="67"/>
      <c r="K69" s="67"/>
    </row>
    <row r="70" spans="1:11">
      <c r="A70" s="67" t="s">
        <v>274</v>
      </c>
      <c r="B70" s="67"/>
      <c r="C70" s="67"/>
      <c r="D70" s="67"/>
      <c r="E70" s="67"/>
      <c r="F70" s="67"/>
      <c r="G70" s="67"/>
      <c r="H70" s="67"/>
      <c r="I70" s="67"/>
      <c r="J70" s="67"/>
      <c r="K70" s="67"/>
    </row>
    <row r="71" spans="1:11">
      <c r="A71" s="67" t="s">
        <v>275</v>
      </c>
      <c r="B71" s="67"/>
      <c r="C71" s="67"/>
      <c r="D71" s="67"/>
      <c r="E71" s="67"/>
      <c r="F71" s="67"/>
      <c r="G71" s="67"/>
      <c r="H71" s="67"/>
      <c r="I71" s="67"/>
      <c r="J71" s="67"/>
      <c r="K71" s="67"/>
    </row>
    <row r="72" spans="1:11">
      <c r="A72" s="67" t="s">
        <v>251</v>
      </c>
      <c r="B72" s="67"/>
      <c r="C72" s="67"/>
      <c r="D72" s="67"/>
      <c r="E72" s="67"/>
      <c r="F72" s="67"/>
      <c r="G72" s="67"/>
      <c r="H72" s="67"/>
      <c r="I72" s="67"/>
      <c r="J72" s="67"/>
      <c r="K72" s="67"/>
    </row>
    <row r="73" spans="1:11">
      <c r="A73" s="67" t="s">
        <v>252</v>
      </c>
      <c r="B73" s="67"/>
      <c r="C73" s="67"/>
      <c r="D73" s="67"/>
      <c r="E73" s="67"/>
      <c r="F73" s="67"/>
      <c r="G73" s="67"/>
      <c r="H73" s="67"/>
      <c r="I73" s="67"/>
      <c r="J73" s="67"/>
      <c r="K73" s="67"/>
    </row>
    <row r="74" spans="1:11">
      <c r="A74" s="67" t="s">
        <v>253</v>
      </c>
      <c r="B74" s="67"/>
      <c r="C74" s="67"/>
      <c r="D74" s="67"/>
      <c r="E74" s="67"/>
      <c r="F74" s="67"/>
      <c r="G74" s="67"/>
      <c r="H74" s="67"/>
      <c r="I74" s="67"/>
      <c r="J74" s="67"/>
      <c r="K74" s="67"/>
    </row>
    <row r="75" spans="1:11">
      <c r="A75" s="67" t="s">
        <v>276</v>
      </c>
      <c r="B75" s="67"/>
      <c r="C75" s="67"/>
      <c r="D75" s="67"/>
      <c r="E75" s="67"/>
      <c r="F75" s="67"/>
      <c r="G75" s="67"/>
      <c r="H75" s="67"/>
      <c r="I75" s="67"/>
      <c r="J75" s="67"/>
      <c r="K75" s="67"/>
    </row>
    <row r="76" spans="1:11">
      <c r="A76" s="67" t="s">
        <v>277</v>
      </c>
      <c r="B76" s="67"/>
      <c r="C76" s="67"/>
      <c r="D76" s="67"/>
      <c r="E76" s="67"/>
      <c r="F76" s="67"/>
      <c r="G76" s="67"/>
      <c r="H76" s="67"/>
      <c r="I76" s="67"/>
      <c r="J76" s="67"/>
      <c r="K76" s="67"/>
    </row>
    <row r="77" spans="1:11">
      <c r="A77" s="67" t="s">
        <v>278</v>
      </c>
      <c r="B77" s="67"/>
      <c r="C77" s="67"/>
      <c r="D77" s="67"/>
      <c r="E77" s="67"/>
      <c r="F77" s="67"/>
      <c r="G77" s="67"/>
      <c r="H77" s="67"/>
      <c r="I77" s="67"/>
      <c r="J77" s="67"/>
      <c r="K77" s="67"/>
    </row>
    <row r="78" spans="1:11">
      <c r="A78" s="67" t="s">
        <v>279</v>
      </c>
      <c r="B78" s="67"/>
      <c r="C78" s="67"/>
      <c r="D78" s="67"/>
      <c r="E78" s="67"/>
      <c r="F78" s="67"/>
      <c r="G78" s="67"/>
      <c r="H78" s="67"/>
      <c r="I78" s="67"/>
      <c r="J78" s="67"/>
      <c r="K78" s="67"/>
    </row>
    <row r="79" spans="1:11">
      <c r="A79" s="67" t="s">
        <v>280</v>
      </c>
      <c r="B79" s="67"/>
      <c r="C79" s="67"/>
      <c r="D79" s="67"/>
      <c r="E79" s="67"/>
      <c r="F79" s="67"/>
      <c r="G79" s="67"/>
      <c r="H79" s="67"/>
      <c r="I79" s="67"/>
      <c r="J79" s="67"/>
      <c r="K79" s="67"/>
    </row>
    <row r="80" spans="1:11">
      <c r="A80" s="67" t="s">
        <v>264</v>
      </c>
      <c r="B80" s="67"/>
      <c r="C80" s="67"/>
      <c r="D80" s="67"/>
      <c r="E80" s="67"/>
      <c r="F80" s="67"/>
      <c r="G80" s="67"/>
      <c r="H80" s="67"/>
      <c r="I80" s="67"/>
      <c r="J80" s="67"/>
      <c r="K80" s="67"/>
    </row>
    <row r="81" spans="1:11">
      <c r="A81" s="67" t="s">
        <v>281</v>
      </c>
      <c r="B81" s="67"/>
      <c r="C81" s="67"/>
      <c r="D81" s="67"/>
      <c r="E81" s="67"/>
      <c r="F81" s="67"/>
      <c r="G81" s="67"/>
      <c r="H81" s="67"/>
      <c r="I81" s="67"/>
      <c r="J81" s="67"/>
      <c r="K81" s="67"/>
    </row>
    <row r="82" spans="1:11">
      <c r="A82" s="67" t="s">
        <v>82</v>
      </c>
      <c r="B82" s="67"/>
      <c r="C82" s="67"/>
      <c r="D82" s="67"/>
      <c r="E82" s="67"/>
      <c r="F82" s="67"/>
      <c r="G82" s="67"/>
      <c r="H82" s="67"/>
      <c r="I82" s="67"/>
      <c r="J82" s="67"/>
      <c r="K82" s="67"/>
    </row>
    <row r="83" spans="1:11">
      <c r="A83" s="67" t="s">
        <v>282</v>
      </c>
      <c r="B83" s="67"/>
      <c r="C83" s="67"/>
      <c r="D83" s="67"/>
      <c r="E83" s="67"/>
      <c r="F83" s="67"/>
      <c r="G83" s="67"/>
      <c r="H83" s="67"/>
      <c r="I83" s="67"/>
      <c r="J83" s="67"/>
      <c r="K83" s="67"/>
    </row>
    <row r="84" spans="1:11">
      <c r="A84" s="67" t="s">
        <v>266</v>
      </c>
      <c r="B84" s="67"/>
      <c r="C84" s="67"/>
      <c r="D84" s="67"/>
      <c r="E84" s="67"/>
      <c r="F84" s="67"/>
      <c r="G84" s="67"/>
      <c r="H84" s="67"/>
      <c r="I84" s="67"/>
      <c r="J84" s="67"/>
      <c r="K84" s="67"/>
    </row>
    <row r="85" spans="1:11">
      <c r="A85" s="67" t="s">
        <v>81</v>
      </c>
      <c r="B85" s="67"/>
      <c r="C85" s="67"/>
      <c r="D85" s="67"/>
      <c r="E85" s="67"/>
      <c r="F85" s="67"/>
      <c r="G85" s="67"/>
      <c r="H85" s="67"/>
      <c r="I85" s="67"/>
      <c r="J85" s="67"/>
      <c r="K85" s="67"/>
    </row>
    <row r="86" spans="1:11">
      <c r="A86" s="67" t="s">
        <v>283</v>
      </c>
      <c r="B86" s="67"/>
      <c r="C86" s="67"/>
      <c r="D86" s="67"/>
      <c r="E86" s="67"/>
      <c r="F86" s="67"/>
      <c r="G86" s="67"/>
      <c r="H86" s="67"/>
      <c r="I86" s="67"/>
      <c r="J86" s="67"/>
      <c r="K86" s="67"/>
    </row>
    <row r="87" spans="1:11">
      <c r="A87" s="67" t="s">
        <v>284</v>
      </c>
      <c r="B87" s="67"/>
      <c r="C87" s="67"/>
      <c r="D87" s="67"/>
      <c r="E87" s="67"/>
      <c r="F87" s="67"/>
      <c r="G87" s="67"/>
      <c r="H87" s="67"/>
      <c r="I87" s="67"/>
      <c r="J87" s="67"/>
      <c r="K87" s="67"/>
    </row>
    <row r="88" spans="1:11">
      <c r="A88" s="67" t="s">
        <v>285</v>
      </c>
      <c r="B88" s="67"/>
      <c r="C88" s="67"/>
      <c r="D88" s="67"/>
      <c r="E88" s="67"/>
      <c r="F88" s="67"/>
      <c r="G88" s="67"/>
      <c r="H88" s="67"/>
      <c r="I88" s="67"/>
      <c r="J88" s="67"/>
      <c r="K88" s="67"/>
    </row>
    <row r="89" spans="1:11">
      <c r="A89" s="67" t="s">
        <v>286</v>
      </c>
      <c r="B89" s="67"/>
      <c r="C89" s="67"/>
      <c r="D89" s="67"/>
      <c r="E89" s="67"/>
      <c r="F89" s="67"/>
      <c r="G89" s="67"/>
      <c r="H89" s="67"/>
      <c r="I89" s="67"/>
      <c r="J89" s="67"/>
      <c r="K89" s="67"/>
    </row>
    <row r="90" spans="1:11">
      <c r="A90" s="67" t="s">
        <v>266</v>
      </c>
      <c r="B90" s="67"/>
      <c r="C90" s="67"/>
      <c r="D90" s="67"/>
      <c r="E90" s="67"/>
      <c r="F90" s="67"/>
      <c r="G90" s="67"/>
      <c r="H90" s="67"/>
      <c r="I90" s="67"/>
      <c r="J90" s="67"/>
      <c r="K90" s="67"/>
    </row>
    <row r="91" spans="1:11">
      <c r="A91" s="67" t="s">
        <v>81</v>
      </c>
      <c r="B91" s="67"/>
      <c r="C91" s="67"/>
      <c r="D91" s="67"/>
      <c r="E91" s="67"/>
      <c r="F91" s="67"/>
      <c r="G91" s="67"/>
      <c r="H91" s="67"/>
      <c r="I91" s="67"/>
      <c r="J91" s="67"/>
      <c r="K91" s="67"/>
    </row>
    <row r="92" spans="1:11">
      <c r="A92" s="67" t="s">
        <v>287</v>
      </c>
      <c r="B92" s="67"/>
      <c r="C92" s="67"/>
      <c r="D92" s="67"/>
      <c r="E92" s="67"/>
      <c r="F92" s="67"/>
      <c r="G92" s="67"/>
      <c r="H92" s="67"/>
      <c r="I92" s="67"/>
      <c r="J92" s="67"/>
      <c r="K92" s="67"/>
    </row>
    <row r="93" spans="1:11">
      <c r="A93" s="67" t="s">
        <v>251</v>
      </c>
      <c r="B93" s="67"/>
      <c r="C93" s="67"/>
      <c r="D93" s="67"/>
      <c r="E93" s="67"/>
      <c r="F93" s="67"/>
      <c r="G93" s="67"/>
      <c r="H93" s="67"/>
      <c r="I93" s="67"/>
      <c r="J93" s="67"/>
      <c r="K93" s="67"/>
    </row>
    <row r="94" spans="1:11">
      <c r="A94" s="67" t="s">
        <v>288</v>
      </c>
      <c r="B94" s="67"/>
      <c r="C94" s="67"/>
      <c r="D94" s="67"/>
      <c r="E94" s="67"/>
      <c r="F94" s="67"/>
      <c r="G94" s="67"/>
      <c r="H94" s="67"/>
      <c r="I94" s="67"/>
      <c r="J94" s="67"/>
      <c r="K94" s="67"/>
    </row>
    <row r="95" spans="1:11">
      <c r="A95" s="67" t="s">
        <v>289</v>
      </c>
      <c r="B95" s="67"/>
      <c r="C95" s="67"/>
      <c r="D95" s="67"/>
      <c r="E95" s="67"/>
      <c r="F95" s="67"/>
      <c r="G95" s="67"/>
      <c r="H95" s="67"/>
      <c r="I95" s="67"/>
      <c r="J95" s="67"/>
      <c r="K95" s="67"/>
    </row>
    <row r="96" spans="1:11">
      <c r="A96" s="67" t="s">
        <v>290</v>
      </c>
      <c r="B96" s="67"/>
      <c r="C96" s="67"/>
      <c r="D96" s="67"/>
      <c r="E96" s="67"/>
      <c r="F96" s="67"/>
      <c r="G96" s="67"/>
      <c r="H96" s="67"/>
      <c r="I96" s="67"/>
      <c r="J96" s="67"/>
      <c r="K96" s="67"/>
    </row>
    <row r="97" spans="1:11">
      <c r="A97" s="67" t="s">
        <v>255</v>
      </c>
      <c r="B97" s="67"/>
      <c r="C97" s="67"/>
      <c r="D97" s="67"/>
      <c r="E97" s="67"/>
      <c r="F97" s="67"/>
      <c r="G97" s="67"/>
      <c r="H97" s="67"/>
      <c r="I97" s="67"/>
      <c r="J97" s="67"/>
      <c r="K97" s="67"/>
    </row>
    <row r="98" spans="1:11">
      <c r="A98" s="67" t="s">
        <v>260</v>
      </c>
      <c r="B98" s="67"/>
      <c r="C98" s="67"/>
      <c r="D98" s="67"/>
      <c r="E98" s="67"/>
      <c r="F98" s="67"/>
      <c r="G98" s="67"/>
      <c r="H98" s="67"/>
      <c r="I98" s="67"/>
      <c r="J98" s="67"/>
      <c r="K98" s="67"/>
    </row>
    <row r="99" spans="1:11">
      <c r="A99" s="67" t="s">
        <v>261</v>
      </c>
      <c r="B99" s="67"/>
      <c r="C99" s="67"/>
      <c r="D99" s="67"/>
      <c r="E99" s="67"/>
      <c r="F99" s="67"/>
      <c r="G99" s="67"/>
      <c r="H99" s="67"/>
      <c r="I99" s="67"/>
      <c r="J99" s="67"/>
      <c r="K99" s="67"/>
    </row>
    <row r="100" spans="1:11">
      <c r="A100" s="67" t="s">
        <v>291</v>
      </c>
      <c r="B100" s="67"/>
      <c r="C100" s="67"/>
      <c r="D100" s="67"/>
      <c r="E100" s="67"/>
      <c r="F100" s="67"/>
      <c r="G100" s="67"/>
      <c r="H100" s="67"/>
      <c r="I100" s="67"/>
      <c r="J100" s="67"/>
      <c r="K100" s="67"/>
    </row>
    <row r="101" spans="1:11">
      <c r="A101" s="67" t="s">
        <v>292</v>
      </c>
      <c r="B101" s="67"/>
      <c r="C101" s="67"/>
      <c r="D101" s="67"/>
      <c r="E101" s="67"/>
      <c r="F101" s="67"/>
      <c r="G101" s="67"/>
      <c r="H101" s="67"/>
      <c r="I101" s="67"/>
      <c r="J101" s="67"/>
      <c r="K101" s="67"/>
    </row>
    <row r="102" spans="1:11">
      <c r="A102" s="67" t="s">
        <v>293</v>
      </c>
      <c r="B102" s="67"/>
      <c r="C102" s="67"/>
      <c r="D102" s="67"/>
      <c r="E102" s="67"/>
      <c r="F102" s="67"/>
      <c r="G102" s="67"/>
      <c r="H102" s="67"/>
      <c r="I102" s="67"/>
      <c r="J102" s="67"/>
      <c r="K102" s="67"/>
    </row>
    <row r="103" spans="1:11">
      <c r="A103" s="67" t="s">
        <v>294</v>
      </c>
      <c r="B103" s="67"/>
      <c r="C103" s="67"/>
      <c r="D103" s="67"/>
      <c r="E103" s="67"/>
      <c r="F103" s="67"/>
      <c r="G103" s="67"/>
      <c r="H103" s="67"/>
      <c r="I103" s="67"/>
      <c r="J103" s="67"/>
      <c r="K103" s="67"/>
    </row>
    <row r="104" spans="1:11">
      <c r="A104" s="67" t="s">
        <v>295</v>
      </c>
      <c r="B104" s="67"/>
      <c r="C104" s="67"/>
      <c r="D104" s="67"/>
      <c r="E104" s="67"/>
      <c r="F104" s="67"/>
      <c r="G104" s="67"/>
      <c r="H104" s="67"/>
      <c r="I104" s="67"/>
      <c r="J104" s="67"/>
      <c r="K104" s="67"/>
    </row>
    <row r="105" spans="1:11">
      <c r="A105" s="67" t="s">
        <v>296</v>
      </c>
      <c r="B105" s="67"/>
      <c r="C105" s="67"/>
      <c r="D105" s="67"/>
      <c r="E105" s="67"/>
      <c r="F105" s="67"/>
      <c r="G105" s="67"/>
      <c r="H105" s="67"/>
      <c r="I105" s="67"/>
      <c r="J105" s="67"/>
      <c r="K105" s="67"/>
    </row>
    <row r="106" spans="1:11">
      <c r="A106" s="67" t="s">
        <v>264</v>
      </c>
      <c r="B106" s="67"/>
      <c r="C106" s="67"/>
      <c r="D106" s="67"/>
      <c r="E106" s="67"/>
      <c r="F106" s="67"/>
      <c r="G106" s="67"/>
      <c r="H106" s="67"/>
      <c r="I106" s="67"/>
      <c r="J106" s="67"/>
      <c r="K106" s="67"/>
    </row>
    <row r="107" spans="1:11">
      <c r="A107" s="67" t="s">
        <v>265</v>
      </c>
      <c r="B107" s="67"/>
      <c r="C107" s="67"/>
      <c r="D107" s="67"/>
      <c r="E107" s="67"/>
      <c r="F107" s="67"/>
      <c r="G107" s="67"/>
      <c r="H107" s="67"/>
      <c r="I107" s="67"/>
      <c r="J107" s="67"/>
      <c r="K107" s="67"/>
    </row>
    <row r="108" spans="1:11">
      <c r="A108" s="67" t="s">
        <v>82</v>
      </c>
      <c r="B108" s="67"/>
      <c r="C108" s="67"/>
      <c r="D108" s="67"/>
      <c r="E108" s="67"/>
      <c r="F108" s="67"/>
      <c r="G108" s="67"/>
      <c r="H108" s="67"/>
      <c r="I108" s="67"/>
      <c r="J108" s="67"/>
      <c r="K108" s="67"/>
    </row>
    <row r="109" spans="1:11">
      <c r="A109" s="67" t="s">
        <v>266</v>
      </c>
      <c r="B109" s="67"/>
      <c r="C109" s="67"/>
      <c r="D109" s="67"/>
      <c r="E109" s="67"/>
      <c r="F109" s="67"/>
      <c r="G109" s="67"/>
      <c r="H109" s="67"/>
      <c r="I109" s="67"/>
      <c r="J109" s="67"/>
      <c r="K109" s="67"/>
    </row>
    <row r="110" spans="1:11">
      <c r="A110" s="67" t="s">
        <v>81</v>
      </c>
      <c r="B110" s="67"/>
      <c r="C110" s="67"/>
      <c r="D110" s="67"/>
      <c r="E110" s="67"/>
      <c r="F110" s="67"/>
      <c r="G110" s="67"/>
      <c r="H110" s="67"/>
      <c r="I110" s="67"/>
      <c r="J110" s="67"/>
      <c r="K110" s="67"/>
    </row>
    <row r="111" spans="1:11">
      <c r="A111" s="67" t="s">
        <v>297</v>
      </c>
      <c r="B111" s="67"/>
      <c r="C111" s="67"/>
      <c r="D111" s="67"/>
      <c r="E111" s="67"/>
      <c r="F111" s="67"/>
      <c r="G111" s="67"/>
      <c r="H111" s="67"/>
      <c r="I111" s="67"/>
      <c r="J111" s="67"/>
      <c r="K111" s="67"/>
    </row>
    <row r="112" spans="1:11">
      <c r="A112" s="67" t="s">
        <v>298</v>
      </c>
      <c r="B112" s="67"/>
      <c r="C112" s="67"/>
      <c r="D112" s="67"/>
      <c r="E112" s="67"/>
      <c r="F112" s="67"/>
      <c r="G112" s="67"/>
      <c r="H112" s="67"/>
      <c r="I112" s="67"/>
      <c r="J112" s="67"/>
      <c r="K112" s="67"/>
    </row>
    <row r="113" spans="1:11">
      <c r="A113" s="67" t="s">
        <v>299</v>
      </c>
      <c r="B113" s="67"/>
      <c r="C113" s="67"/>
      <c r="D113" s="67"/>
      <c r="E113" s="67"/>
      <c r="F113" s="67"/>
      <c r="G113" s="67"/>
      <c r="H113" s="67"/>
      <c r="I113" s="67"/>
      <c r="J113" s="67"/>
      <c r="K113" s="67"/>
    </row>
    <row r="114" spans="1:11">
      <c r="A114" s="67" t="s">
        <v>300</v>
      </c>
      <c r="B114" s="67"/>
      <c r="C114" s="67"/>
      <c r="D114" s="67"/>
      <c r="E114" s="67"/>
      <c r="F114" s="67"/>
      <c r="G114" s="67"/>
      <c r="H114" s="67"/>
      <c r="I114" s="67"/>
      <c r="J114" s="67"/>
      <c r="K114" s="67"/>
    </row>
    <row r="115" spans="1:11">
      <c r="A115" s="67" t="s">
        <v>301</v>
      </c>
      <c r="B115" s="67"/>
      <c r="C115" s="67"/>
      <c r="D115" s="67"/>
      <c r="E115" s="67"/>
      <c r="F115" s="67"/>
      <c r="G115" s="67"/>
      <c r="H115" s="67"/>
      <c r="I115" s="67"/>
      <c r="J115" s="67"/>
      <c r="K115" s="67"/>
    </row>
    <row r="116" spans="1:11">
      <c r="A116" s="67" t="s">
        <v>251</v>
      </c>
      <c r="B116" s="67"/>
      <c r="C116" s="67"/>
      <c r="D116" s="67"/>
      <c r="E116" s="67"/>
      <c r="F116" s="67"/>
      <c r="G116" s="67"/>
      <c r="H116" s="67"/>
      <c r="I116" s="67"/>
      <c r="J116" s="67"/>
      <c r="K116" s="67"/>
    </row>
    <row r="117" spans="1:11">
      <c r="A117" s="67" t="s">
        <v>302</v>
      </c>
      <c r="B117" s="67"/>
      <c r="C117" s="67"/>
      <c r="D117" s="67"/>
      <c r="E117" s="67"/>
      <c r="F117" s="67"/>
      <c r="G117" s="67"/>
      <c r="H117" s="67"/>
      <c r="I117" s="67"/>
      <c r="J117" s="67"/>
      <c r="K117" s="67"/>
    </row>
    <row r="118" spans="1:11">
      <c r="A118" s="67" t="s">
        <v>255</v>
      </c>
      <c r="B118" s="67"/>
      <c r="C118" s="67"/>
      <c r="D118" s="67"/>
      <c r="E118" s="67"/>
      <c r="F118" s="67"/>
      <c r="G118" s="67"/>
      <c r="H118" s="67"/>
      <c r="I118" s="67"/>
      <c r="J118" s="67"/>
      <c r="K118" s="67"/>
    </row>
    <row r="119" spans="1:11">
      <c r="A119" s="67" t="s">
        <v>260</v>
      </c>
      <c r="B119" s="67"/>
      <c r="C119" s="67"/>
      <c r="D119" s="67"/>
      <c r="E119" s="67"/>
      <c r="F119" s="67"/>
      <c r="G119" s="67"/>
      <c r="H119" s="67"/>
      <c r="I119" s="67"/>
      <c r="J119" s="67"/>
      <c r="K119" s="67"/>
    </row>
    <row r="120" spans="1:11">
      <c r="A120" s="67" t="s">
        <v>261</v>
      </c>
      <c r="B120" s="67"/>
      <c r="C120" s="67"/>
      <c r="D120" s="67"/>
      <c r="E120" s="67"/>
      <c r="F120" s="67"/>
      <c r="G120" s="67"/>
      <c r="H120" s="67"/>
      <c r="I120" s="67"/>
      <c r="J120" s="67"/>
      <c r="K120" s="67"/>
    </row>
    <row r="121" spans="1:11">
      <c r="A121" s="67" t="s">
        <v>303</v>
      </c>
      <c r="B121" s="67"/>
      <c r="C121" s="67"/>
      <c r="D121" s="67"/>
      <c r="E121" s="67"/>
      <c r="F121" s="67"/>
      <c r="G121" s="67"/>
      <c r="H121" s="67"/>
      <c r="I121" s="67"/>
      <c r="J121" s="67"/>
      <c r="K121" s="67"/>
    </row>
    <row r="122" spans="1:11">
      <c r="A122" s="67" t="s">
        <v>304</v>
      </c>
      <c r="B122" s="67"/>
      <c r="C122" s="67"/>
      <c r="D122" s="67"/>
      <c r="E122" s="67"/>
      <c r="F122" s="67"/>
      <c r="G122" s="67"/>
      <c r="H122" s="67"/>
      <c r="I122" s="67"/>
      <c r="J122" s="67"/>
      <c r="K122" s="67"/>
    </row>
    <row r="123" spans="1:11">
      <c r="A123" s="67" t="s">
        <v>305</v>
      </c>
      <c r="B123" s="67"/>
      <c r="C123" s="67"/>
      <c r="D123" s="67"/>
      <c r="E123" s="67"/>
      <c r="F123" s="67"/>
      <c r="G123" s="67"/>
      <c r="H123" s="67"/>
      <c r="I123" s="67"/>
      <c r="J123" s="67"/>
      <c r="K123" s="67"/>
    </row>
    <row r="124" spans="1:11">
      <c r="A124" s="67" t="s">
        <v>306</v>
      </c>
      <c r="B124" s="67"/>
      <c r="C124" s="67"/>
      <c r="D124" s="67"/>
      <c r="E124" s="67"/>
      <c r="F124" s="67"/>
      <c r="G124" s="67"/>
      <c r="H124" s="67"/>
      <c r="I124" s="67"/>
      <c r="J124" s="67"/>
      <c r="K124" s="67"/>
    </row>
    <row r="125" spans="1:11">
      <c r="A125" s="67" t="s">
        <v>307</v>
      </c>
      <c r="B125" s="67"/>
      <c r="C125" s="67"/>
      <c r="D125" s="67"/>
      <c r="E125" s="67"/>
      <c r="F125" s="67"/>
      <c r="G125" s="67"/>
      <c r="H125" s="67"/>
      <c r="I125" s="67"/>
      <c r="J125" s="67"/>
      <c r="K125" s="67"/>
    </row>
    <row r="126" spans="1:11">
      <c r="A126" s="67" t="s">
        <v>308</v>
      </c>
      <c r="B126" s="67"/>
      <c r="C126" s="67"/>
      <c r="D126" s="67"/>
      <c r="E126" s="67"/>
      <c r="F126" s="67"/>
      <c r="G126" s="67"/>
      <c r="H126" s="67"/>
      <c r="I126" s="67"/>
      <c r="J126" s="67"/>
      <c r="K126" s="67"/>
    </row>
    <row r="127" spans="1:11">
      <c r="A127" s="67" t="s">
        <v>309</v>
      </c>
      <c r="B127" s="67"/>
      <c r="C127" s="67"/>
      <c r="D127" s="67"/>
      <c r="E127" s="67"/>
      <c r="F127" s="67"/>
      <c r="G127" s="67"/>
      <c r="H127" s="67"/>
      <c r="I127" s="67"/>
      <c r="J127" s="67"/>
      <c r="K127" s="67"/>
    </row>
    <row r="128" spans="1:11">
      <c r="A128" s="67" t="s">
        <v>310</v>
      </c>
      <c r="B128" s="67"/>
      <c r="C128" s="67"/>
      <c r="D128" s="67"/>
      <c r="E128" s="67"/>
      <c r="F128" s="67"/>
      <c r="G128" s="67"/>
      <c r="H128" s="67"/>
      <c r="I128" s="67"/>
      <c r="J128" s="67"/>
      <c r="K128" s="67"/>
    </row>
    <row r="129" spans="1:11">
      <c r="A129" s="67" t="s">
        <v>264</v>
      </c>
      <c r="B129" s="67"/>
      <c r="C129" s="67"/>
      <c r="D129" s="67"/>
      <c r="E129" s="67"/>
      <c r="F129" s="67"/>
      <c r="G129" s="67"/>
      <c r="H129" s="67"/>
      <c r="I129" s="67"/>
      <c r="J129" s="67"/>
      <c r="K129" s="67"/>
    </row>
    <row r="130" spans="1:11">
      <c r="A130" s="67" t="s">
        <v>265</v>
      </c>
      <c r="B130" s="67"/>
      <c r="C130" s="67"/>
      <c r="D130" s="67"/>
      <c r="E130" s="67"/>
      <c r="F130" s="67"/>
      <c r="G130" s="67"/>
      <c r="H130" s="67"/>
      <c r="I130" s="67"/>
      <c r="J130" s="67"/>
      <c r="K130" s="67"/>
    </row>
    <row r="131" spans="1:11">
      <c r="A131" s="67" t="s">
        <v>82</v>
      </c>
      <c r="B131" s="67"/>
      <c r="C131" s="67"/>
      <c r="D131" s="67"/>
      <c r="E131" s="67"/>
      <c r="F131" s="67"/>
      <c r="G131" s="67"/>
      <c r="H131" s="67"/>
      <c r="I131" s="67"/>
      <c r="J131" s="67"/>
      <c r="K131" s="67"/>
    </row>
    <row r="132" spans="1:11">
      <c r="A132" s="67" t="s">
        <v>266</v>
      </c>
      <c r="B132" s="67"/>
      <c r="C132" s="67"/>
      <c r="D132" s="67"/>
      <c r="E132" s="67"/>
      <c r="F132" s="67"/>
      <c r="G132" s="67"/>
      <c r="H132" s="67"/>
      <c r="I132" s="67"/>
      <c r="J132" s="67"/>
      <c r="K132" s="67"/>
    </row>
    <row r="133" spans="1:11">
      <c r="A133" s="67" t="s">
        <v>81</v>
      </c>
      <c r="B133" s="67"/>
      <c r="C133" s="67"/>
      <c r="D133" s="67"/>
      <c r="E133" s="67"/>
      <c r="F133" s="67"/>
      <c r="G133" s="67"/>
      <c r="H133" s="67"/>
      <c r="I133" s="67"/>
      <c r="J133" s="67"/>
      <c r="K133" s="67"/>
    </row>
    <row r="134" spans="1:11">
      <c r="A134" s="67" t="s">
        <v>311</v>
      </c>
      <c r="B134" s="67"/>
      <c r="C134" s="67"/>
      <c r="D134" s="67"/>
      <c r="E134" s="67"/>
      <c r="F134" s="67"/>
      <c r="G134" s="67"/>
      <c r="H134" s="67"/>
      <c r="I134" s="67"/>
      <c r="J134" s="67"/>
      <c r="K134" s="67"/>
    </row>
    <row r="135" spans="1:11">
      <c r="A135" s="67" t="s">
        <v>312</v>
      </c>
      <c r="B135" s="67"/>
      <c r="C135" s="67"/>
      <c r="D135" s="67"/>
      <c r="E135" s="67"/>
      <c r="F135" s="67"/>
      <c r="G135" s="67"/>
      <c r="H135" s="67"/>
      <c r="I135" s="67"/>
      <c r="J135" s="67"/>
      <c r="K135" s="67"/>
    </row>
    <row r="136" spans="1:11">
      <c r="A136" s="67" t="s">
        <v>313</v>
      </c>
      <c r="B136" s="67"/>
      <c r="C136" s="67"/>
      <c r="D136" s="67"/>
      <c r="E136" s="67"/>
      <c r="F136" s="67"/>
      <c r="G136" s="67"/>
      <c r="H136" s="67"/>
      <c r="I136" s="67"/>
      <c r="J136" s="67"/>
      <c r="K136" s="67"/>
    </row>
    <row r="137" spans="1:11">
      <c r="A137" s="67" t="s">
        <v>314</v>
      </c>
      <c r="B137" s="67"/>
      <c r="C137" s="67"/>
      <c r="D137" s="67"/>
      <c r="E137" s="67"/>
      <c r="F137" s="67"/>
      <c r="G137" s="67"/>
      <c r="H137" s="67"/>
      <c r="I137" s="67"/>
      <c r="J137" s="67"/>
      <c r="K137" s="67"/>
    </row>
    <row r="138" spans="1:11">
      <c r="A138" s="67" t="s">
        <v>251</v>
      </c>
      <c r="B138" s="67"/>
      <c r="C138" s="67"/>
      <c r="D138" s="67"/>
      <c r="E138" s="67"/>
      <c r="F138" s="67"/>
      <c r="G138" s="67"/>
      <c r="H138" s="67"/>
      <c r="I138" s="67"/>
      <c r="J138" s="67"/>
      <c r="K138" s="67"/>
    </row>
    <row r="139" spans="1:11">
      <c r="A139" s="67" t="s">
        <v>315</v>
      </c>
      <c r="B139" s="67"/>
      <c r="C139" s="67"/>
      <c r="D139" s="67"/>
      <c r="E139" s="67"/>
      <c r="F139" s="67"/>
      <c r="G139" s="67"/>
      <c r="H139" s="67"/>
      <c r="I139" s="67"/>
      <c r="J139" s="67"/>
      <c r="K139" s="67"/>
    </row>
    <row r="140" spans="1:11">
      <c r="A140" s="67" t="s">
        <v>316</v>
      </c>
      <c r="B140" s="67"/>
      <c r="C140" s="67"/>
      <c r="D140" s="67"/>
      <c r="E140" s="67"/>
      <c r="F140" s="67"/>
      <c r="G140" s="67"/>
      <c r="H140" s="67"/>
      <c r="I140" s="67"/>
      <c r="J140" s="67"/>
      <c r="K140" s="67"/>
    </row>
    <row r="141" spans="1:11">
      <c r="A141" s="67" t="s">
        <v>266</v>
      </c>
      <c r="B141" s="67"/>
      <c r="C141" s="67"/>
      <c r="D141" s="67"/>
      <c r="E141" s="67"/>
      <c r="F141" s="67"/>
      <c r="G141" s="67"/>
      <c r="H141" s="67"/>
      <c r="I141" s="67"/>
      <c r="J141" s="67"/>
      <c r="K141" s="67"/>
    </row>
    <row r="142" spans="1:11">
      <c r="A142" s="67" t="s">
        <v>81</v>
      </c>
      <c r="B142" s="67"/>
      <c r="C142" s="67"/>
      <c r="D142" s="67"/>
      <c r="E142" s="67"/>
      <c r="F142" s="67"/>
      <c r="G142" s="67"/>
      <c r="H142" s="67"/>
      <c r="I142" s="67"/>
      <c r="J142" s="67"/>
      <c r="K142" s="67"/>
    </row>
    <row r="143" spans="1:11">
      <c r="A143" s="67" t="s">
        <v>317</v>
      </c>
      <c r="B143" s="67"/>
      <c r="C143" s="67"/>
      <c r="D143" s="67"/>
      <c r="E143" s="67"/>
      <c r="F143" s="67"/>
      <c r="G143" s="67"/>
      <c r="H143" s="67"/>
      <c r="I143" s="67"/>
      <c r="J143" s="67"/>
      <c r="K143" s="67"/>
    </row>
    <row r="144" spans="1:11">
      <c r="A144" s="67" t="s">
        <v>312</v>
      </c>
      <c r="B144" s="67"/>
      <c r="C144" s="67"/>
      <c r="D144" s="67"/>
      <c r="E144" s="67"/>
      <c r="F144" s="67"/>
      <c r="G144" s="67"/>
      <c r="H144" s="67"/>
      <c r="I144" s="67"/>
      <c r="J144" s="67"/>
      <c r="K144" s="67"/>
    </row>
    <row r="145" spans="1:11">
      <c r="A145" s="67" t="s">
        <v>313</v>
      </c>
      <c r="B145" s="67"/>
      <c r="C145" s="67"/>
      <c r="D145" s="67"/>
      <c r="E145" s="67"/>
      <c r="F145" s="67"/>
      <c r="G145" s="67"/>
      <c r="H145" s="67"/>
      <c r="I145" s="67"/>
      <c r="J145" s="67"/>
      <c r="K145" s="67"/>
    </row>
    <row r="146" spans="1:11">
      <c r="A146" s="67" t="s">
        <v>314</v>
      </c>
      <c r="B146" s="67"/>
      <c r="C146" s="67"/>
      <c r="D146" s="67"/>
      <c r="E146" s="67"/>
      <c r="F146" s="67"/>
      <c r="G146" s="67"/>
      <c r="H146" s="67"/>
      <c r="I146" s="67"/>
      <c r="J146" s="67"/>
      <c r="K146" s="67"/>
    </row>
    <row r="147" spans="1:11">
      <c r="A147" s="67" t="s">
        <v>318</v>
      </c>
      <c r="B147" s="67"/>
      <c r="C147" s="67"/>
      <c r="D147" s="67"/>
      <c r="E147" s="67"/>
      <c r="F147" s="67"/>
      <c r="G147" s="67"/>
      <c r="H147" s="67"/>
      <c r="I147" s="67"/>
      <c r="J147" s="67"/>
      <c r="K147" s="67"/>
    </row>
    <row r="148" spans="1:11">
      <c r="A148" s="67" t="s">
        <v>319</v>
      </c>
      <c r="B148" s="67"/>
      <c r="C148" s="67"/>
      <c r="D148" s="67"/>
      <c r="E148" s="67"/>
      <c r="F148" s="67"/>
      <c r="G148" s="67"/>
      <c r="H148" s="67"/>
      <c r="I148" s="67"/>
      <c r="J148" s="67"/>
      <c r="K148" s="67"/>
    </row>
    <row r="149" spans="1:11">
      <c r="A149" s="67" t="s">
        <v>266</v>
      </c>
      <c r="B149" s="67"/>
      <c r="C149" s="67"/>
      <c r="D149" s="67"/>
      <c r="E149" s="67"/>
      <c r="F149" s="67"/>
      <c r="G149" s="67"/>
      <c r="H149" s="67"/>
      <c r="I149" s="67"/>
      <c r="J149" s="67"/>
      <c r="K149" s="67"/>
    </row>
    <row r="150" spans="1:11">
      <c r="A150" s="67" t="s">
        <v>81</v>
      </c>
      <c r="B150" s="67"/>
      <c r="C150" s="67"/>
      <c r="D150" s="67"/>
      <c r="E150" s="67"/>
      <c r="F150" s="67"/>
      <c r="G150" s="67"/>
      <c r="H150" s="67"/>
      <c r="I150" s="67"/>
      <c r="J150" s="67"/>
      <c r="K150" s="67"/>
    </row>
    <row r="151" spans="1:11">
      <c r="A151" s="67" t="s">
        <v>320</v>
      </c>
      <c r="B151" s="67"/>
      <c r="C151" s="67"/>
      <c r="D151" s="67"/>
      <c r="E151" s="67"/>
      <c r="F151" s="67"/>
      <c r="G151" s="67"/>
      <c r="H151" s="67"/>
      <c r="I151" s="67"/>
      <c r="J151" s="67"/>
      <c r="K151" s="67"/>
    </row>
    <row r="152" spans="1:11">
      <c r="A152" s="67" t="s">
        <v>288</v>
      </c>
      <c r="B152" s="67"/>
      <c r="C152" s="67"/>
      <c r="D152" s="67"/>
      <c r="E152" s="67"/>
      <c r="F152" s="67"/>
      <c r="G152" s="67"/>
      <c r="H152" s="67"/>
      <c r="I152" s="67"/>
      <c r="J152" s="67"/>
      <c r="K152" s="67"/>
    </row>
    <row r="153" spans="1:11">
      <c r="A153" s="67" t="s">
        <v>321</v>
      </c>
      <c r="B153" s="67"/>
      <c r="C153" s="67"/>
      <c r="D153" s="67"/>
      <c r="E153" s="67"/>
      <c r="F153" s="67"/>
      <c r="G153" s="67"/>
      <c r="H153" s="67"/>
      <c r="I153" s="67"/>
      <c r="J153" s="67"/>
      <c r="K153" s="67"/>
    </row>
    <row r="154" spans="1:11">
      <c r="A154" s="67" t="s">
        <v>322</v>
      </c>
      <c r="B154" s="67"/>
      <c r="C154" s="67"/>
      <c r="D154" s="67"/>
      <c r="E154" s="67"/>
      <c r="F154" s="67"/>
      <c r="G154" s="67"/>
      <c r="H154" s="67"/>
      <c r="I154" s="67"/>
      <c r="J154" s="67"/>
      <c r="K154" s="67"/>
    </row>
    <row r="155" spans="1:11">
      <c r="A155" s="67" t="s">
        <v>266</v>
      </c>
      <c r="B155" s="67"/>
      <c r="C155" s="67"/>
      <c r="D155" s="67"/>
      <c r="E155" s="67"/>
      <c r="F155" s="67"/>
      <c r="G155" s="67"/>
      <c r="H155" s="67"/>
      <c r="I155" s="67"/>
      <c r="J155" s="67"/>
      <c r="K155" s="67"/>
    </row>
    <row r="156" spans="1:11">
      <c r="A156" s="67" t="s">
        <v>81</v>
      </c>
      <c r="B156" s="67"/>
      <c r="C156" s="67"/>
      <c r="D156" s="67"/>
      <c r="E156" s="67"/>
      <c r="F156" s="67"/>
      <c r="G156" s="67"/>
      <c r="H156" s="67"/>
      <c r="I156" s="67"/>
      <c r="J156" s="67"/>
      <c r="K156" s="67"/>
    </row>
    <row r="157" spans="1:11">
      <c r="A157" s="67" t="s">
        <v>323</v>
      </c>
      <c r="B157" s="67"/>
      <c r="C157" s="67"/>
      <c r="D157" s="67"/>
      <c r="E157" s="67"/>
      <c r="F157" s="67"/>
      <c r="G157" s="67"/>
      <c r="H157" s="67"/>
      <c r="I157" s="67"/>
      <c r="J157" s="67"/>
      <c r="K157" s="67"/>
    </row>
    <row r="158" spans="1:11">
      <c r="A158" s="67" t="s">
        <v>312</v>
      </c>
      <c r="B158" s="67"/>
      <c r="C158" s="67"/>
      <c r="D158" s="67"/>
      <c r="E158" s="67"/>
      <c r="F158" s="67"/>
      <c r="G158" s="67"/>
      <c r="H158" s="67"/>
      <c r="I158" s="67"/>
      <c r="J158" s="67"/>
      <c r="K158" s="67"/>
    </row>
    <row r="159" spans="1:11">
      <c r="A159" s="67" t="s">
        <v>324</v>
      </c>
      <c r="B159" s="67"/>
      <c r="C159" s="67"/>
      <c r="D159" s="67"/>
      <c r="E159" s="67"/>
      <c r="F159" s="67"/>
      <c r="G159" s="67"/>
      <c r="H159" s="67"/>
      <c r="I159" s="67"/>
      <c r="J159" s="67"/>
      <c r="K159" s="67"/>
    </row>
    <row r="160" spans="1:11">
      <c r="A160" s="67" t="s">
        <v>325</v>
      </c>
      <c r="B160" s="67"/>
      <c r="C160" s="67"/>
      <c r="D160" s="67"/>
      <c r="E160" s="67"/>
      <c r="F160" s="67"/>
      <c r="G160" s="67"/>
      <c r="H160" s="67"/>
      <c r="I160" s="67"/>
      <c r="J160" s="67"/>
      <c r="K160" s="67"/>
    </row>
    <row r="161" spans="1:11">
      <c r="A161" s="67" t="s">
        <v>266</v>
      </c>
      <c r="B161" s="67"/>
      <c r="C161" s="67"/>
      <c r="D161" s="67"/>
      <c r="E161" s="67"/>
      <c r="F161" s="67"/>
      <c r="G161" s="67"/>
      <c r="H161" s="67"/>
      <c r="I161" s="67"/>
      <c r="J161" s="67"/>
      <c r="K161" s="67"/>
    </row>
    <row r="162" spans="1:11">
      <c r="A162" s="67" t="s">
        <v>81</v>
      </c>
      <c r="B162" s="67"/>
      <c r="C162" s="67"/>
      <c r="D162" s="67"/>
      <c r="E162" s="67"/>
      <c r="F162" s="67"/>
      <c r="G162" s="67"/>
      <c r="H162" s="67"/>
      <c r="I162" s="67"/>
      <c r="J162" s="67"/>
      <c r="K162" s="67"/>
    </row>
    <row r="163" spans="1:11">
      <c r="A163" s="67" t="s">
        <v>326</v>
      </c>
      <c r="B163" s="67"/>
      <c r="C163" s="67"/>
      <c r="D163" s="67"/>
      <c r="E163" s="67"/>
      <c r="F163" s="67"/>
      <c r="G163" s="67"/>
      <c r="H163" s="67"/>
      <c r="I163" s="67"/>
      <c r="J163" s="67"/>
      <c r="K163" s="67"/>
    </row>
    <row r="164" spans="1:11">
      <c r="A164" s="67" t="s">
        <v>327</v>
      </c>
      <c r="B164" s="67"/>
      <c r="C164" s="67"/>
      <c r="D164" s="67"/>
      <c r="E164" s="67"/>
      <c r="F164" s="67"/>
      <c r="G164" s="67"/>
      <c r="H164" s="67"/>
      <c r="I164" s="67"/>
      <c r="J164" s="67"/>
      <c r="K164" s="67"/>
    </row>
    <row r="165" spans="1:11">
      <c r="A165" s="67" t="s">
        <v>328</v>
      </c>
      <c r="B165" s="67"/>
      <c r="C165" s="67"/>
      <c r="D165" s="67"/>
      <c r="E165" s="67"/>
      <c r="F165" s="67"/>
      <c r="G165" s="67"/>
      <c r="H165" s="67"/>
      <c r="I165" s="67"/>
      <c r="J165" s="67"/>
      <c r="K165" s="67"/>
    </row>
    <row r="166" spans="1:11">
      <c r="A166" s="67" t="s">
        <v>329</v>
      </c>
      <c r="B166" s="67"/>
      <c r="C166" s="67"/>
      <c r="D166" s="67"/>
      <c r="E166" s="67"/>
      <c r="F166" s="67"/>
      <c r="G166" s="67"/>
      <c r="H166" s="67"/>
      <c r="I166" s="67"/>
      <c r="J166" s="67"/>
      <c r="K166" s="67"/>
    </row>
    <row r="167" spans="1:11">
      <c r="A167" s="67" t="s">
        <v>266</v>
      </c>
      <c r="B167" s="67"/>
      <c r="C167" s="67"/>
      <c r="D167" s="67"/>
      <c r="E167" s="67"/>
      <c r="F167" s="67"/>
      <c r="G167" s="67"/>
      <c r="H167" s="67"/>
      <c r="I167" s="67"/>
      <c r="J167" s="67"/>
      <c r="K167" s="67"/>
    </row>
    <row r="168" spans="1:11">
      <c r="A168" s="67" t="s">
        <v>81</v>
      </c>
      <c r="B168" s="67"/>
      <c r="C168" s="67"/>
      <c r="D168" s="67"/>
      <c r="E168" s="67"/>
      <c r="F168" s="67"/>
      <c r="G168" s="67"/>
      <c r="H168" s="67"/>
      <c r="I168" s="67"/>
      <c r="J168" s="67"/>
      <c r="K168" s="67"/>
    </row>
    <row r="169" spans="1:11">
      <c r="A169" s="67" t="s">
        <v>330</v>
      </c>
      <c r="B169" s="67"/>
      <c r="C169" s="67"/>
      <c r="D169" s="67"/>
      <c r="E169" s="67"/>
      <c r="F169" s="67"/>
      <c r="G169" s="67"/>
      <c r="H169" s="67"/>
      <c r="I169" s="67"/>
      <c r="J169" s="67"/>
      <c r="K169" s="67"/>
    </row>
    <row r="170" spans="1:11">
      <c r="A170" s="67" t="s">
        <v>327</v>
      </c>
      <c r="B170" s="67"/>
      <c r="C170" s="67"/>
      <c r="D170" s="67"/>
      <c r="E170" s="67"/>
      <c r="F170" s="67"/>
      <c r="G170" s="67"/>
      <c r="H170" s="67"/>
      <c r="I170" s="67"/>
      <c r="J170" s="67"/>
      <c r="K170" s="67"/>
    </row>
    <row r="171" spans="1:11">
      <c r="A171" s="67" t="s">
        <v>331</v>
      </c>
      <c r="B171" s="67"/>
      <c r="C171" s="67"/>
      <c r="D171" s="67"/>
      <c r="E171" s="67"/>
      <c r="F171" s="67"/>
      <c r="G171" s="67"/>
      <c r="H171" s="67"/>
      <c r="I171" s="67"/>
      <c r="J171" s="67"/>
      <c r="K171" s="67"/>
    </row>
    <row r="172" spans="1:11">
      <c r="A172" s="67" t="s">
        <v>332</v>
      </c>
      <c r="B172" s="67"/>
      <c r="C172" s="67"/>
      <c r="D172" s="67"/>
      <c r="E172" s="67"/>
      <c r="F172" s="67"/>
      <c r="G172" s="67"/>
      <c r="H172" s="67"/>
      <c r="I172" s="67"/>
      <c r="J172" s="67"/>
      <c r="K172" s="67"/>
    </row>
    <row r="173" spans="1:11">
      <c r="A173" s="67" t="s">
        <v>266</v>
      </c>
      <c r="B173" s="67"/>
      <c r="C173" s="67"/>
      <c r="D173" s="67"/>
      <c r="E173" s="67"/>
      <c r="F173" s="67"/>
      <c r="G173" s="67"/>
      <c r="H173" s="67"/>
      <c r="I173" s="67"/>
      <c r="J173" s="67"/>
      <c r="K173" s="67"/>
    </row>
    <row r="174" spans="1:11">
      <c r="A174" s="67" t="s">
        <v>81</v>
      </c>
      <c r="B174" s="67"/>
      <c r="C174" s="67"/>
      <c r="D174" s="67"/>
      <c r="E174" s="67"/>
      <c r="F174" s="67"/>
      <c r="G174" s="67"/>
      <c r="H174" s="67"/>
      <c r="I174" s="67"/>
      <c r="J174" s="67"/>
      <c r="K174" s="67"/>
    </row>
    <row r="175" spans="1:11">
      <c r="A175" s="67" t="s">
        <v>333</v>
      </c>
      <c r="B175" s="67"/>
      <c r="C175" s="67"/>
      <c r="D175" s="67"/>
      <c r="E175" s="67"/>
      <c r="F175" s="67"/>
      <c r="G175" s="67"/>
      <c r="H175" s="67"/>
      <c r="I175" s="67"/>
      <c r="J175" s="67"/>
      <c r="K175" s="67"/>
    </row>
    <row r="176" spans="1:11">
      <c r="A176" s="67" t="s">
        <v>77</v>
      </c>
      <c r="B176" s="67"/>
      <c r="C176" s="67"/>
      <c r="D176" s="67"/>
      <c r="E176" s="67"/>
      <c r="F176" s="67"/>
      <c r="G176" s="67"/>
      <c r="H176" s="67"/>
      <c r="I176" s="67"/>
      <c r="J176" s="67"/>
      <c r="K176" s="67"/>
    </row>
    <row r="177" spans="1:11">
      <c r="A177" s="67" t="s">
        <v>334</v>
      </c>
      <c r="B177" s="67"/>
      <c r="C177" s="67"/>
      <c r="D177" s="67"/>
      <c r="E177" s="67"/>
      <c r="F177" s="67"/>
      <c r="G177" s="67"/>
      <c r="H177" s="67"/>
      <c r="I177" s="67"/>
      <c r="J177" s="67"/>
      <c r="K177" s="67"/>
    </row>
    <row r="178" spans="1:11">
      <c r="A178" s="67" t="s">
        <v>97</v>
      </c>
      <c r="B178" s="67"/>
      <c r="C178" s="67"/>
      <c r="D178" s="67"/>
      <c r="E178" s="67"/>
      <c r="F178" s="67"/>
      <c r="G178" s="67"/>
      <c r="H178" s="67"/>
      <c r="I178" s="67"/>
      <c r="J178" s="67"/>
      <c r="K178" s="67"/>
    </row>
    <row r="180" spans="1:11">
      <c r="A180" s="3" t="s">
        <v>213</v>
      </c>
    </row>
    <row r="181" spans="1:11">
      <c r="A181" s="63" t="s">
        <v>188</v>
      </c>
      <c r="B181" s="63"/>
      <c r="C181" s="64" t="s">
        <v>2</v>
      </c>
      <c r="D181" s="64"/>
      <c r="E181" s="64"/>
      <c r="F181" s="64"/>
      <c r="G181" s="64"/>
      <c r="H181" s="64"/>
      <c r="I181" s="64"/>
      <c r="J181" s="64"/>
      <c r="K181" s="64"/>
    </row>
    <row r="182" spans="1:11">
      <c r="A182" s="59" t="s">
        <v>3</v>
      </c>
      <c r="B182" s="59"/>
      <c r="C182" s="62" t="s">
        <v>344</v>
      </c>
      <c r="D182" s="62"/>
      <c r="E182" s="62"/>
      <c r="F182" s="62"/>
      <c r="G182" s="62"/>
      <c r="H182" s="62"/>
      <c r="I182" s="62"/>
      <c r="J182" s="62"/>
      <c r="K182" s="62"/>
    </row>
    <row r="183" spans="1:11">
      <c r="A183" s="59" t="s">
        <v>4</v>
      </c>
      <c r="B183" s="59"/>
      <c r="C183" s="62" t="s">
        <v>345</v>
      </c>
      <c r="D183" s="62"/>
      <c r="E183" s="62"/>
      <c r="F183" s="62"/>
      <c r="G183" s="62"/>
      <c r="H183" s="62"/>
      <c r="I183" s="62"/>
      <c r="J183" s="62"/>
      <c r="K183" s="62"/>
    </row>
    <row r="184" spans="1:11">
      <c r="A184" s="59" t="s">
        <v>346</v>
      </c>
      <c r="B184" s="59"/>
      <c r="C184" s="62" t="s">
        <v>836</v>
      </c>
      <c r="D184" s="62"/>
      <c r="E184" s="62"/>
      <c r="F184" s="62"/>
      <c r="G184" s="62"/>
      <c r="H184" s="62"/>
      <c r="I184" s="62"/>
      <c r="J184" s="62"/>
      <c r="K184" s="62"/>
    </row>
    <row r="186" spans="1:11">
      <c r="A186" s="3" t="s">
        <v>347</v>
      </c>
    </row>
    <row r="187" spans="1:11">
      <c r="A187" s="3" t="s">
        <v>358</v>
      </c>
    </row>
    <row r="188" spans="1:11" ht="15" customHeight="1">
      <c r="A188" s="63" t="s">
        <v>0</v>
      </c>
      <c r="B188" s="63"/>
      <c r="C188" s="63"/>
      <c r="D188" s="70" t="s">
        <v>2</v>
      </c>
      <c r="E188" s="70"/>
      <c r="F188" s="70"/>
      <c r="G188" s="70"/>
      <c r="H188" s="70"/>
      <c r="I188" s="70"/>
      <c r="J188" s="70"/>
      <c r="K188" s="70"/>
    </row>
    <row r="189" spans="1:11" ht="15" customHeight="1">
      <c r="A189" s="61" t="s">
        <v>348</v>
      </c>
      <c r="B189" s="61"/>
      <c r="C189" s="61"/>
      <c r="D189" s="62" t="s">
        <v>349</v>
      </c>
      <c r="E189" s="62"/>
      <c r="F189" s="62"/>
      <c r="G189" s="62"/>
      <c r="H189" s="62"/>
      <c r="I189" s="62"/>
      <c r="J189" s="62"/>
      <c r="K189" s="62"/>
    </row>
    <row r="190" spans="1:11" ht="15" customHeight="1">
      <c r="A190" s="61" t="s">
        <v>350</v>
      </c>
      <c r="B190" s="61"/>
      <c r="C190" s="61"/>
      <c r="D190" s="62" t="s">
        <v>351</v>
      </c>
      <c r="E190" s="62"/>
      <c r="F190" s="62"/>
      <c r="G190" s="62"/>
      <c r="H190" s="62"/>
      <c r="I190" s="62"/>
      <c r="J190" s="62"/>
      <c r="K190" s="62"/>
    </row>
    <row r="191" spans="1:11" ht="15" customHeight="1">
      <c r="A191" s="61" t="s">
        <v>352</v>
      </c>
      <c r="B191" s="61"/>
      <c r="C191" s="61"/>
      <c r="D191" s="62" t="s">
        <v>353</v>
      </c>
      <c r="E191" s="62"/>
      <c r="F191" s="62"/>
      <c r="G191" s="62"/>
      <c r="H191" s="62"/>
      <c r="I191" s="62"/>
      <c r="J191" s="62"/>
      <c r="K191" s="62"/>
    </row>
    <row r="192" spans="1:11" ht="15" customHeight="1">
      <c r="A192" s="61" t="s">
        <v>354</v>
      </c>
      <c r="B192" s="61"/>
      <c r="C192" s="61"/>
      <c r="D192" s="62" t="s">
        <v>355</v>
      </c>
      <c r="E192" s="62"/>
      <c r="F192" s="62"/>
      <c r="G192" s="62"/>
      <c r="H192" s="62"/>
      <c r="I192" s="62"/>
      <c r="J192" s="62"/>
      <c r="K192" s="62"/>
    </row>
    <row r="193" spans="1:11" ht="15" customHeight="1">
      <c r="A193" s="61" t="s">
        <v>356</v>
      </c>
      <c r="B193" s="61"/>
      <c r="C193" s="61"/>
      <c r="D193" s="62" t="s">
        <v>357</v>
      </c>
      <c r="E193" s="62"/>
      <c r="F193" s="62"/>
      <c r="G193" s="62"/>
      <c r="H193" s="62"/>
      <c r="I193" s="62"/>
      <c r="J193" s="62"/>
      <c r="K193" s="62"/>
    </row>
    <row r="194" spans="1:11">
      <c r="A194" s="3" t="s">
        <v>359</v>
      </c>
    </row>
    <row r="195" spans="1:11" ht="15" customHeight="1">
      <c r="A195" s="63" t="s">
        <v>0</v>
      </c>
      <c r="B195" s="63"/>
      <c r="C195" s="63"/>
      <c r="D195" s="70" t="s">
        <v>2</v>
      </c>
      <c r="E195" s="70"/>
      <c r="F195" s="70"/>
      <c r="G195" s="70"/>
      <c r="H195" s="70"/>
      <c r="I195" s="70"/>
      <c r="J195" s="70"/>
      <c r="K195" s="70"/>
    </row>
    <row r="196" spans="1:11" ht="15" customHeight="1">
      <c r="A196" s="61" t="s">
        <v>360</v>
      </c>
      <c r="B196" s="61"/>
      <c r="C196" s="61"/>
      <c r="D196" s="62" t="s">
        <v>376</v>
      </c>
      <c r="E196" s="62"/>
      <c r="F196" s="62"/>
      <c r="G196" s="62"/>
      <c r="H196" s="62"/>
      <c r="I196" s="62"/>
      <c r="J196" s="62"/>
      <c r="K196" s="62"/>
    </row>
    <row r="197" spans="1:11" ht="15" customHeight="1">
      <c r="A197" s="61" t="s">
        <v>361</v>
      </c>
      <c r="B197" s="61"/>
      <c r="C197" s="61"/>
      <c r="D197" s="62" t="s">
        <v>362</v>
      </c>
      <c r="E197" s="62"/>
      <c r="F197" s="62"/>
      <c r="G197" s="62"/>
      <c r="H197" s="62"/>
      <c r="I197" s="62"/>
      <c r="J197" s="62"/>
      <c r="K197" s="62"/>
    </row>
    <row r="198" spans="1:11" ht="15" customHeight="1">
      <c r="A198" s="61" t="s">
        <v>363</v>
      </c>
      <c r="B198" s="61"/>
      <c r="C198" s="61"/>
      <c r="D198" s="62" t="s">
        <v>364</v>
      </c>
      <c r="E198" s="62"/>
      <c r="F198" s="62"/>
      <c r="G198" s="62"/>
      <c r="H198" s="62"/>
      <c r="I198" s="62"/>
      <c r="J198" s="62"/>
      <c r="K198" s="62"/>
    </row>
    <row r="199" spans="1:11" ht="15" customHeight="1">
      <c r="A199" s="61" t="s">
        <v>365</v>
      </c>
      <c r="B199" s="61"/>
      <c r="C199" s="61"/>
      <c r="D199" s="62" t="s">
        <v>366</v>
      </c>
      <c r="E199" s="62"/>
      <c r="F199" s="62"/>
      <c r="G199" s="62"/>
      <c r="H199" s="62"/>
      <c r="I199" s="62"/>
      <c r="J199" s="62"/>
      <c r="K199" s="62"/>
    </row>
    <row r="200" spans="1:11">
      <c r="A200" s="3" t="s">
        <v>367</v>
      </c>
    </row>
    <row r="201" spans="1:11" ht="15" customHeight="1">
      <c r="A201" s="63" t="s">
        <v>0</v>
      </c>
      <c r="B201" s="63"/>
      <c r="C201" s="63"/>
      <c r="D201" s="70" t="s">
        <v>2</v>
      </c>
      <c r="E201" s="70"/>
      <c r="F201" s="70"/>
      <c r="G201" s="70"/>
      <c r="H201" s="70"/>
      <c r="I201" s="70"/>
      <c r="J201" s="70"/>
      <c r="K201" s="70"/>
    </row>
    <row r="202" spans="1:11" ht="15" customHeight="1">
      <c r="A202" s="61" t="s">
        <v>368</v>
      </c>
      <c r="B202" s="61"/>
      <c r="C202" s="61"/>
      <c r="D202" s="62" t="s">
        <v>369</v>
      </c>
      <c r="E202" s="62"/>
      <c r="F202" s="62"/>
      <c r="G202" s="62"/>
      <c r="H202" s="62"/>
      <c r="I202" s="62"/>
      <c r="J202" s="62"/>
      <c r="K202" s="62"/>
    </row>
    <row r="203" spans="1:11" ht="15" customHeight="1">
      <c r="A203" s="61" t="s">
        <v>370</v>
      </c>
      <c r="B203" s="61"/>
      <c r="C203" s="61"/>
      <c r="D203" s="62" t="s">
        <v>371</v>
      </c>
      <c r="E203" s="62"/>
      <c r="F203" s="62"/>
      <c r="G203" s="62"/>
      <c r="H203" s="62"/>
      <c r="I203" s="62"/>
      <c r="J203" s="62"/>
      <c r="K203" s="62"/>
    </row>
    <row r="204" spans="1:11" ht="15" customHeight="1">
      <c r="A204" s="61" t="s">
        <v>372</v>
      </c>
      <c r="B204" s="61"/>
      <c r="C204" s="61"/>
      <c r="D204" s="62" t="s">
        <v>373</v>
      </c>
      <c r="E204" s="62"/>
      <c r="F204" s="62"/>
      <c r="G204" s="62"/>
      <c r="H204" s="62"/>
      <c r="I204" s="62"/>
      <c r="J204" s="62"/>
      <c r="K204" s="62"/>
    </row>
    <row r="205" spans="1:11" ht="15" customHeight="1">
      <c r="A205" s="61" t="s">
        <v>374</v>
      </c>
      <c r="B205" s="61"/>
      <c r="C205" s="61"/>
      <c r="D205" s="62" t="s">
        <v>375</v>
      </c>
      <c r="E205" s="62"/>
      <c r="F205" s="62"/>
      <c r="G205" s="62"/>
      <c r="H205" s="62"/>
      <c r="I205" s="62"/>
      <c r="J205" s="62"/>
      <c r="K205" s="62"/>
    </row>
    <row r="207" spans="1:11">
      <c r="A207" s="3" t="s">
        <v>224</v>
      </c>
    </row>
    <row r="208" spans="1:11">
      <c r="A208" s="65" t="s">
        <v>377</v>
      </c>
      <c r="B208" s="65"/>
      <c r="C208" s="65"/>
      <c r="D208" s="65"/>
      <c r="E208" s="65"/>
      <c r="F208" s="65"/>
      <c r="G208" s="65"/>
      <c r="H208" s="65"/>
      <c r="I208" s="65"/>
      <c r="J208" s="65"/>
      <c r="K208" s="65"/>
    </row>
    <row r="209" spans="1:11">
      <c r="A209" s="65" t="s">
        <v>378</v>
      </c>
      <c r="B209" s="65"/>
      <c r="C209" s="65"/>
      <c r="D209" s="65"/>
      <c r="E209" s="65"/>
      <c r="F209" s="65"/>
      <c r="G209" s="65"/>
      <c r="H209" s="65"/>
      <c r="I209" s="65"/>
      <c r="J209" s="65"/>
      <c r="K209" s="65"/>
    </row>
    <row r="210" spans="1:11" ht="15">
      <c r="A210" s="65" t="s">
        <v>379</v>
      </c>
      <c r="B210" s="65"/>
      <c r="C210" s="65"/>
      <c r="D210" s="65"/>
      <c r="E210" s="65"/>
      <c r="F210" s="65"/>
      <c r="G210" s="65"/>
      <c r="H210" s="65"/>
      <c r="I210" s="65"/>
      <c r="J210" s="65"/>
      <c r="K210" s="65"/>
    </row>
    <row r="211" spans="1:11" ht="15">
      <c r="A211" s="65" t="s">
        <v>380</v>
      </c>
      <c r="B211" s="65"/>
      <c r="C211" s="65"/>
      <c r="D211" s="65"/>
      <c r="E211" s="65"/>
      <c r="F211" s="65"/>
      <c r="G211" s="65"/>
      <c r="H211" s="65"/>
      <c r="I211" s="65"/>
      <c r="J211" s="65"/>
      <c r="K211" s="65"/>
    </row>
    <row r="212" spans="1:11" ht="15">
      <c r="A212" s="65" t="s">
        <v>381</v>
      </c>
      <c r="B212" s="65"/>
      <c r="C212" s="65"/>
      <c r="D212" s="65"/>
      <c r="E212" s="65"/>
      <c r="F212" s="65"/>
      <c r="G212" s="65"/>
      <c r="H212" s="65"/>
      <c r="I212" s="65"/>
      <c r="J212" s="65"/>
      <c r="K212" s="65"/>
    </row>
    <row r="214" spans="1:11">
      <c r="A214" s="3" t="s">
        <v>232</v>
      </c>
    </row>
    <row r="215" spans="1:11" ht="15">
      <c r="A215" s="65" t="s">
        <v>382</v>
      </c>
      <c r="B215" s="65"/>
      <c r="C215" s="65"/>
      <c r="D215" s="65"/>
      <c r="E215" s="65"/>
      <c r="F215" s="65"/>
      <c r="G215" s="65"/>
      <c r="H215" s="65"/>
      <c r="I215" s="65"/>
      <c r="J215" s="65"/>
      <c r="K215" s="65"/>
    </row>
    <row r="216" spans="1:11">
      <c r="A216" s="65" t="s">
        <v>383</v>
      </c>
      <c r="B216" s="65"/>
      <c r="C216" s="65"/>
      <c r="D216" s="65"/>
      <c r="E216" s="65"/>
      <c r="F216" s="65"/>
      <c r="G216" s="65"/>
      <c r="H216" s="65"/>
      <c r="I216" s="65"/>
      <c r="J216" s="65"/>
      <c r="K216" s="65"/>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 ref="D202:K202"/>
    <mergeCell ref="D203:K203"/>
    <mergeCell ref="D204:K204"/>
    <mergeCell ref="D205:K205"/>
    <mergeCell ref="A203:C203"/>
    <mergeCell ref="A204:C204"/>
    <mergeCell ref="A205:C205"/>
    <mergeCell ref="A201:C201"/>
    <mergeCell ref="A202:C202"/>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134:K134"/>
    <mergeCell ref="A135:K135"/>
    <mergeCell ref="A136:K136"/>
    <mergeCell ref="A137:K137"/>
    <mergeCell ref="A138:K138"/>
    <mergeCell ref="A127:K127"/>
    <mergeCell ref="A128:K128"/>
    <mergeCell ref="A129:K129"/>
    <mergeCell ref="A130:K130"/>
    <mergeCell ref="A131:K131"/>
    <mergeCell ref="A132:K132"/>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09:K109"/>
    <mergeCell ref="A110:K110"/>
    <mergeCell ref="A111:K111"/>
    <mergeCell ref="A112:K112"/>
    <mergeCell ref="A113:K113"/>
    <mergeCell ref="A114:K114"/>
    <mergeCell ref="A103:K103"/>
    <mergeCell ref="A104:K104"/>
    <mergeCell ref="A105:K105"/>
    <mergeCell ref="A106:K106"/>
    <mergeCell ref="A107:K107"/>
    <mergeCell ref="A108:K108"/>
    <mergeCell ref="A97:K97"/>
    <mergeCell ref="A98:K98"/>
    <mergeCell ref="A99:K99"/>
    <mergeCell ref="A100:K100"/>
    <mergeCell ref="A101:K101"/>
    <mergeCell ref="A102:K102"/>
    <mergeCell ref="A91:K91"/>
    <mergeCell ref="A92:K92"/>
    <mergeCell ref="A93:K93"/>
    <mergeCell ref="A94:K94"/>
    <mergeCell ref="A95:K95"/>
    <mergeCell ref="A96:K96"/>
    <mergeCell ref="A85:K85"/>
    <mergeCell ref="A86:K86"/>
    <mergeCell ref="A87:K87"/>
    <mergeCell ref="A88:K88"/>
    <mergeCell ref="A89:K89"/>
    <mergeCell ref="A90:K90"/>
    <mergeCell ref="A79:K79"/>
    <mergeCell ref="A80:K80"/>
    <mergeCell ref="A81:K81"/>
    <mergeCell ref="A82:K82"/>
    <mergeCell ref="A83:K83"/>
    <mergeCell ref="A84:K84"/>
    <mergeCell ref="A73:K73"/>
    <mergeCell ref="A74:K74"/>
    <mergeCell ref="A75:K75"/>
    <mergeCell ref="A76:K76"/>
    <mergeCell ref="A77:K77"/>
    <mergeCell ref="A78:K78"/>
    <mergeCell ref="A67:K67"/>
    <mergeCell ref="A68:K68"/>
    <mergeCell ref="A69:K69"/>
    <mergeCell ref="A70:K70"/>
    <mergeCell ref="A71:K71"/>
    <mergeCell ref="A72:K72"/>
    <mergeCell ref="A61:K61"/>
    <mergeCell ref="A62:K62"/>
    <mergeCell ref="A63:K63"/>
    <mergeCell ref="A64:K64"/>
    <mergeCell ref="A65:K65"/>
    <mergeCell ref="A66:K66"/>
    <mergeCell ref="A55:K55"/>
    <mergeCell ref="A56:K56"/>
    <mergeCell ref="A57:K57"/>
    <mergeCell ref="A58:K58"/>
    <mergeCell ref="A59:K59"/>
    <mergeCell ref="A60:K60"/>
    <mergeCell ref="A49:K49"/>
    <mergeCell ref="A50:K50"/>
    <mergeCell ref="A51:K51"/>
    <mergeCell ref="A52:K52"/>
    <mergeCell ref="A53:K53"/>
    <mergeCell ref="A54:K54"/>
    <mergeCell ref="A43:K43"/>
    <mergeCell ref="A44:K44"/>
    <mergeCell ref="A45:K45"/>
    <mergeCell ref="A46:K46"/>
    <mergeCell ref="A47:K47"/>
    <mergeCell ref="A48:K48"/>
    <mergeCell ref="A37:K37"/>
    <mergeCell ref="A38:K38"/>
    <mergeCell ref="A39:K39"/>
    <mergeCell ref="A40:K40"/>
    <mergeCell ref="A41:K41"/>
    <mergeCell ref="A42:K42"/>
    <mergeCell ref="A31:K31"/>
    <mergeCell ref="A32:K32"/>
    <mergeCell ref="A33:K33"/>
    <mergeCell ref="A34:K34"/>
    <mergeCell ref="A35:K35"/>
    <mergeCell ref="A36:K36"/>
    <mergeCell ref="A28:K28"/>
    <mergeCell ref="A29:K29"/>
    <mergeCell ref="A30:K30"/>
    <mergeCell ref="A19:K19"/>
    <mergeCell ref="A20:K20"/>
    <mergeCell ref="A21:K21"/>
    <mergeCell ref="A22:K22"/>
    <mergeCell ref="A23:K23"/>
    <mergeCell ref="A24:K24"/>
    <mergeCell ref="A13:K13"/>
    <mergeCell ref="A14:K14"/>
    <mergeCell ref="A15:K15"/>
    <mergeCell ref="A16:K16"/>
    <mergeCell ref="A17:K17"/>
    <mergeCell ref="A18:K18"/>
    <mergeCell ref="A25:K25"/>
    <mergeCell ref="A26:K26"/>
    <mergeCell ref="A27:K2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40" zoomScaleNormal="100" workbookViewId="0">
      <selection activeCell="A164" sqref="A164"/>
    </sheetView>
  </sheetViews>
  <sheetFormatPr defaultColWidth="9.125" defaultRowHeight="12.75"/>
  <cols>
    <col min="1" max="1" width="9.125" style="4" customWidth="1"/>
    <col min="2" max="2" width="11" style="4" bestFit="1" customWidth="1"/>
    <col min="3" max="10" width="9.125" style="4"/>
    <col min="11" max="11" width="10.125" style="4" bestFit="1" customWidth="1"/>
    <col min="12" max="16384" width="9.125" style="4"/>
  </cols>
  <sheetData>
    <row r="1" spans="1:11">
      <c r="A1" s="3" t="s">
        <v>215</v>
      </c>
      <c r="K1" s="17">
        <v>46182</v>
      </c>
    </row>
    <row r="2" spans="1:11" ht="14.25">
      <c r="A2" s="65" t="s">
        <v>216</v>
      </c>
      <c r="B2" s="65"/>
      <c r="C2" s="65"/>
      <c r="D2" s="65"/>
      <c r="E2" s="65"/>
      <c r="F2" s="65"/>
      <c r="G2" s="65"/>
      <c r="H2" s="65"/>
      <c r="I2" s="65"/>
      <c r="J2" s="65"/>
      <c r="K2" s="65"/>
    </row>
    <row r="3" spans="1:11" ht="14.25">
      <c r="A3" s="65" t="s">
        <v>218</v>
      </c>
      <c r="B3" s="65"/>
      <c r="C3" s="65"/>
      <c r="D3" s="65"/>
      <c r="E3" s="65"/>
      <c r="F3" s="65"/>
      <c r="G3" s="65"/>
      <c r="H3" s="65"/>
      <c r="I3" s="65"/>
      <c r="J3" s="65"/>
      <c r="K3" s="65"/>
    </row>
    <row r="4" spans="1:11" ht="14.25">
      <c r="A4" s="65" t="s">
        <v>217</v>
      </c>
      <c r="B4" s="65"/>
      <c r="C4" s="65"/>
      <c r="D4" s="65"/>
      <c r="E4" s="65"/>
      <c r="F4" s="65"/>
      <c r="G4" s="65"/>
      <c r="H4" s="65"/>
      <c r="I4" s="65"/>
      <c r="J4" s="65"/>
      <c r="K4" s="65"/>
    </row>
    <row r="5" spans="1:11">
      <c r="A5" s="3"/>
    </row>
    <row r="6" spans="1:11">
      <c r="A6" s="3" t="s">
        <v>1</v>
      </c>
    </row>
    <row r="7" spans="1:11" ht="15">
      <c r="A7" s="65" t="s">
        <v>222</v>
      </c>
      <c r="B7" s="65"/>
      <c r="C7" s="65"/>
      <c r="D7" s="65"/>
      <c r="E7" s="65"/>
      <c r="F7" s="65"/>
      <c r="G7" s="65"/>
      <c r="H7" s="65"/>
      <c r="I7" s="65"/>
      <c r="J7" s="65"/>
      <c r="K7" s="65"/>
    </row>
    <row r="8" spans="1:11" ht="14.25">
      <c r="A8" s="65" t="s">
        <v>221</v>
      </c>
      <c r="B8" s="65"/>
      <c r="C8" s="65"/>
      <c r="D8" s="65"/>
      <c r="E8" s="65"/>
      <c r="F8" s="65"/>
      <c r="G8" s="65"/>
      <c r="H8" s="65"/>
      <c r="I8" s="65"/>
      <c r="J8" s="65"/>
      <c r="K8" s="65"/>
    </row>
    <row r="9" spans="1:11" ht="14.25">
      <c r="A9" s="65" t="s">
        <v>402</v>
      </c>
      <c r="B9" s="65"/>
      <c r="C9" s="65"/>
      <c r="D9" s="65"/>
      <c r="E9" s="65"/>
      <c r="F9" s="65"/>
      <c r="G9" s="65"/>
      <c r="H9" s="65"/>
      <c r="I9" s="65"/>
      <c r="J9" s="65"/>
      <c r="K9" s="65"/>
    </row>
    <row r="10" spans="1:11">
      <c r="A10" s="3"/>
    </row>
    <row r="11" spans="1:11">
      <c r="A11" s="3" t="s">
        <v>220</v>
      </c>
    </row>
    <row r="12" spans="1:11">
      <c r="A12" s="66" t="s">
        <v>100</v>
      </c>
      <c r="B12" s="66"/>
      <c r="C12" s="66"/>
      <c r="D12" s="66"/>
      <c r="E12" s="66"/>
      <c r="F12" s="66"/>
      <c r="G12" s="66"/>
      <c r="H12" s="66"/>
      <c r="I12" s="66"/>
      <c r="J12" s="66"/>
      <c r="K12" s="66"/>
    </row>
    <row r="13" spans="1:11">
      <c r="A13" s="67" t="s">
        <v>101</v>
      </c>
      <c r="B13" s="67"/>
      <c r="C13" s="67"/>
      <c r="D13" s="67"/>
      <c r="E13" s="67"/>
      <c r="F13" s="67"/>
      <c r="G13" s="67"/>
      <c r="H13" s="67"/>
      <c r="I13" s="67"/>
      <c r="J13" s="67"/>
      <c r="K13" s="67"/>
    </row>
    <row r="14" spans="1:11">
      <c r="A14" s="67" t="s">
        <v>102</v>
      </c>
      <c r="B14" s="67"/>
      <c r="C14" s="67"/>
      <c r="D14" s="67"/>
      <c r="E14" s="67"/>
      <c r="F14" s="67"/>
      <c r="G14" s="67"/>
      <c r="H14" s="67"/>
      <c r="I14" s="67"/>
      <c r="J14" s="67"/>
      <c r="K14" s="67"/>
    </row>
    <row r="15" spans="1:11">
      <c r="A15" s="67" t="s">
        <v>103</v>
      </c>
      <c r="B15" s="67"/>
      <c r="C15" s="67"/>
      <c r="D15" s="67"/>
      <c r="E15" s="67"/>
      <c r="F15" s="67"/>
      <c r="G15" s="67"/>
      <c r="H15" s="67"/>
      <c r="I15" s="67"/>
      <c r="J15" s="67"/>
      <c r="K15" s="67"/>
    </row>
    <row r="16" spans="1:11">
      <c r="A16" s="67" t="s">
        <v>104</v>
      </c>
      <c r="B16" s="67"/>
      <c r="C16" s="67"/>
      <c r="D16" s="67"/>
      <c r="E16" s="67"/>
      <c r="F16" s="67"/>
      <c r="G16" s="67"/>
      <c r="H16" s="67"/>
      <c r="I16" s="67"/>
      <c r="J16" s="67"/>
      <c r="K16" s="67"/>
    </row>
    <row r="17" spans="1:11">
      <c r="A17" s="67" t="s">
        <v>105</v>
      </c>
      <c r="B17" s="67"/>
      <c r="C17" s="67"/>
      <c r="D17" s="67"/>
      <c r="E17" s="67"/>
      <c r="F17" s="67"/>
      <c r="G17" s="67"/>
      <c r="H17" s="67"/>
      <c r="I17" s="67"/>
      <c r="J17" s="67"/>
      <c r="K17" s="67"/>
    </row>
    <row r="18" spans="1:11">
      <c r="A18" s="67" t="s">
        <v>106</v>
      </c>
      <c r="B18" s="67"/>
      <c r="C18" s="67"/>
      <c r="D18" s="67"/>
      <c r="E18" s="67"/>
      <c r="F18" s="67"/>
      <c r="G18" s="67"/>
      <c r="H18" s="67"/>
      <c r="I18" s="67"/>
      <c r="J18" s="67"/>
      <c r="K18" s="67"/>
    </row>
    <row r="19" spans="1:11">
      <c r="A19" s="67" t="s">
        <v>107</v>
      </c>
      <c r="B19" s="67"/>
      <c r="C19" s="67"/>
      <c r="D19" s="67"/>
      <c r="E19" s="67"/>
      <c r="F19" s="67"/>
      <c r="G19" s="67"/>
      <c r="H19" s="67"/>
      <c r="I19" s="67"/>
      <c r="J19" s="67"/>
      <c r="K19" s="67"/>
    </row>
    <row r="20" spans="1:11">
      <c r="A20" s="67" t="s">
        <v>77</v>
      </c>
      <c r="B20" s="67"/>
      <c r="C20" s="67"/>
      <c r="D20" s="67"/>
      <c r="E20" s="67"/>
      <c r="F20" s="67"/>
      <c r="G20" s="67"/>
      <c r="H20" s="67"/>
      <c r="I20" s="67"/>
      <c r="J20" s="67"/>
      <c r="K20" s="67"/>
    </row>
    <row r="21" spans="1:11">
      <c r="A21" s="67" t="s">
        <v>108</v>
      </c>
      <c r="B21" s="67"/>
      <c r="C21" s="67"/>
      <c r="D21" s="67"/>
      <c r="E21" s="67"/>
      <c r="F21" s="67"/>
      <c r="G21" s="67"/>
      <c r="H21" s="67"/>
      <c r="I21" s="67"/>
      <c r="J21" s="67"/>
      <c r="K21" s="67"/>
    </row>
    <row r="22" spans="1:11">
      <c r="A22" s="67" t="s">
        <v>109</v>
      </c>
      <c r="B22" s="67"/>
      <c r="C22" s="67"/>
      <c r="D22" s="67"/>
      <c r="E22" s="67"/>
      <c r="F22" s="67"/>
      <c r="G22" s="67"/>
      <c r="H22" s="67"/>
      <c r="I22" s="67"/>
      <c r="J22" s="67"/>
      <c r="K22" s="67"/>
    </row>
    <row r="23" spans="1:11">
      <c r="A23" s="67" t="s">
        <v>110</v>
      </c>
      <c r="B23" s="67"/>
      <c r="C23" s="67"/>
      <c r="D23" s="67"/>
      <c r="E23" s="67"/>
      <c r="F23" s="67"/>
      <c r="G23" s="67"/>
      <c r="H23" s="67"/>
      <c r="I23" s="67"/>
      <c r="J23" s="67"/>
      <c r="K23" s="67"/>
    </row>
    <row r="24" spans="1:11">
      <c r="A24" s="67" t="s">
        <v>111</v>
      </c>
      <c r="B24" s="67"/>
      <c r="C24" s="67"/>
      <c r="D24" s="67"/>
      <c r="E24" s="67"/>
      <c r="F24" s="67"/>
      <c r="G24" s="67"/>
      <c r="H24" s="67"/>
      <c r="I24" s="67"/>
      <c r="J24" s="67"/>
      <c r="K24" s="67"/>
    </row>
    <row r="25" spans="1:11">
      <c r="A25" s="67" t="s">
        <v>112</v>
      </c>
      <c r="B25" s="67"/>
      <c r="C25" s="67"/>
      <c r="D25" s="67"/>
      <c r="E25" s="67"/>
      <c r="F25" s="67"/>
      <c r="G25" s="67"/>
      <c r="H25" s="67"/>
      <c r="I25" s="67"/>
      <c r="J25" s="67"/>
      <c r="K25" s="67"/>
    </row>
    <row r="26" spans="1:11">
      <c r="A26" s="67" t="s">
        <v>113</v>
      </c>
      <c r="B26" s="67"/>
      <c r="C26" s="67"/>
      <c r="D26" s="67"/>
      <c r="E26" s="67"/>
      <c r="F26" s="67"/>
      <c r="G26" s="67"/>
      <c r="H26" s="67"/>
      <c r="I26" s="67"/>
      <c r="J26" s="67"/>
      <c r="K26" s="67"/>
    </row>
    <row r="27" spans="1:11">
      <c r="A27" s="67" t="s">
        <v>114</v>
      </c>
      <c r="B27" s="67"/>
      <c r="C27" s="67"/>
      <c r="D27" s="67"/>
      <c r="E27" s="67"/>
      <c r="F27" s="67"/>
      <c r="G27" s="67"/>
      <c r="H27" s="67"/>
      <c r="I27" s="67"/>
      <c r="J27" s="67"/>
      <c r="K27" s="67"/>
    </row>
    <row r="28" spans="1:11">
      <c r="A28" s="67" t="s">
        <v>115</v>
      </c>
      <c r="B28" s="67"/>
      <c r="C28" s="67"/>
      <c r="D28" s="67"/>
      <c r="E28" s="67"/>
      <c r="F28" s="67"/>
      <c r="G28" s="67"/>
      <c r="H28" s="67"/>
      <c r="I28" s="67"/>
      <c r="J28" s="67"/>
      <c r="K28" s="67"/>
    </row>
    <row r="29" spans="1:11">
      <c r="A29" s="67" t="s">
        <v>116</v>
      </c>
      <c r="B29" s="67"/>
      <c r="C29" s="67"/>
      <c r="D29" s="67"/>
      <c r="E29" s="67"/>
      <c r="F29" s="67"/>
      <c r="G29" s="67"/>
      <c r="H29" s="67"/>
      <c r="I29" s="67"/>
      <c r="J29" s="67"/>
      <c r="K29" s="67"/>
    </row>
    <row r="30" spans="1:11">
      <c r="A30" s="67" t="s">
        <v>117</v>
      </c>
      <c r="B30" s="67"/>
      <c r="C30" s="67"/>
      <c r="D30" s="67"/>
      <c r="E30" s="67"/>
      <c r="F30" s="67"/>
      <c r="G30" s="67"/>
      <c r="H30" s="67"/>
      <c r="I30" s="67"/>
      <c r="J30" s="67"/>
      <c r="K30" s="67"/>
    </row>
    <row r="31" spans="1:11">
      <c r="A31" s="67" t="s">
        <v>118</v>
      </c>
      <c r="B31" s="67"/>
      <c r="C31" s="67"/>
      <c r="D31" s="67"/>
      <c r="E31" s="67"/>
      <c r="F31" s="67"/>
      <c r="G31" s="67"/>
      <c r="H31" s="67"/>
      <c r="I31" s="67"/>
      <c r="J31" s="67"/>
      <c r="K31" s="67"/>
    </row>
    <row r="32" spans="1:11">
      <c r="A32" s="67" t="s">
        <v>119</v>
      </c>
      <c r="B32" s="67"/>
      <c r="C32" s="67"/>
      <c r="D32" s="67"/>
      <c r="E32" s="67"/>
      <c r="F32" s="67"/>
      <c r="G32" s="67"/>
      <c r="H32" s="67"/>
      <c r="I32" s="67"/>
      <c r="J32" s="67"/>
      <c r="K32" s="67"/>
    </row>
    <row r="33" spans="1:11">
      <c r="A33" s="67" t="s">
        <v>120</v>
      </c>
      <c r="B33" s="67"/>
      <c r="C33" s="67"/>
      <c r="D33" s="67"/>
      <c r="E33" s="67"/>
      <c r="F33" s="67"/>
      <c r="G33" s="67"/>
      <c r="H33" s="67"/>
      <c r="I33" s="67"/>
      <c r="J33" s="67"/>
      <c r="K33" s="67"/>
    </row>
    <row r="34" spans="1:11">
      <c r="A34" s="67" t="s">
        <v>121</v>
      </c>
      <c r="B34" s="67"/>
      <c r="C34" s="67"/>
      <c r="D34" s="67"/>
      <c r="E34" s="67"/>
      <c r="F34" s="67"/>
      <c r="G34" s="67"/>
      <c r="H34" s="67"/>
      <c r="I34" s="67"/>
      <c r="J34" s="67"/>
      <c r="K34" s="67"/>
    </row>
    <row r="35" spans="1:11">
      <c r="A35" s="67" t="s">
        <v>122</v>
      </c>
      <c r="B35" s="67"/>
      <c r="C35" s="67"/>
      <c r="D35" s="67"/>
      <c r="E35" s="67"/>
      <c r="F35" s="67"/>
      <c r="G35" s="67"/>
      <c r="H35" s="67"/>
      <c r="I35" s="67"/>
      <c r="J35" s="67"/>
      <c r="K35" s="67"/>
    </row>
    <row r="36" spans="1:11">
      <c r="A36" s="67" t="s">
        <v>123</v>
      </c>
      <c r="B36" s="67"/>
      <c r="C36" s="67"/>
      <c r="D36" s="67"/>
      <c r="E36" s="67"/>
      <c r="F36" s="67"/>
      <c r="G36" s="67"/>
      <c r="H36" s="67"/>
      <c r="I36" s="67"/>
      <c r="J36" s="67"/>
      <c r="K36" s="67"/>
    </row>
    <row r="37" spans="1:11">
      <c r="A37" s="67" t="s">
        <v>124</v>
      </c>
      <c r="B37" s="67"/>
      <c r="C37" s="67"/>
      <c r="D37" s="67"/>
      <c r="E37" s="67"/>
      <c r="F37" s="67"/>
      <c r="G37" s="67"/>
      <c r="H37" s="67"/>
      <c r="I37" s="67"/>
      <c r="J37" s="67"/>
      <c r="K37" s="67"/>
    </row>
    <row r="38" spans="1:11">
      <c r="A38" s="67" t="s">
        <v>125</v>
      </c>
      <c r="B38" s="67"/>
      <c r="C38" s="67"/>
      <c r="D38" s="67"/>
      <c r="E38" s="67"/>
      <c r="F38" s="67"/>
      <c r="G38" s="67"/>
      <c r="H38" s="67"/>
      <c r="I38" s="67"/>
      <c r="J38" s="67"/>
      <c r="K38" s="67"/>
    </row>
    <row r="39" spans="1:11">
      <c r="A39" s="67" t="s">
        <v>126</v>
      </c>
      <c r="B39" s="67"/>
      <c r="C39" s="67"/>
      <c r="D39" s="67"/>
      <c r="E39" s="67"/>
      <c r="F39" s="67"/>
      <c r="G39" s="67"/>
      <c r="H39" s="67"/>
      <c r="I39" s="67"/>
      <c r="J39" s="67"/>
      <c r="K39" s="67"/>
    </row>
    <row r="40" spans="1:11">
      <c r="A40" s="67" t="s">
        <v>127</v>
      </c>
      <c r="B40" s="67"/>
      <c r="C40" s="67"/>
      <c r="D40" s="67"/>
      <c r="E40" s="67"/>
      <c r="F40" s="67"/>
      <c r="G40" s="67"/>
      <c r="H40" s="67"/>
      <c r="I40" s="67"/>
      <c r="J40" s="67"/>
      <c r="K40" s="67"/>
    </row>
    <row r="41" spans="1:11">
      <c r="A41" s="67" t="s">
        <v>128</v>
      </c>
      <c r="B41" s="67"/>
      <c r="C41" s="67"/>
      <c r="D41" s="67"/>
      <c r="E41" s="67"/>
      <c r="F41" s="67"/>
      <c r="G41" s="67"/>
      <c r="H41" s="67"/>
      <c r="I41" s="67"/>
      <c r="J41" s="67"/>
      <c r="K41" s="67"/>
    </row>
    <row r="42" spans="1:11">
      <c r="A42" s="67" t="s">
        <v>129</v>
      </c>
      <c r="B42" s="67"/>
      <c r="C42" s="67"/>
      <c r="D42" s="67"/>
      <c r="E42" s="67"/>
      <c r="F42" s="67"/>
      <c r="G42" s="67"/>
      <c r="H42" s="67"/>
      <c r="I42" s="67"/>
      <c r="J42" s="67"/>
      <c r="K42" s="67"/>
    </row>
    <row r="43" spans="1:11">
      <c r="A43" s="67" t="s">
        <v>130</v>
      </c>
      <c r="B43" s="67"/>
      <c r="C43" s="67"/>
      <c r="D43" s="67"/>
      <c r="E43" s="67"/>
      <c r="F43" s="67"/>
      <c r="G43" s="67"/>
      <c r="H43" s="67"/>
      <c r="I43" s="67"/>
      <c r="J43" s="67"/>
      <c r="K43" s="67"/>
    </row>
    <row r="44" spans="1:11">
      <c r="A44" s="67" t="s">
        <v>131</v>
      </c>
      <c r="B44" s="67"/>
      <c r="C44" s="67"/>
      <c r="D44" s="67"/>
      <c r="E44" s="67"/>
      <c r="F44" s="67"/>
      <c r="G44" s="67"/>
      <c r="H44" s="67"/>
      <c r="I44" s="67"/>
      <c r="J44" s="67"/>
      <c r="K44" s="67"/>
    </row>
    <row r="45" spans="1:11">
      <c r="A45" s="67" t="s">
        <v>96</v>
      </c>
      <c r="B45" s="67"/>
      <c r="C45" s="67"/>
      <c r="D45" s="67"/>
      <c r="E45" s="67"/>
      <c r="F45" s="67"/>
      <c r="G45" s="67"/>
      <c r="H45" s="67"/>
      <c r="I45" s="67"/>
      <c r="J45" s="67"/>
      <c r="K45" s="67"/>
    </row>
    <row r="46" spans="1:11">
      <c r="A46" s="67" t="s">
        <v>132</v>
      </c>
      <c r="B46" s="67"/>
      <c r="C46" s="67"/>
      <c r="D46" s="67"/>
      <c r="E46" s="67"/>
      <c r="F46" s="67"/>
      <c r="G46" s="67"/>
      <c r="H46" s="67"/>
      <c r="I46" s="67"/>
      <c r="J46" s="67"/>
      <c r="K46" s="67"/>
    </row>
    <row r="47" spans="1:11">
      <c r="A47" s="67" t="s">
        <v>607</v>
      </c>
      <c r="B47" s="67"/>
      <c r="C47" s="67"/>
      <c r="D47" s="67"/>
      <c r="E47" s="67"/>
      <c r="F47" s="67"/>
      <c r="G47" s="67"/>
      <c r="H47" s="67"/>
      <c r="I47" s="67"/>
      <c r="J47" s="67"/>
      <c r="K47" s="67"/>
    </row>
    <row r="48" spans="1:11">
      <c r="A48" s="67" t="s">
        <v>133</v>
      </c>
      <c r="B48" s="67"/>
      <c r="C48" s="67"/>
      <c r="D48" s="67"/>
      <c r="E48" s="67"/>
      <c r="F48" s="67"/>
      <c r="G48" s="67"/>
      <c r="H48" s="67"/>
      <c r="I48" s="67"/>
      <c r="J48" s="67"/>
      <c r="K48" s="67"/>
    </row>
    <row r="49" spans="1:11">
      <c r="A49" s="67" t="s">
        <v>134</v>
      </c>
      <c r="B49" s="67"/>
      <c r="C49" s="67"/>
      <c r="D49" s="67"/>
      <c r="E49" s="67"/>
      <c r="F49" s="67"/>
      <c r="G49" s="67"/>
      <c r="H49" s="67"/>
      <c r="I49" s="67"/>
      <c r="J49" s="67"/>
      <c r="K49" s="67"/>
    </row>
    <row r="50" spans="1:11">
      <c r="A50" s="67" t="s">
        <v>135</v>
      </c>
      <c r="B50" s="67"/>
      <c r="C50" s="67"/>
      <c r="D50" s="67"/>
      <c r="E50" s="67"/>
      <c r="F50" s="67"/>
      <c r="G50" s="67"/>
      <c r="H50" s="67"/>
      <c r="I50" s="67"/>
      <c r="J50" s="67"/>
      <c r="K50" s="67"/>
    </row>
    <row r="51" spans="1:11">
      <c r="A51" s="67" t="s">
        <v>136</v>
      </c>
      <c r="B51" s="67"/>
      <c r="C51" s="67"/>
      <c r="D51" s="67"/>
      <c r="E51" s="67"/>
      <c r="F51" s="67"/>
      <c r="G51" s="67"/>
      <c r="H51" s="67"/>
      <c r="I51" s="67"/>
      <c r="J51" s="67"/>
      <c r="K51" s="67"/>
    </row>
    <row r="52" spans="1:11">
      <c r="A52" s="67" t="s">
        <v>137</v>
      </c>
      <c r="B52" s="67"/>
      <c r="C52" s="67"/>
      <c r="D52" s="67"/>
      <c r="E52" s="67"/>
      <c r="F52" s="67"/>
      <c r="G52" s="67"/>
      <c r="H52" s="67"/>
      <c r="I52" s="67"/>
      <c r="J52" s="67"/>
      <c r="K52" s="67"/>
    </row>
    <row r="53" spans="1:11">
      <c r="A53" s="67" t="s">
        <v>138</v>
      </c>
      <c r="B53" s="67"/>
      <c r="C53" s="67"/>
      <c r="D53" s="67"/>
      <c r="E53" s="67"/>
      <c r="F53" s="67"/>
      <c r="G53" s="67"/>
      <c r="H53" s="67"/>
      <c r="I53" s="67"/>
      <c r="J53" s="67"/>
      <c r="K53" s="67"/>
    </row>
    <row r="54" spans="1:11">
      <c r="A54" s="67" t="s">
        <v>139</v>
      </c>
      <c r="B54" s="67"/>
      <c r="C54" s="67"/>
      <c r="D54" s="67"/>
      <c r="E54" s="67"/>
      <c r="F54" s="67"/>
      <c r="G54" s="67"/>
      <c r="H54" s="67"/>
      <c r="I54" s="67"/>
      <c r="J54" s="67"/>
      <c r="K54" s="67"/>
    </row>
    <row r="55" spans="1:11">
      <c r="A55" s="67" t="s">
        <v>140</v>
      </c>
      <c r="B55" s="67"/>
      <c r="C55" s="67"/>
      <c r="D55" s="67"/>
      <c r="E55" s="67"/>
      <c r="F55" s="67"/>
      <c r="G55" s="67"/>
      <c r="H55" s="67"/>
      <c r="I55" s="67"/>
      <c r="J55" s="67"/>
      <c r="K55" s="67"/>
    </row>
    <row r="56" spans="1:11">
      <c r="A56" s="67" t="s">
        <v>141</v>
      </c>
      <c r="B56" s="67"/>
      <c r="C56" s="67"/>
      <c r="D56" s="67"/>
      <c r="E56" s="67"/>
      <c r="F56" s="67"/>
      <c r="G56" s="67"/>
      <c r="H56" s="67"/>
      <c r="I56" s="67"/>
      <c r="J56" s="67"/>
      <c r="K56" s="67"/>
    </row>
    <row r="57" spans="1:11">
      <c r="A57" s="67" t="s">
        <v>142</v>
      </c>
      <c r="B57" s="67"/>
      <c r="C57" s="67"/>
      <c r="D57" s="67"/>
      <c r="E57" s="67"/>
      <c r="F57" s="67"/>
      <c r="G57" s="67"/>
      <c r="H57" s="67"/>
      <c r="I57" s="67"/>
      <c r="J57" s="67"/>
      <c r="K57" s="67"/>
    </row>
    <row r="58" spans="1:11">
      <c r="A58" s="67" t="s">
        <v>143</v>
      </c>
      <c r="B58" s="67"/>
      <c r="C58" s="67"/>
      <c r="D58" s="67"/>
      <c r="E58" s="67"/>
      <c r="F58" s="67"/>
      <c r="G58" s="67"/>
      <c r="H58" s="67"/>
      <c r="I58" s="67"/>
      <c r="J58" s="67"/>
      <c r="K58" s="67"/>
    </row>
    <row r="59" spans="1:11">
      <c r="A59" s="67" t="s">
        <v>81</v>
      </c>
      <c r="B59" s="67"/>
      <c r="C59" s="67"/>
      <c r="D59" s="67"/>
      <c r="E59" s="67"/>
      <c r="F59" s="67"/>
      <c r="G59" s="67"/>
      <c r="H59" s="67"/>
      <c r="I59" s="67"/>
      <c r="J59" s="67"/>
      <c r="K59" s="67"/>
    </row>
    <row r="60" spans="1:11">
      <c r="A60" s="67" t="s">
        <v>144</v>
      </c>
      <c r="B60" s="67"/>
      <c r="C60" s="67"/>
      <c r="D60" s="67"/>
      <c r="E60" s="67"/>
      <c r="F60" s="67"/>
      <c r="G60" s="67"/>
      <c r="H60" s="67"/>
      <c r="I60" s="67"/>
      <c r="J60" s="67"/>
      <c r="K60" s="67"/>
    </row>
    <row r="61" spans="1:11">
      <c r="A61" s="67" t="s">
        <v>145</v>
      </c>
      <c r="B61" s="67"/>
      <c r="C61" s="67"/>
      <c r="D61" s="67"/>
      <c r="E61" s="67"/>
      <c r="F61" s="67"/>
      <c r="G61" s="67"/>
      <c r="H61" s="67"/>
      <c r="I61" s="67"/>
      <c r="J61" s="67"/>
      <c r="K61" s="67"/>
    </row>
    <row r="62" spans="1:11">
      <c r="A62" s="67" t="s">
        <v>146</v>
      </c>
      <c r="B62" s="67"/>
      <c r="C62" s="67"/>
      <c r="D62" s="67"/>
      <c r="E62" s="67"/>
      <c r="F62" s="67"/>
      <c r="G62" s="67"/>
      <c r="H62" s="67"/>
      <c r="I62" s="67"/>
      <c r="J62" s="67"/>
      <c r="K62" s="67"/>
    </row>
    <row r="63" spans="1:11">
      <c r="A63" s="67" t="s">
        <v>77</v>
      </c>
      <c r="B63" s="67"/>
      <c r="C63" s="67"/>
      <c r="D63" s="67"/>
      <c r="E63" s="67"/>
      <c r="F63" s="67"/>
      <c r="G63" s="67"/>
      <c r="H63" s="67"/>
      <c r="I63" s="67"/>
      <c r="J63" s="67"/>
      <c r="K63" s="67"/>
    </row>
    <row r="64" spans="1:11">
      <c r="A64" s="67" t="s">
        <v>147</v>
      </c>
      <c r="B64" s="67"/>
      <c r="C64" s="67"/>
      <c r="D64" s="67"/>
      <c r="E64" s="67"/>
      <c r="F64" s="67"/>
      <c r="G64" s="67"/>
      <c r="H64" s="67"/>
      <c r="I64" s="67"/>
      <c r="J64" s="67"/>
      <c r="K64" s="67"/>
    </row>
    <row r="65" spans="1:11">
      <c r="A65" s="67" t="s">
        <v>148</v>
      </c>
      <c r="B65" s="67"/>
      <c r="C65" s="67"/>
      <c r="D65" s="67"/>
      <c r="E65" s="67"/>
      <c r="F65" s="67"/>
      <c r="G65" s="67"/>
      <c r="H65" s="67"/>
      <c r="I65" s="67"/>
      <c r="J65" s="67"/>
      <c r="K65" s="67"/>
    </row>
    <row r="66" spans="1:11">
      <c r="A66" s="67" t="s">
        <v>149</v>
      </c>
      <c r="B66" s="67"/>
      <c r="C66" s="67"/>
      <c r="D66" s="67"/>
      <c r="E66" s="67"/>
      <c r="F66" s="67"/>
      <c r="G66" s="67"/>
      <c r="H66" s="67"/>
      <c r="I66" s="67"/>
      <c r="J66" s="67"/>
      <c r="K66" s="67"/>
    </row>
    <row r="67" spans="1:11">
      <c r="A67" s="67" t="s">
        <v>150</v>
      </c>
      <c r="B67" s="67"/>
      <c r="C67" s="67"/>
      <c r="D67" s="67"/>
      <c r="E67" s="67"/>
      <c r="F67" s="67"/>
      <c r="G67" s="67"/>
      <c r="H67" s="67"/>
      <c r="I67" s="67"/>
      <c r="J67" s="67"/>
      <c r="K67" s="67"/>
    </row>
    <row r="68" spans="1:11">
      <c r="A68" s="67" t="s">
        <v>151</v>
      </c>
      <c r="B68" s="67"/>
      <c r="C68" s="67"/>
      <c r="D68" s="67"/>
      <c r="E68" s="67"/>
      <c r="F68" s="67"/>
      <c r="G68" s="67"/>
      <c r="H68" s="67"/>
      <c r="I68" s="67"/>
      <c r="J68" s="67"/>
      <c r="K68" s="67"/>
    </row>
    <row r="69" spans="1:11">
      <c r="A69" s="67" t="s">
        <v>152</v>
      </c>
      <c r="B69" s="67"/>
      <c r="C69" s="67"/>
      <c r="D69" s="67"/>
      <c r="E69" s="67"/>
      <c r="F69" s="67"/>
      <c r="G69" s="67"/>
      <c r="H69" s="67"/>
      <c r="I69" s="67"/>
      <c r="J69" s="67"/>
      <c r="K69" s="67"/>
    </row>
    <row r="70" spans="1:11">
      <c r="A70" s="67" t="s">
        <v>153</v>
      </c>
      <c r="B70" s="67"/>
      <c r="C70" s="67"/>
      <c r="D70" s="67"/>
      <c r="E70" s="67"/>
      <c r="F70" s="67"/>
      <c r="G70" s="67"/>
      <c r="H70" s="67"/>
      <c r="I70" s="67"/>
      <c r="J70" s="67"/>
      <c r="K70" s="67"/>
    </row>
    <row r="71" spans="1:11">
      <c r="A71" s="67" t="s">
        <v>154</v>
      </c>
      <c r="B71" s="67"/>
      <c r="C71" s="67"/>
      <c r="D71" s="67"/>
      <c r="E71" s="67"/>
      <c r="F71" s="67"/>
      <c r="G71" s="67"/>
      <c r="H71" s="67"/>
      <c r="I71" s="67"/>
      <c r="J71" s="67"/>
      <c r="K71" s="67"/>
    </row>
    <row r="72" spans="1:11">
      <c r="A72" s="67" t="s">
        <v>155</v>
      </c>
      <c r="B72" s="67"/>
      <c r="C72" s="67"/>
      <c r="D72" s="67"/>
      <c r="E72" s="67"/>
      <c r="F72" s="67"/>
      <c r="G72" s="67"/>
      <c r="H72" s="67"/>
      <c r="I72" s="67"/>
      <c r="J72" s="67"/>
      <c r="K72" s="67"/>
    </row>
    <row r="73" spans="1:11">
      <c r="A73" s="67" t="s">
        <v>156</v>
      </c>
      <c r="B73" s="67"/>
      <c r="C73" s="67"/>
      <c r="D73" s="67"/>
      <c r="E73" s="67"/>
      <c r="F73" s="67"/>
      <c r="G73" s="67"/>
      <c r="H73" s="67"/>
      <c r="I73" s="67"/>
      <c r="J73" s="67"/>
      <c r="K73" s="67"/>
    </row>
    <row r="74" spans="1:11">
      <c r="A74" s="67" t="s">
        <v>157</v>
      </c>
      <c r="B74" s="67"/>
      <c r="C74" s="67"/>
      <c r="D74" s="67"/>
      <c r="E74" s="67"/>
      <c r="F74" s="67"/>
      <c r="G74" s="67"/>
      <c r="H74" s="67"/>
      <c r="I74" s="67"/>
      <c r="J74" s="67"/>
      <c r="K74" s="67"/>
    </row>
    <row r="75" spans="1:11">
      <c r="A75" s="67" t="s">
        <v>158</v>
      </c>
      <c r="B75" s="67"/>
      <c r="C75" s="67"/>
      <c r="D75" s="67"/>
      <c r="E75" s="67"/>
      <c r="F75" s="67"/>
      <c r="G75" s="67"/>
      <c r="H75" s="67"/>
      <c r="I75" s="67"/>
      <c r="J75" s="67"/>
      <c r="K75" s="67"/>
    </row>
    <row r="76" spans="1:11">
      <c r="A76" s="67" t="s">
        <v>159</v>
      </c>
      <c r="B76" s="67"/>
      <c r="C76" s="67"/>
      <c r="D76" s="67"/>
      <c r="E76" s="67"/>
      <c r="F76" s="67"/>
      <c r="G76" s="67"/>
      <c r="H76" s="67"/>
      <c r="I76" s="67"/>
      <c r="J76" s="67"/>
      <c r="K76" s="67"/>
    </row>
    <row r="77" spans="1:11">
      <c r="A77" s="67" t="s">
        <v>160</v>
      </c>
      <c r="B77" s="67"/>
      <c r="C77" s="67"/>
      <c r="D77" s="67"/>
      <c r="E77" s="67"/>
      <c r="F77" s="67"/>
      <c r="G77" s="67"/>
      <c r="H77" s="67"/>
      <c r="I77" s="67"/>
      <c r="J77" s="67"/>
      <c r="K77" s="67"/>
    </row>
    <row r="78" spans="1:11">
      <c r="A78" s="67" t="s">
        <v>161</v>
      </c>
      <c r="B78" s="67"/>
      <c r="C78" s="67"/>
      <c r="D78" s="67"/>
      <c r="E78" s="67"/>
      <c r="F78" s="67"/>
      <c r="G78" s="67"/>
      <c r="H78" s="67"/>
      <c r="I78" s="67"/>
      <c r="J78" s="67"/>
      <c r="K78" s="67"/>
    </row>
    <row r="79" spans="1:11">
      <c r="A79" s="67" t="s">
        <v>81</v>
      </c>
      <c r="B79" s="67"/>
      <c r="C79" s="67"/>
      <c r="D79" s="67"/>
      <c r="E79" s="67"/>
      <c r="F79" s="67"/>
      <c r="G79" s="67"/>
      <c r="H79" s="67"/>
      <c r="I79" s="67"/>
      <c r="J79" s="67"/>
      <c r="K79" s="67"/>
    </row>
    <row r="80" spans="1:11">
      <c r="A80" s="67" t="s">
        <v>162</v>
      </c>
      <c r="B80" s="67"/>
      <c r="C80" s="67"/>
      <c r="D80" s="67"/>
      <c r="E80" s="67"/>
      <c r="F80" s="67"/>
      <c r="G80" s="67"/>
      <c r="H80" s="67"/>
      <c r="I80" s="67"/>
      <c r="J80" s="67"/>
      <c r="K80" s="67"/>
    </row>
    <row r="81" spans="1:11">
      <c r="A81" s="67" t="s">
        <v>163</v>
      </c>
      <c r="B81" s="67"/>
      <c r="C81" s="67"/>
      <c r="D81" s="67"/>
      <c r="E81" s="67"/>
      <c r="F81" s="67"/>
      <c r="G81" s="67"/>
      <c r="H81" s="67"/>
      <c r="I81" s="67"/>
      <c r="J81" s="67"/>
      <c r="K81" s="67"/>
    </row>
    <row r="82" spans="1:11">
      <c r="A82" s="67" t="s">
        <v>164</v>
      </c>
      <c r="B82" s="67"/>
      <c r="C82" s="67"/>
      <c r="D82" s="67"/>
      <c r="E82" s="67"/>
      <c r="F82" s="67"/>
      <c r="G82" s="67"/>
      <c r="H82" s="67"/>
      <c r="I82" s="67"/>
      <c r="J82" s="67"/>
      <c r="K82" s="67"/>
    </row>
    <row r="83" spans="1:11">
      <c r="A83" s="67" t="s">
        <v>165</v>
      </c>
      <c r="B83" s="67"/>
      <c r="C83" s="67"/>
      <c r="D83" s="67"/>
      <c r="E83" s="67"/>
      <c r="F83" s="67"/>
      <c r="G83" s="67"/>
      <c r="H83" s="67"/>
      <c r="I83" s="67"/>
      <c r="J83" s="67"/>
      <c r="K83" s="67"/>
    </row>
    <row r="84" spans="1:11">
      <c r="A84" s="67" t="s">
        <v>166</v>
      </c>
      <c r="B84" s="67"/>
      <c r="C84" s="67"/>
      <c r="D84" s="67"/>
      <c r="E84" s="67"/>
      <c r="F84" s="67"/>
      <c r="G84" s="67"/>
      <c r="H84" s="67"/>
      <c r="I84" s="67"/>
      <c r="J84" s="67"/>
      <c r="K84" s="67"/>
    </row>
    <row r="85" spans="1:11">
      <c r="A85" s="67" t="s">
        <v>167</v>
      </c>
      <c r="B85" s="67"/>
      <c r="C85" s="67"/>
      <c r="D85" s="67"/>
      <c r="E85" s="67"/>
      <c r="F85" s="67"/>
      <c r="G85" s="67"/>
      <c r="H85" s="67"/>
      <c r="I85" s="67"/>
      <c r="J85" s="67"/>
      <c r="K85" s="67"/>
    </row>
    <row r="86" spans="1:11">
      <c r="A86" s="67" t="s">
        <v>168</v>
      </c>
      <c r="B86" s="67"/>
      <c r="C86" s="67"/>
      <c r="D86" s="67"/>
      <c r="E86" s="67"/>
      <c r="F86" s="67"/>
      <c r="G86" s="67"/>
      <c r="H86" s="67"/>
      <c r="I86" s="67"/>
      <c r="J86" s="67"/>
      <c r="K86" s="67"/>
    </row>
    <row r="87" spans="1:11">
      <c r="A87" s="67" t="s">
        <v>81</v>
      </c>
      <c r="B87" s="67"/>
      <c r="C87" s="67"/>
      <c r="D87" s="67"/>
      <c r="E87" s="67"/>
      <c r="F87" s="67"/>
      <c r="G87" s="67"/>
      <c r="H87" s="67"/>
      <c r="I87" s="67"/>
      <c r="J87" s="67"/>
      <c r="K87" s="67"/>
    </row>
    <row r="88" spans="1:11">
      <c r="A88" s="67" t="s">
        <v>169</v>
      </c>
      <c r="B88" s="67"/>
      <c r="C88" s="67"/>
      <c r="D88" s="67"/>
      <c r="E88" s="67"/>
      <c r="F88" s="67"/>
      <c r="G88" s="67"/>
      <c r="H88" s="67"/>
      <c r="I88" s="67"/>
      <c r="J88" s="67"/>
      <c r="K88" s="67"/>
    </row>
    <row r="89" spans="1:11">
      <c r="A89" s="67" t="s">
        <v>170</v>
      </c>
      <c r="B89" s="67"/>
      <c r="C89" s="67"/>
      <c r="D89" s="67"/>
      <c r="E89" s="67"/>
      <c r="F89" s="67"/>
      <c r="G89" s="67"/>
      <c r="H89" s="67"/>
      <c r="I89" s="67"/>
      <c r="J89" s="67"/>
      <c r="K89" s="67"/>
    </row>
    <row r="90" spans="1:11">
      <c r="A90" s="67" t="s">
        <v>171</v>
      </c>
      <c r="B90" s="67"/>
      <c r="C90" s="67"/>
      <c r="D90" s="67"/>
      <c r="E90" s="67"/>
      <c r="F90" s="67"/>
      <c r="G90" s="67"/>
      <c r="H90" s="67"/>
      <c r="I90" s="67"/>
      <c r="J90" s="67"/>
      <c r="K90" s="67"/>
    </row>
    <row r="91" spans="1:11">
      <c r="A91" s="67" t="s">
        <v>172</v>
      </c>
      <c r="B91" s="67"/>
      <c r="C91" s="67"/>
      <c r="D91" s="67"/>
      <c r="E91" s="67"/>
      <c r="F91" s="67"/>
      <c r="G91" s="67"/>
      <c r="H91" s="67"/>
      <c r="I91" s="67"/>
      <c r="J91" s="67"/>
      <c r="K91" s="67"/>
    </row>
    <row r="92" spans="1:11">
      <c r="A92" s="67" t="s">
        <v>81</v>
      </c>
      <c r="B92" s="67"/>
      <c r="C92" s="67"/>
      <c r="D92" s="67"/>
      <c r="E92" s="67"/>
      <c r="F92" s="67"/>
      <c r="G92" s="67"/>
      <c r="H92" s="67"/>
      <c r="I92" s="67"/>
      <c r="J92" s="67"/>
      <c r="K92" s="67"/>
    </row>
    <row r="93" spans="1:11">
      <c r="A93" s="67" t="s">
        <v>173</v>
      </c>
      <c r="B93" s="67"/>
      <c r="C93" s="67"/>
      <c r="D93" s="67"/>
      <c r="E93" s="67"/>
      <c r="F93" s="67"/>
      <c r="G93" s="67"/>
      <c r="H93" s="67"/>
      <c r="I93" s="67"/>
      <c r="J93" s="67"/>
      <c r="K93" s="67"/>
    </row>
    <row r="94" spans="1:11">
      <c r="A94" s="67" t="s">
        <v>174</v>
      </c>
      <c r="B94" s="67"/>
      <c r="C94" s="67"/>
      <c r="D94" s="67"/>
      <c r="E94" s="67"/>
      <c r="F94" s="67"/>
      <c r="G94" s="67"/>
      <c r="H94" s="67"/>
      <c r="I94" s="67"/>
      <c r="J94" s="67"/>
      <c r="K94" s="67"/>
    </row>
    <row r="95" spans="1:11">
      <c r="A95" s="67" t="s">
        <v>175</v>
      </c>
      <c r="B95" s="67"/>
      <c r="C95" s="67"/>
      <c r="D95" s="67"/>
      <c r="E95" s="67"/>
      <c r="F95" s="67"/>
      <c r="G95" s="67"/>
      <c r="H95" s="67"/>
      <c r="I95" s="67"/>
      <c r="J95" s="67"/>
      <c r="K95" s="67"/>
    </row>
    <row r="96" spans="1:11">
      <c r="A96" s="67" t="s">
        <v>146</v>
      </c>
      <c r="B96" s="67"/>
      <c r="C96" s="67"/>
      <c r="D96" s="67"/>
      <c r="E96" s="67"/>
      <c r="F96" s="67"/>
      <c r="G96" s="67"/>
      <c r="H96" s="67"/>
      <c r="I96" s="67"/>
      <c r="J96" s="67"/>
      <c r="K96" s="67"/>
    </row>
    <row r="97" spans="1:11">
      <c r="A97" s="67" t="s">
        <v>77</v>
      </c>
      <c r="B97" s="67"/>
      <c r="C97" s="67"/>
      <c r="D97" s="67"/>
      <c r="E97" s="67"/>
      <c r="F97" s="67"/>
      <c r="G97" s="67"/>
      <c r="H97" s="67"/>
      <c r="I97" s="67"/>
      <c r="J97" s="67"/>
      <c r="K97" s="67"/>
    </row>
    <row r="98" spans="1:11">
      <c r="A98" s="67" t="s">
        <v>176</v>
      </c>
      <c r="B98" s="67"/>
      <c r="C98" s="67"/>
      <c r="D98" s="67"/>
      <c r="E98" s="67"/>
      <c r="F98" s="67"/>
      <c r="G98" s="67"/>
      <c r="H98" s="67"/>
      <c r="I98" s="67"/>
      <c r="J98" s="67"/>
      <c r="K98" s="67"/>
    </row>
    <row r="99" spans="1:11">
      <c r="A99" s="67" t="s">
        <v>177</v>
      </c>
      <c r="B99" s="67"/>
      <c r="C99" s="67"/>
      <c r="D99" s="67"/>
      <c r="E99" s="67"/>
      <c r="F99" s="67"/>
      <c r="G99" s="67"/>
      <c r="H99" s="67"/>
      <c r="I99" s="67"/>
      <c r="J99" s="67"/>
      <c r="K99" s="67"/>
    </row>
    <row r="100" spans="1:11">
      <c r="A100" s="67" t="s">
        <v>97</v>
      </c>
      <c r="B100" s="67"/>
      <c r="C100" s="67"/>
      <c r="D100" s="67"/>
      <c r="E100" s="67"/>
      <c r="F100" s="67"/>
      <c r="G100" s="67"/>
      <c r="H100" s="67"/>
      <c r="I100" s="67"/>
      <c r="J100" s="67"/>
      <c r="K100" s="67"/>
    </row>
    <row r="102" spans="1:11">
      <c r="A102" s="3" t="s">
        <v>213</v>
      </c>
    </row>
    <row r="103" spans="1:11">
      <c r="A103" s="63" t="s">
        <v>188</v>
      </c>
      <c r="B103" s="63"/>
      <c r="C103" s="64" t="s">
        <v>2</v>
      </c>
      <c r="D103" s="64"/>
      <c r="E103" s="64"/>
      <c r="F103" s="64"/>
      <c r="G103" s="64"/>
      <c r="H103" s="64"/>
      <c r="I103" s="64"/>
      <c r="J103" s="64"/>
      <c r="K103" s="64"/>
    </row>
    <row r="104" spans="1:11">
      <c r="A104" s="59" t="s">
        <v>189</v>
      </c>
      <c r="B104" s="59"/>
      <c r="C104" s="62" t="s">
        <v>190</v>
      </c>
      <c r="D104" s="62"/>
      <c r="E104" s="62"/>
      <c r="F104" s="62"/>
      <c r="G104" s="62"/>
      <c r="H104" s="62"/>
      <c r="I104" s="62"/>
      <c r="J104" s="62"/>
      <c r="K104" s="62"/>
    </row>
    <row r="105" spans="1:11">
      <c r="A105" s="59" t="s">
        <v>191</v>
      </c>
      <c r="B105" s="59"/>
      <c r="C105" s="62" t="s">
        <v>192</v>
      </c>
      <c r="D105" s="62"/>
      <c r="E105" s="62"/>
      <c r="F105" s="62"/>
      <c r="G105" s="62"/>
      <c r="H105" s="62"/>
      <c r="I105" s="62"/>
      <c r="J105" s="62"/>
      <c r="K105" s="62"/>
    </row>
    <row r="107" spans="1:11">
      <c r="A107" s="3" t="s">
        <v>214</v>
      </c>
    </row>
    <row r="108" spans="1:11">
      <c r="A108" s="63" t="s">
        <v>193</v>
      </c>
      <c r="B108" s="63"/>
      <c r="C108" s="64" t="s">
        <v>2</v>
      </c>
      <c r="D108" s="64"/>
      <c r="E108" s="64"/>
      <c r="F108" s="64"/>
      <c r="G108" s="64"/>
      <c r="H108" s="64"/>
      <c r="I108" s="64"/>
      <c r="J108" s="64"/>
      <c r="K108" s="64"/>
    </row>
    <row r="109" spans="1:11">
      <c r="A109" s="61" t="s">
        <v>194</v>
      </c>
      <c r="B109" s="61"/>
      <c r="C109" s="62" t="s">
        <v>212</v>
      </c>
      <c r="D109" s="62"/>
      <c r="E109" s="62"/>
      <c r="F109" s="62"/>
      <c r="G109" s="62"/>
      <c r="H109" s="62"/>
      <c r="I109" s="62"/>
      <c r="J109" s="62"/>
      <c r="K109" s="62"/>
    </row>
    <row r="110" spans="1:11">
      <c r="A110" s="61" t="s">
        <v>195</v>
      </c>
      <c r="B110" s="61"/>
      <c r="C110" s="62" t="s">
        <v>196</v>
      </c>
      <c r="D110" s="62"/>
      <c r="E110" s="62"/>
      <c r="F110" s="62"/>
      <c r="G110" s="62"/>
      <c r="H110" s="62"/>
      <c r="I110" s="62"/>
      <c r="J110" s="62"/>
      <c r="K110" s="62"/>
    </row>
    <row r="111" spans="1:11">
      <c r="A111" s="61" t="s">
        <v>197</v>
      </c>
      <c r="B111" s="61"/>
      <c r="C111" s="62" t="s">
        <v>198</v>
      </c>
      <c r="D111" s="62"/>
      <c r="E111" s="62"/>
      <c r="F111" s="62"/>
      <c r="G111" s="62"/>
      <c r="H111" s="62"/>
      <c r="I111" s="62"/>
      <c r="J111" s="62"/>
      <c r="K111" s="62"/>
    </row>
    <row r="112" spans="1:11">
      <c r="A112" s="61" t="s">
        <v>199</v>
      </c>
      <c r="B112" s="61"/>
      <c r="C112" s="62" t="s">
        <v>200</v>
      </c>
      <c r="D112" s="62"/>
      <c r="E112" s="62"/>
      <c r="F112" s="62"/>
      <c r="G112" s="62"/>
      <c r="H112" s="62"/>
      <c r="I112" s="62"/>
      <c r="J112" s="62"/>
      <c r="K112" s="62"/>
    </row>
    <row r="113" spans="1:11">
      <c r="A113" s="61" t="s">
        <v>201</v>
      </c>
      <c r="B113" s="61"/>
      <c r="C113" s="62" t="s">
        <v>202</v>
      </c>
      <c r="D113" s="62"/>
      <c r="E113" s="62"/>
      <c r="F113" s="62"/>
      <c r="G113" s="62"/>
      <c r="H113" s="62"/>
      <c r="I113" s="62"/>
      <c r="J113" s="62"/>
      <c r="K113" s="62"/>
    </row>
    <row r="114" spans="1:11">
      <c r="A114" s="61" t="s">
        <v>203</v>
      </c>
      <c r="B114" s="61"/>
      <c r="C114" s="62" t="s">
        <v>204</v>
      </c>
      <c r="D114" s="62"/>
      <c r="E114" s="62"/>
      <c r="F114" s="62"/>
      <c r="G114" s="62"/>
      <c r="H114" s="62"/>
      <c r="I114" s="62"/>
      <c r="J114" s="62"/>
      <c r="K114" s="62"/>
    </row>
    <row r="115" spans="1:11">
      <c r="A115" s="61" t="s">
        <v>205</v>
      </c>
      <c r="B115" s="61"/>
      <c r="C115" s="62" t="s">
        <v>206</v>
      </c>
      <c r="D115" s="62"/>
      <c r="E115" s="62"/>
      <c r="F115" s="62"/>
      <c r="G115" s="62"/>
      <c r="H115" s="62"/>
      <c r="I115" s="62"/>
      <c r="J115" s="62"/>
      <c r="K115" s="62"/>
    </row>
    <row r="116" spans="1:11">
      <c r="A116" s="61" t="s">
        <v>207</v>
      </c>
      <c r="B116" s="61"/>
      <c r="C116" s="62" t="s">
        <v>208</v>
      </c>
      <c r="D116" s="62"/>
      <c r="E116" s="62"/>
      <c r="F116" s="62"/>
      <c r="G116" s="62"/>
      <c r="H116" s="62"/>
      <c r="I116" s="62"/>
      <c r="J116" s="62"/>
      <c r="K116" s="62"/>
    </row>
    <row r="117" spans="1:11">
      <c r="A117" s="61" t="s">
        <v>209</v>
      </c>
      <c r="B117" s="61"/>
      <c r="C117" s="62" t="s">
        <v>223</v>
      </c>
      <c r="D117" s="62"/>
      <c r="E117" s="62"/>
      <c r="F117" s="62"/>
      <c r="G117" s="62"/>
      <c r="H117" s="62"/>
      <c r="I117" s="62"/>
      <c r="J117" s="62"/>
      <c r="K117" s="62"/>
    </row>
    <row r="118" spans="1:11">
      <c r="A118" s="61" t="s">
        <v>210</v>
      </c>
      <c r="B118" s="61"/>
      <c r="C118" s="62" t="s">
        <v>211</v>
      </c>
      <c r="D118" s="62"/>
      <c r="E118" s="62"/>
      <c r="F118" s="62"/>
      <c r="G118" s="62"/>
      <c r="H118" s="62"/>
      <c r="I118" s="62"/>
      <c r="J118" s="62"/>
      <c r="K118" s="62"/>
    </row>
    <row r="120" spans="1:11">
      <c r="A120" s="3" t="s">
        <v>224</v>
      </c>
    </row>
    <row r="121" spans="1:11" ht="14.25">
      <c r="A121" s="65" t="s">
        <v>225</v>
      </c>
      <c r="B121" s="65"/>
      <c r="C121" s="65"/>
      <c r="D121" s="65"/>
      <c r="E121" s="65"/>
      <c r="F121" s="65"/>
      <c r="G121" s="65"/>
      <c r="H121" s="65"/>
      <c r="I121" s="65"/>
      <c r="J121" s="65"/>
      <c r="K121" s="65"/>
    </row>
    <row r="122" spans="1:11" ht="14.25">
      <c r="A122" s="65" t="s">
        <v>226</v>
      </c>
      <c r="B122" s="65"/>
      <c r="C122" s="65"/>
      <c r="D122" s="65"/>
      <c r="E122" s="65"/>
      <c r="F122" s="65"/>
      <c r="G122" s="65"/>
      <c r="H122" s="65"/>
      <c r="I122" s="65"/>
      <c r="J122" s="65"/>
      <c r="K122" s="65"/>
    </row>
    <row r="123" spans="1:11" ht="14.25">
      <c r="A123" s="65" t="s">
        <v>227</v>
      </c>
      <c r="B123" s="65"/>
      <c r="C123" s="65"/>
      <c r="D123" s="65"/>
      <c r="E123" s="65"/>
      <c r="F123" s="65"/>
      <c r="G123" s="65"/>
      <c r="H123" s="65"/>
      <c r="I123" s="65"/>
      <c r="J123" s="65"/>
      <c r="K123" s="65"/>
    </row>
    <row r="124" spans="1:11" ht="14.25">
      <c r="A124" s="65" t="s">
        <v>228</v>
      </c>
      <c r="B124" s="65"/>
      <c r="C124" s="65"/>
      <c r="D124" s="65"/>
      <c r="E124" s="65"/>
      <c r="F124" s="65"/>
      <c r="G124" s="65"/>
      <c r="H124" s="65"/>
      <c r="I124" s="65"/>
      <c r="J124" s="65"/>
      <c r="K124" s="65"/>
    </row>
    <row r="125" spans="1:11" ht="14.25">
      <c r="A125" s="65" t="s">
        <v>229</v>
      </c>
      <c r="B125" s="65"/>
      <c r="C125" s="65"/>
      <c r="D125" s="65"/>
      <c r="E125" s="65"/>
      <c r="F125" s="65"/>
      <c r="G125" s="65"/>
      <c r="H125" s="65"/>
      <c r="I125" s="65"/>
      <c r="J125" s="65"/>
      <c r="K125" s="65"/>
    </row>
    <row r="126" spans="1:11" ht="14.25">
      <c r="A126" s="75" t="s">
        <v>230</v>
      </c>
      <c r="B126" s="75"/>
      <c r="C126" s="75"/>
      <c r="D126" s="75"/>
      <c r="E126" s="75"/>
      <c r="F126" s="75"/>
      <c r="G126" s="75"/>
      <c r="H126" s="75"/>
      <c r="I126" s="75"/>
      <c r="J126" s="75"/>
      <c r="K126" s="75"/>
    </row>
    <row r="127" spans="1:11" ht="14.25">
      <c r="A127" s="75" t="s">
        <v>231</v>
      </c>
      <c r="B127" s="75"/>
      <c r="C127" s="75"/>
      <c r="D127" s="75"/>
      <c r="E127" s="75"/>
      <c r="F127" s="75"/>
      <c r="G127" s="75"/>
      <c r="H127" s="75"/>
      <c r="I127" s="75"/>
      <c r="J127" s="75"/>
      <c r="K127" s="75"/>
    </row>
    <row r="129" spans="1:11">
      <c r="A129" s="3" t="s">
        <v>232</v>
      </c>
    </row>
    <row r="130" spans="1:11" ht="14.25">
      <c r="A130" s="65" t="s">
        <v>233</v>
      </c>
      <c r="B130" s="65"/>
      <c r="C130" s="65"/>
      <c r="D130" s="65"/>
      <c r="E130" s="65"/>
      <c r="F130" s="65"/>
      <c r="G130" s="65"/>
      <c r="H130" s="65"/>
      <c r="I130" s="65"/>
      <c r="J130" s="65"/>
      <c r="K130" s="65"/>
    </row>
    <row r="131" spans="1:11" ht="14.25">
      <c r="A131" s="65" t="s">
        <v>234</v>
      </c>
      <c r="B131" s="65"/>
      <c r="C131" s="65"/>
      <c r="D131" s="65"/>
      <c r="E131" s="65"/>
      <c r="F131" s="65"/>
      <c r="G131" s="65"/>
      <c r="H131" s="65"/>
      <c r="I131" s="65"/>
      <c r="J131" s="65"/>
      <c r="K131" s="65"/>
    </row>
    <row r="133" spans="1:11">
      <c r="A133" s="3" t="s">
        <v>238</v>
      </c>
    </row>
    <row r="134" spans="1:11">
      <c r="A134" s="99" t="s">
        <v>240</v>
      </c>
      <c r="B134" s="99"/>
      <c r="C134" s="99"/>
      <c r="D134" s="99"/>
      <c r="E134" s="99"/>
      <c r="F134" s="99"/>
      <c r="G134" s="99"/>
      <c r="H134" s="99"/>
      <c r="I134" s="99"/>
      <c r="J134" s="99"/>
      <c r="K134" s="99"/>
    </row>
    <row r="135" spans="1:11">
      <c r="A135" s="67" t="s">
        <v>178</v>
      </c>
      <c r="B135" s="67"/>
      <c r="C135" s="67"/>
      <c r="D135" s="67"/>
      <c r="E135" s="67"/>
      <c r="F135" s="67"/>
      <c r="G135" s="67"/>
      <c r="H135" s="67"/>
      <c r="I135" s="67"/>
      <c r="J135" s="67"/>
      <c r="K135" s="67"/>
    </row>
    <row r="136" spans="1:11">
      <c r="A136" s="67" t="s">
        <v>179</v>
      </c>
      <c r="B136" s="67"/>
      <c r="C136" s="67"/>
      <c r="D136" s="67"/>
      <c r="E136" s="67"/>
      <c r="F136" s="67"/>
      <c r="G136" s="67"/>
      <c r="H136" s="67"/>
      <c r="I136" s="67"/>
      <c r="J136" s="67"/>
      <c r="K136" s="67"/>
    </row>
    <row r="137" spans="1:11">
      <c r="A137" s="67" t="s">
        <v>180</v>
      </c>
      <c r="B137" s="67"/>
      <c r="C137" s="67"/>
      <c r="D137" s="67"/>
      <c r="E137" s="67"/>
      <c r="F137" s="67"/>
      <c r="G137" s="67"/>
      <c r="H137" s="67"/>
      <c r="I137" s="67"/>
      <c r="J137" s="67"/>
      <c r="K137" s="67"/>
    </row>
    <row r="138" spans="1:11">
      <c r="A138" s="67" t="s">
        <v>181</v>
      </c>
      <c r="B138" s="67"/>
      <c r="C138" s="67"/>
      <c r="D138" s="67"/>
      <c r="E138" s="67"/>
      <c r="F138" s="67"/>
      <c r="G138" s="67"/>
      <c r="H138" s="67"/>
      <c r="I138" s="67"/>
      <c r="J138" s="67"/>
      <c r="K138" s="67"/>
    </row>
    <row r="139" spans="1:11">
      <c r="A139" s="67" t="s">
        <v>182</v>
      </c>
      <c r="B139" s="67"/>
      <c r="C139" s="67"/>
      <c r="D139" s="67"/>
      <c r="E139" s="67"/>
      <c r="F139" s="67"/>
      <c r="G139" s="67"/>
      <c r="H139" s="67"/>
      <c r="I139" s="67"/>
      <c r="J139" s="67"/>
      <c r="K139" s="67"/>
    </row>
    <row r="140" spans="1:11">
      <c r="A140" s="67" t="s">
        <v>183</v>
      </c>
      <c r="B140" s="67"/>
      <c r="C140" s="67"/>
      <c r="D140" s="67"/>
      <c r="E140" s="67"/>
      <c r="F140" s="67"/>
      <c r="G140" s="67"/>
      <c r="H140" s="67"/>
      <c r="I140" s="67"/>
      <c r="J140" s="67"/>
      <c r="K140" s="67"/>
    </row>
    <row r="141" spans="1:11">
      <c r="A141" s="67" t="s">
        <v>184</v>
      </c>
      <c r="B141" s="67"/>
      <c r="C141" s="67"/>
      <c r="D141" s="67"/>
      <c r="E141" s="67"/>
      <c r="F141" s="67"/>
      <c r="G141" s="67"/>
      <c r="H141" s="67"/>
      <c r="I141" s="67"/>
      <c r="J141" s="67"/>
      <c r="K141" s="67"/>
    </row>
    <row r="142" spans="1:11">
      <c r="A142" s="67" t="s">
        <v>185</v>
      </c>
      <c r="B142" s="67"/>
      <c r="C142" s="67"/>
      <c r="D142" s="67"/>
      <c r="E142" s="67"/>
      <c r="F142" s="67"/>
      <c r="G142" s="67"/>
      <c r="H142" s="67"/>
      <c r="I142" s="67"/>
      <c r="J142" s="67"/>
      <c r="K142" s="67"/>
    </row>
    <row r="143" spans="1:11">
      <c r="A143" s="67" t="s">
        <v>186</v>
      </c>
      <c r="B143" s="67"/>
      <c r="C143" s="67"/>
      <c r="D143" s="67"/>
      <c r="E143" s="67"/>
      <c r="F143" s="67"/>
      <c r="G143" s="67"/>
      <c r="H143" s="67"/>
      <c r="I143" s="67"/>
      <c r="J143" s="67"/>
      <c r="K143" s="67"/>
    </row>
    <row r="144" spans="1:11">
      <c r="A144" s="67" t="s">
        <v>187</v>
      </c>
      <c r="B144" s="67"/>
      <c r="C144" s="67"/>
      <c r="D144" s="67"/>
      <c r="E144" s="67"/>
      <c r="F144" s="67"/>
      <c r="G144" s="67"/>
      <c r="H144" s="67"/>
      <c r="I144" s="67"/>
      <c r="J144" s="67"/>
      <c r="K144" s="67"/>
    </row>
    <row r="145" spans="1:11">
      <c r="A145" s="67" t="s">
        <v>98</v>
      </c>
      <c r="B145" s="67"/>
      <c r="C145" s="67"/>
      <c r="D145" s="67"/>
      <c r="E145" s="67"/>
      <c r="F145" s="67"/>
      <c r="G145" s="67"/>
      <c r="H145" s="67"/>
      <c r="I145" s="67"/>
      <c r="J145" s="67"/>
      <c r="K145" s="67"/>
    </row>
    <row r="147" spans="1:11">
      <c r="A147" s="3" t="s">
        <v>239</v>
      </c>
    </row>
    <row r="148" spans="1:11">
      <c r="A148" s="3" t="s">
        <v>236</v>
      </c>
    </row>
    <row r="149" spans="1:11">
      <c r="A149" s="72" t="s">
        <v>193</v>
      </c>
      <c r="B149" s="72"/>
      <c r="C149" s="8" t="s">
        <v>235</v>
      </c>
    </row>
    <row r="150" spans="1:11">
      <c r="A150" s="68" t="s">
        <v>84</v>
      </c>
      <c r="B150" s="68"/>
      <c r="C150" s="9" t="s">
        <v>95</v>
      </c>
    </row>
    <row r="151" spans="1:11">
      <c r="A151" s="68" t="s">
        <v>85</v>
      </c>
      <c r="B151" s="68"/>
      <c r="C151" s="10">
        <v>6</v>
      </c>
    </row>
    <row r="152" spans="1:11">
      <c r="A152" s="68" t="s">
        <v>86</v>
      </c>
      <c r="B152" s="68"/>
      <c r="C152" s="10">
        <v>2</v>
      </c>
    </row>
    <row r="153" spans="1:11">
      <c r="A153" s="68" t="s">
        <v>87</v>
      </c>
      <c r="B153" s="68"/>
      <c r="C153" s="10">
        <v>0.1</v>
      </c>
    </row>
    <row r="154" spans="1:11">
      <c r="A154" s="68" t="s">
        <v>88</v>
      </c>
      <c r="B154" s="68"/>
      <c r="C154" s="10">
        <v>2.5000000000000001E-2</v>
      </c>
    </row>
    <row r="155" spans="1:11">
      <c r="A155" s="68" t="s">
        <v>89</v>
      </c>
      <c r="B155" s="68"/>
      <c r="C155" s="10">
        <v>0.1</v>
      </c>
    </row>
    <row r="156" spans="1:11">
      <c r="A156" s="68" t="s">
        <v>90</v>
      </c>
      <c r="B156" s="68"/>
      <c r="C156" s="10">
        <v>0</v>
      </c>
    </row>
    <row r="157" spans="1:11">
      <c r="A157" s="68" t="s">
        <v>91</v>
      </c>
      <c r="B157" s="68"/>
      <c r="C157" s="10">
        <v>100</v>
      </c>
    </row>
    <row r="158" spans="1:11">
      <c r="A158" s="68" t="s">
        <v>92</v>
      </c>
      <c r="B158" s="68"/>
      <c r="C158" s="10">
        <v>0.5</v>
      </c>
    </row>
    <row r="159" spans="1:11">
      <c r="A159" s="68" t="s">
        <v>93</v>
      </c>
      <c r="B159" s="68"/>
      <c r="C159" s="10"/>
    </row>
    <row r="161" spans="1:2">
      <c r="A161" s="71" t="s">
        <v>237</v>
      </c>
      <c r="B161" s="71"/>
    </row>
    <row r="162" spans="1:2">
      <c r="A162" s="11" t="s">
        <v>75</v>
      </c>
      <c r="B162" s="11" t="s">
        <v>5</v>
      </c>
    </row>
    <row r="163" spans="1:2">
      <c r="A163" s="13" cm="1">
        <f t="array" aca="1" ref="A163:B362" ca="1">_xlfn.LET(
    _xlpm.opt_raw, A150:C159,
    _xlpm.lbl, _xlfn.TAKE(_xlpm.opt_raw, , 1),
    _xlpm.val, _xlfn.TAKE(_xlpm.opt_raw, , -1),
    _xlpm.opt_corrected, _xlfn.HSTACK(_xlpm.lbl, _xlpm.val),
    WAVEFORM(200, _xlpm.opt_corrected)
)</f>
        <v>0</v>
      </c>
      <c r="B163" s="13">
        <f ca="1"/>
        <v>102.12872138714083</v>
      </c>
    </row>
    <row r="164" spans="1:2">
      <c r="A164" s="13">
        <f ca="1"/>
        <v>0.30150753768844218</v>
      </c>
      <c r="B164" s="13">
        <f ca="1"/>
        <v>102.017405706828</v>
      </c>
    </row>
    <row r="165" spans="1:2">
      <c r="A165" s="13">
        <f ca="1"/>
        <v>0.60301507537688437</v>
      </c>
      <c r="B165" s="13">
        <f ca="1"/>
        <v>101.94734115516515</v>
      </c>
    </row>
    <row r="166" spans="1:2">
      <c r="A166" s="13">
        <f ca="1"/>
        <v>0.90452261306532655</v>
      </c>
      <c r="B166" s="13">
        <f ca="1"/>
        <v>101.83416773236668</v>
      </c>
    </row>
    <row r="167" spans="1:2">
      <c r="A167" s="13">
        <f ca="1"/>
        <v>1.2060301507537687</v>
      </c>
      <c r="B167" s="13">
        <f ca="1"/>
        <v>102.12631611732147</v>
      </c>
    </row>
    <row r="168" spans="1:2">
      <c r="A168" s="13">
        <f ca="1"/>
        <v>1.5075376884422109</v>
      </c>
      <c r="B168" s="13">
        <f ca="1"/>
        <v>102.06271809963353</v>
      </c>
    </row>
    <row r="169" spans="1:2">
      <c r="A169" s="13">
        <f ca="1"/>
        <v>1.8090452261306531</v>
      </c>
      <c r="B169" s="13">
        <f ca="1"/>
        <v>101.9134456038484</v>
      </c>
    </row>
    <row r="170" spans="1:2">
      <c r="A170" s="13">
        <f ca="1"/>
        <v>2.1105527638190953</v>
      </c>
      <c r="B170" s="13">
        <f ca="1"/>
        <v>101.9089649084539</v>
      </c>
    </row>
    <row r="171" spans="1:2">
      <c r="A171" s="13">
        <f ca="1"/>
        <v>2.4120603015075375</v>
      </c>
      <c r="B171" s="13">
        <f ca="1"/>
        <v>101.89388407010613</v>
      </c>
    </row>
    <row r="172" spans="1:2">
      <c r="A172" s="13">
        <f ca="1"/>
        <v>2.7135678391959797</v>
      </c>
      <c r="B172" s="13">
        <f ca="1"/>
        <v>101.45763736836221</v>
      </c>
    </row>
    <row r="173" spans="1:2">
      <c r="A173" s="13">
        <f ca="1"/>
        <v>3.0150753768844218</v>
      </c>
      <c r="B173" s="13">
        <f ca="1"/>
        <v>101.90150131707755</v>
      </c>
    </row>
    <row r="174" spans="1:2">
      <c r="A174" s="13">
        <f ca="1"/>
        <v>3.316582914572864</v>
      </c>
      <c r="B174" s="13">
        <f ca="1"/>
        <v>101.89730622981993</v>
      </c>
    </row>
    <row r="175" spans="1:2">
      <c r="A175" s="13">
        <f ca="1"/>
        <v>3.6180904522613062</v>
      </c>
      <c r="B175" s="13">
        <f ca="1"/>
        <v>101.77705093345919</v>
      </c>
    </row>
    <row r="176" spans="1:2">
      <c r="A176" s="13">
        <f ca="1"/>
        <v>3.9195979899497484</v>
      </c>
      <c r="B176" s="13">
        <f ca="1"/>
        <v>102.01980124499519</v>
      </c>
    </row>
    <row r="177" spans="1:2">
      <c r="A177" s="13">
        <f ca="1"/>
        <v>4.2211055276381906</v>
      </c>
      <c r="B177" s="13">
        <f ca="1"/>
        <v>101.71764480526409</v>
      </c>
    </row>
    <row r="178" spans="1:2">
      <c r="A178" s="13">
        <f ca="1"/>
        <v>4.5226130653266328</v>
      </c>
      <c r="B178" s="13">
        <f ca="1"/>
        <v>101.74703601046697</v>
      </c>
    </row>
    <row r="179" spans="1:2">
      <c r="A179" s="13">
        <f ca="1"/>
        <v>4.8241206030150749</v>
      </c>
      <c r="B179" s="13">
        <f ca="1"/>
        <v>101.63009568005566</v>
      </c>
    </row>
    <row r="180" spans="1:2">
      <c r="A180" s="13">
        <f ca="1"/>
        <v>5.1256281407035171</v>
      </c>
      <c r="B180" s="13">
        <f ca="1"/>
        <v>98.687667380919109</v>
      </c>
    </row>
    <row r="181" spans="1:2">
      <c r="A181" s="13">
        <f ca="1"/>
        <v>5.4271356783919593</v>
      </c>
      <c r="B181" s="13">
        <f ca="1"/>
        <v>98.364419864539656</v>
      </c>
    </row>
    <row r="182" spans="1:2">
      <c r="A182" s="13">
        <f ca="1"/>
        <v>5.7286432160804015</v>
      </c>
      <c r="B182" s="13">
        <f ca="1"/>
        <v>98.4879914304924</v>
      </c>
    </row>
    <row r="183" spans="1:2">
      <c r="A183" s="13">
        <f ca="1"/>
        <v>6.0301507537688437</v>
      </c>
      <c r="B183" s="13">
        <f ca="1"/>
        <v>98.488855983673147</v>
      </c>
    </row>
    <row r="184" spans="1:2">
      <c r="A184" s="13">
        <f ca="1"/>
        <v>6.3316582914572859</v>
      </c>
      <c r="B184" s="13">
        <f ca="1"/>
        <v>97.950414630822948</v>
      </c>
    </row>
    <row r="185" spans="1:2">
      <c r="A185" s="13">
        <f ca="1"/>
        <v>6.6331658291457281</v>
      </c>
      <c r="B185" s="13">
        <f ca="1"/>
        <v>98.370962551161099</v>
      </c>
    </row>
    <row r="186" spans="1:2">
      <c r="A186" s="13">
        <f ca="1"/>
        <v>6.9346733668341702</v>
      </c>
      <c r="B186" s="13">
        <f ca="1"/>
        <v>98.618852676180978</v>
      </c>
    </row>
    <row r="187" spans="1:2">
      <c r="A187" s="13">
        <f ca="1"/>
        <v>7.2361809045226124</v>
      </c>
      <c r="B187" s="13">
        <f ca="1"/>
        <v>98.181980480282704</v>
      </c>
    </row>
    <row r="188" spans="1:2">
      <c r="A188" s="13">
        <f ca="1"/>
        <v>7.5376884422110546</v>
      </c>
      <c r="B188" s="13">
        <f ca="1"/>
        <v>98.488553991620094</v>
      </c>
    </row>
    <row r="189" spans="1:2">
      <c r="A189" s="13">
        <f ca="1"/>
        <v>7.8391959798994968</v>
      </c>
      <c r="B189" s="13">
        <f ca="1"/>
        <v>98.152758113997436</v>
      </c>
    </row>
    <row r="190" spans="1:2">
      <c r="A190" s="13">
        <f ca="1"/>
        <v>8.140703517587939</v>
      </c>
      <c r="B190" s="13">
        <f ca="1"/>
        <v>98.638794583801399</v>
      </c>
    </row>
    <row r="191" spans="1:2">
      <c r="A191" s="13">
        <f ca="1"/>
        <v>8.4422110552763812</v>
      </c>
      <c r="B191" s="13">
        <f ca="1"/>
        <v>98.195933910907087</v>
      </c>
    </row>
    <row r="192" spans="1:2">
      <c r="A192" s="13">
        <f ca="1"/>
        <v>8.7437185929648233</v>
      </c>
      <c r="B192" s="13">
        <f ca="1"/>
        <v>98.312227804697002</v>
      </c>
    </row>
    <row r="193" spans="1:2">
      <c r="A193" s="13">
        <f ca="1"/>
        <v>9.0452261306532655</v>
      </c>
      <c r="B193" s="13">
        <f ca="1"/>
        <v>98.436834213200214</v>
      </c>
    </row>
    <row r="194" spans="1:2">
      <c r="A194" s="13">
        <f ca="1"/>
        <v>9.3467336683417077</v>
      </c>
      <c r="B194" s="13">
        <f ca="1"/>
        <v>98.349188606807715</v>
      </c>
    </row>
    <row r="195" spans="1:2">
      <c r="A195" s="13">
        <f ca="1"/>
        <v>9.6482412060301499</v>
      </c>
      <c r="B195" s="13">
        <f ca="1"/>
        <v>98.380205123947562</v>
      </c>
    </row>
    <row r="196" spans="1:2">
      <c r="A196" s="13">
        <f ca="1"/>
        <v>9.9497487437185921</v>
      </c>
      <c r="B196" s="13">
        <f ca="1"/>
        <v>98.475793468232666</v>
      </c>
    </row>
    <row r="197" spans="1:2">
      <c r="A197" s="13">
        <f ca="1"/>
        <v>10.251256281407034</v>
      </c>
      <c r="B197" s="13">
        <f ca="1"/>
        <v>101.30733954576171</v>
      </c>
    </row>
    <row r="198" spans="1:2">
      <c r="A198" s="13">
        <f ca="1"/>
        <v>10.552763819095476</v>
      </c>
      <c r="B198" s="13">
        <f ca="1"/>
        <v>101.607717786729</v>
      </c>
    </row>
    <row r="199" spans="1:2">
      <c r="A199" s="13">
        <f ca="1"/>
        <v>10.854271356783919</v>
      </c>
      <c r="B199" s="13">
        <f ca="1"/>
        <v>101.87636354821406</v>
      </c>
    </row>
    <row r="200" spans="1:2">
      <c r="A200" s="13">
        <f ca="1"/>
        <v>11.155778894472361</v>
      </c>
      <c r="B200" s="13">
        <f ca="1"/>
        <v>101.37760595679036</v>
      </c>
    </row>
    <row r="201" spans="1:2">
      <c r="A201" s="13">
        <f ca="1"/>
        <v>11.457286432160803</v>
      </c>
      <c r="B201" s="13">
        <f ca="1"/>
        <v>101.37453363947822</v>
      </c>
    </row>
    <row r="202" spans="1:2">
      <c r="A202" s="13">
        <f ca="1"/>
        <v>11.758793969849245</v>
      </c>
      <c r="B202" s="13">
        <f ca="1"/>
        <v>101.64654695994344</v>
      </c>
    </row>
    <row r="203" spans="1:2">
      <c r="A203" s="13">
        <f ca="1"/>
        <v>12.060301507537687</v>
      </c>
      <c r="B203" s="13">
        <f ca="1"/>
        <v>101.69014736051882</v>
      </c>
    </row>
    <row r="204" spans="1:2">
      <c r="A204" s="13">
        <f ca="1"/>
        <v>12.36180904522613</v>
      </c>
      <c r="B204" s="13">
        <f ca="1"/>
        <v>101.53989867512161</v>
      </c>
    </row>
    <row r="205" spans="1:2">
      <c r="A205" s="13">
        <f ca="1"/>
        <v>12.663316582914572</v>
      </c>
      <c r="B205" s="13">
        <f ca="1"/>
        <v>101.17620407924194</v>
      </c>
    </row>
    <row r="206" spans="1:2">
      <c r="A206" s="13">
        <f ca="1"/>
        <v>12.964824120603014</v>
      </c>
      <c r="B206" s="13">
        <f ca="1"/>
        <v>101.44534080091162</v>
      </c>
    </row>
    <row r="207" spans="1:2">
      <c r="A207" s="13">
        <f ca="1"/>
        <v>13.266331658291456</v>
      </c>
      <c r="B207" s="13">
        <f ca="1"/>
        <v>101.61007376694485</v>
      </c>
    </row>
    <row r="208" spans="1:2">
      <c r="A208" s="13">
        <f ca="1"/>
        <v>13.567839195979898</v>
      </c>
      <c r="B208" s="13">
        <f ca="1"/>
        <v>101.5523788358658</v>
      </c>
    </row>
    <row r="209" spans="1:2">
      <c r="A209" s="13">
        <f ca="1"/>
        <v>13.86934673366834</v>
      </c>
      <c r="B209" s="13">
        <f ca="1"/>
        <v>101.14400206056251</v>
      </c>
    </row>
    <row r="210" spans="1:2">
      <c r="A210" s="13">
        <f ca="1"/>
        <v>14.170854271356783</v>
      </c>
      <c r="B210" s="13">
        <f ca="1"/>
        <v>101.36972403003625</v>
      </c>
    </row>
    <row r="211" spans="1:2">
      <c r="A211" s="13">
        <f ca="1"/>
        <v>14.472361809045225</v>
      </c>
      <c r="B211" s="13">
        <f ca="1"/>
        <v>101.82800220314719</v>
      </c>
    </row>
    <row r="212" spans="1:2">
      <c r="A212" s="13">
        <f ca="1"/>
        <v>14.773869346733667</v>
      </c>
      <c r="B212" s="13">
        <f ca="1"/>
        <v>101.64770753838944</v>
      </c>
    </row>
    <row r="213" spans="1:2">
      <c r="A213" s="13">
        <f ca="1"/>
        <v>15.075376884422109</v>
      </c>
      <c r="B213" s="13">
        <f ca="1"/>
        <v>98.618731139146504</v>
      </c>
    </row>
    <row r="214" spans="1:2">
      <c r="A214" s="13">
        <f ca="1"/>
        <v>15.376884422110551</v>
      </c>
      <c r="B214" s="13">
        <f ca="1"/>
        <v>98.561893153077449</v>
      </c>
    </row>
    <row r="215" spans="1:2">
      <c r="A215" s="13">
        <f ca="1"/>
        <v>15.678391959798994</v>
      </c>
      <c r="B215" s="13">
        <f ca="1"/>
        <v>98.644037994968642</v>
      </c>
    </row>
    <row r="216" spans="1:2">
      <c r="A216" s="13">
        <f ca="1"/>
        <v>15.979899497487436</v>
      </c>
      <c r="B216" s="13">
        <f ca="1"/>
        <v>98.373034009168563</v>
      </c>
    </row>
    <row r="217" spans="1:2">
      <c r="A217" s="13">
        <f ca="1"/>
        <v>16.281407035175878</v>
      </c>
      <c r="B217" s="13">
        <f ca="1"/>
        <v>98.937419846098308</v>
      </c>
    </row>
    <row r="218" spans="1:2">
      <c r="A218" s="13">
        <f ca="1"/>
        <v>16.582914572864318</v>
      </c>
      <c r="B218" s="13">
        <f ca="1"/>
        <v>98.570260922783191</v>
      </c>
    </row>
    <row r="219" spans="1:2">
      <c r="A219" s="13">
        <f ca="1"/>
        <v>16.884422110552762</v>
      </c>
      <c r="B219" s="13">
        <f ca="1"/>
        <v>98.606805009390598</v>
      </c>
    </row>
    <row r="220" spans="1:2">
      <c r="A220" s="13">
        <f ca="1"/>
        <v>17.185929648241206</v>
      </c>
      <c r="B220" s="13">
        <f ca="1"/>
        <v>98.757904728633733</v>
      </c>
    </row>
    <row r="221" spans="1:2">
      <c r="A221" s="13">
        <f ca="1"/>
        <v>17.48743718592965</v>
      </c>
      <c r="B221" s="13">
        <f ca="1"/>
        <v>98.756159320116254</v>
      </c>
    </row>
    <row r="222" spans="1:2">
      <c r="A222" s="13">
        <f ca="1"/>
        <v>17.788944723618094</v>
      </c>
      <c r="B222" s="13">
        <f ca="1"/>
        <v>98.724833104993337</v>
      </c>
    </row>
    <row r="223" spans="1:2">
      <c r="A223" s="13">
        <f ca="1"/>
        <v>18.090452261306538</v>
      </c>
      <c r="B223" s="13">
        <f ca="1"/>
        <v>98.613096451076771</v>
      </c>
    </row>
    <row r="224" spans="1:2">
      <c r="A224" s="13">
        <f ca="1"/>
        <v>18.391959798994982</v>
      </c>
      <c r="B224" s="13">
        <f ca="1"/>
        <v>99.048478847212778</v>
      </c>
    </row>
    <row r="225" spans="1:2">
      <c r="A225" s="13">
        <f ca="1"/>
        <v>18.693467336683426</v>
      </c>
      <c r="B225" s="13">
        <f ca="1"/>
        <v>99.087047321181373</v>
      </c>
    </row>
    <row r="226" spans="1:2">
      <c r="A226" s="13">
        <f ca="1"/>
        <v>18.99497487437187</v>
      </c>
      <c r="B226" s="13">
        <f ca="1"/>
        <v>98.53957777136624</v>
      </c>
    </row>
    <row r="227" spans="1:2">
      <c r="A227" s="13">
        <f ca="1"/>
        <v>19.296482412060314</v>
      </c>
      <c r="B227" s="13">
        <f ca="1"/>
        <v>98.869937775279823</v>
      </c>
    </row>
    <row r="228" spans="1:2">
      <c r="A228" s="13">
        <f ca="1"/>
        <v>19.597989949748758</v>
      </c>
      <c r="B228" s="13">
        <f ca="1"/>
        <v>98.495913406066663</v>
      </c>
    </row>
    <row r="229" spans="1:2">
      <c r="A229" s="13">
        <f ca="1"/>
        <v>19.899497487437202</v>
      </c>
      <c r="B229" s="13">
        <f ca="1"/>
        <v>99.231338023547949</v>
      </c>
    </row>
    <row r="230" spans="1:2">
      <c r="A230" s="13">
        <f ca="1"/>
        <v>20.201005025125646</v>
      </c>
      <c r="B230" s="13">
        <f ca="1"/>
        <v>101.22280451421102</v>
      </c>
    </row>
    <row r="231" spans="1:2">
      <c r="A231" s="13">
        <f ca="1"/>
        <v>20.50251256281409</v>
      </c>
      <c r="B231" s="13">
        <f ca="1"/>
        <v>101.14721428946366</v>
      </c>
    </row>
    <row r="232" spans="1:2">
      <c r="A232" s="13">
        <f ca="1"/>
        <v>20.804020100502534</v>
      </c>
      <c r="B232" s="13">
        <f ca="1"/>
        <v>101.23824994087185</v>
      </c>
    </row>
    <row r="233" spans="1:2">
      <c r="A233" s="13">
        <f ca="1"/>
        <v>21.105527638190978</v>
      </c>
      <c r="B233" s="13">
        <f ca="1"/>
        <v>101.15344689748409</v>
      </c>
    </row>
    <row r="234" spans="1:2">
      <c r="A234" s="13">
        <f ca="1"/>
        <v>21.407035175879422</v>
      </c>
      <c r="B234" s="13">
        <f ca="1"/>
        <v>101.15313604660098</v>
      </c>
    </row>
    <row r="235" spans="1:2">
      <c r="A235" s="13">
        <f ca="1"/>
        <v>21.708542713567866</v>
      </c>
      <c r="B235" s="13">
        <f ca="1"/>
        <v>100.6437430388965</v>
      </c>
    </row>
    <row r="236" spans="1:2">
      <c r="A236" s="13">
        <f ca="1"/>
        <v>22.01005025125631</v>
      </c>
      <c r="B236" s="13">
        <f ca="1"/>
        <v>101.27558487019165</v>
      </c>
    </row>
    <row r="237" spans="1:2">
      <c r="A237" s="13">
        <f ca="1"/>
        <v>22.311557788944754</v>
      </c>
      <c r="B237" s="13">
        <f ca="1"/>
        <v>101.0586979123178</v>
      </c>
    </row>
    <row r="238" spans="1:2">
      <c r="A238" s="13">
        <f ca="1"/>
        <v>22.613065326633198</v>
      </c>
      <c r="B238" s="13">
        <f ca="1"/>
        <v>100.9923981434104</v>
      </c>
    </row>
    <row r="239" spans="1:2">
      <c r="A239" s="13">
        <f ca="1"/>
        <v>22.914572864321642</v>
      </c>
      <c r="B239" s="13">
        <f ca="1"/>
        <v>101.31060513377389</v>
      </c>
    </row>
    <row r="240" spans="1:2">
      <c r="A240" s="13">
        <f ca="1"/>
        <v>23.216080402010085</v>
      </c>
      <c r="B240" s="13">
        <f ca="1"/>
        <v>101.53034394500891</v>
      </c>
    </row>
    <row r="241" spans="1:2">
      <c r="A241" s="13">
        <f ca="1"/>
        <v>23.517587939698529</v>
      </c>
      <c r="B241" s="13">
        <f ca="1"/>
        <v>100.98752754008778</v>
      </c>
    </row>
    <row r="242" spans="1:2">
      <c r="A242" s="13">
        <f ca="1"/>
        <v>23.819095477386973</v>
      </c>
      <c r="B242" s="13">
        <f ca="1"/>
        <v>100.83099349570119</v>
      </c>
    </row>
    <row r="243" spans="1:2">
      <c r="A243" s="13">
        <f ca="1"/>
        <v>24.120603015075417</v>
      </c>
      <c r="B243" s="13">
        <f ca="1"/>
        <v>101.10971254302953</v>
      </c>
    </row>
    <row r="244" spans="1:2">
      <c r="A244" s="13">
        <f ca="1"/>
        <v>24.422110552763861</v>
      </c>
      <c r="B244" s="13">
        <f ca="1"/>
        <v>101.02475645277021</v>
      </c>
    </row>
    <row r="245" spans="1:2">
      <c r="A245" s="13">
        <f ca="1"/>
        <v>24.723618090452305</v>
      </c>
      <c r="B245" s="13">
        <f ca="1"/>
        <v>101.17329606395393</v>
      </c>
    </row>
    <row r="246" spans="1:2">
      <c r="A246" s="13">
        <f ca="1"/>
        <v>25.025125628140749</v>
      </c>
      <c r="B246" s="13">
        <f ca="1"/>
        <v>99.074705520118414</v>
      </c>
    </row>
    <row r="247" spans="1:2">
      <c r="A247" s="13">
        <f ca="1"/>
        <v>25.326633165829193</v>
      </c>
      <c r="B247" s="13">
        <f ca="1"/>
        <v>99.000150935413302</v>
      </c>
    </row>
    <row r="248" spans="1:2">
      <c r="A248" s="13">
        <f ca="1"/>
        <v>25.628140703517637</v>
      </c>
      <c r="B248" s="13">
        <f ca="1"/>
        <v>99.004024364991537</v>
      </c>
    </row>
    <row r="249" spans="1:2">
      <c r="A249" s="13">
        <f ca="1"/>
        <v>25.929648241206081</v>
      </c>
      <c r="B249" s="13">
        <f ca="1"/>
        <v>98.728552232837075</v>
      </c>
    </row>
    <row r="250" spans="1:2">
      <c r="A250" s="13">
        <f ca="1"/>
        <v>26.231155778894525</v>
      </c>
      <c r="B250" s="13">
        <f ca="1"/>
        <v>98.941054206635556</v>
      </c>
    </row>
    <row r="251" spans="1:2">
      <c r="A251" s="13">
        <f ca="1"/>
        <v>26.532663316582969</v>
      </c>
      <c r="B251" s="13">
        <f ca="1"/>
        <v>99.011023170583513</v>
      </c>
    </row>
    <row r="252" spans="1:2">
      <c r="A252" s="13">
        <f ca="1"/>
        <v>26.834170854271413</v>
      </c>
      <c r="B252" s="13">
        <f ca="1"/>
        <v>98.789656101017357</v>
      </c>
    </row>
    <row r="253" spans="1:2">
      <c r="A253" s="13">
        <f ca="1"/>
        <v>27.135678391959857</v>
      </c>
      <c r="B253" s="13">
        <f ca="1"/>
        <v>98.863885984956283</v>
      </c>
    </row>
    <row r="254" spans="1:2">
      <c r="A254" s="13">
        <f ca="1"/>
        <v>27.437185929648301</v>
      </c>
      <c r="B254" s="13">
        <f ca="1"/>
        <v>99.294384162026589</v>
      </c>
    </row>
    <row r="255" spans="1:2">
      <c r="A255" s="13">
        <f ca="1"/>
        <v>27.738693467336745</v>
      </c>
      <c r="B255" s="13">
        <f ca="1"/>
        <v>99.060657590192122</v>
      </c>
    </row>
    <row r="256" spans="1:2">
      <c r="A256" s="13">
        <f ca="1"/>
        <v>28.040201005025189</v>
      </c>
      <c r="B256" s="13">
        <f ca="1"/>
        <v>99.091807702241482</v>
      </c>
    </row>
    <row r="257" spans="1:2">
      <c r="A257" s="13">
        <f ca="1"/>
        <v>28.341708542713633</v>
      </c>
      <c r="B257" s="13">
        <f ca="1"/>
        <v>99.215626181092745</v>
      </c>
    </row>
    <row r="258" spans="1:2">
      <c r="A258" s="13">
        <f ca="1"/>
        <v>28.643216080402077</v>
      </c>
      <c r="B258" s="13">
        <f ca="1"/>
        <v>98.948945780624811</v>
      </c>
    </row>
    <row r="259" spans="1:2">
      <c r="A259" s="13">
        <f ca="1"/>
        <v>28.944723618090521</v>
      </c>
      <c r="B259" s="13">
        <f ca="1"/>
        <v>99.228022064599557</v>
      </c>
    </row>
    <row r="260" spans="1:2">
      <c r="A260" s="13">
        <f ca="1"/>
        <v>29.246231155778965</v>
      </c>
      <c r="B260" s="13">
        <f ca="1"/>
        <v>99.016575403375484</v>
      </c>
    </row>
    <row r="261" spans="1:2">
      <c r="A261" s="13">
        <f ca="1"/>
        <v>29.547738693467409</v>
      </c>
      <c r="B261" s="13">
        <f ca="1"/>
        <v>98.920955694135628</v>
      </c>
    </row>
    <row r="262" spans="1:2">
      <c r="A262" s="13">
        <f ca="1"/>
        <v>29.849246231155853</v>
      </c>
      <c r="B262" s="13">
        <f ca="1"/>
        <v>99.096689081394658</v>
      </c>
    </row>
    <row r="263" spans="1:2">
      <c r="A263" s="13">
        <f ca="1"/>
        <v>30.150753768844297</v>
      </c>
      <c r="B263" s="13">
        <f ca="1"/>
        <v>100.58737661306628</v>
      </c>
    </row>
    <row r="264" spans="1:2">
      <c r="A264" s="13">
        <f ca="1"/>
        <v>30.452261306532741</v>
      </c>
      <c r="B264" s="13">
        <f ca="1"/>
        <v>100.85977991399821</v>
      </c>
    </row>
    <row r="265" spans="1:2">
      <c r="A265" s="13">
        <f ca="1"/>
        <v>30.753768844221185</v>
      </c>
      <c r="B265" s="13">
        <f ca="1"/>
        <v>101.16321941629755</v>
      </c>
    </row>
    <row r="266" spans="1:2">
      <c r="A266" s="13">
        <f ca="1"/>
        <v>31.055276381909628</v>
      </c>
      <c r="B266" s="13">
        <f ca="1"/>
        <v>100.74689652473647</v>
      </c>
    </row>
    <row r="267" spans="1:2">
      <c r="A267" s="13">
        <f ca="1"/>
        <v>31.356783919598072</v>
      </c>
      <c r="B267" s="13">
        <f ca="1"/>
        <v>101.18105807299705</v>
      </c>
    </row>
    <row r="268" spans="1:2">
      <c r="A268" s="13">
        <f ca="1"/>
        <v>31.658291457286516</v>
      </c>
      <c r="B268" s="13">
        <f ca="1"/>
        <v>100.98317066357984</v>
      </c>
    </row>
    <row r="269" spans="1:2">
      <c r="A269" s="13">
        <f ca="1"/>
        <v>31.95979899497496</v>
      </c>
      <c r="B269" s="13">
        <f ca="1"/>
        <v>101.04034238878995</v>
      </c>
    </row>
    <row r="270" spans="1:2">
      <c r="A270" s="13">
        <f ca="1"/>
        <v>32.261306532663404</v>
      </c>
      <c r="B270" s="13">
        <f ca="1"/>
        <v>100.5938523428495</v>
      </c>
    </row>
    <row r="271" spans="1:2">
      <c r="A271" s="13">
        <f ca="1"/>
        <v>32.562814070351848</v>
      </c>
      <c r="B271" s="13">
        <f ca="1"/>
        <v>100.97679228472707</v>
      </c>
    </row>
    <row r="272" spans="1:2">
      <c r="A272" s="13">
        <f ca="1"/>
        <v>32.864321608040292</v>
      </c>
      <c r="B272" s="13">
        <f ca="1"/>
        <v>101.19060941592704</v>
      </c>
    </row>
    <row r="273" spans="1:2">
      <c r="A273" s="13">
        <f ca="1"/>
        <v>33.165829145728736</v>
      </c>
      <c r="B273" s="13">
        <f ca="1"/>
        <v>100.91148565845344</v>
      </c>
    </row>
    <row r="274" spans="1:2">
      <c r="A274" s="13">
        <f ca="1"/>
        <v>33.46733668341718</v>
      </c>
      <c r="B274" s="13">
        <f ca="1"/>
        <v>100.88710294333652</v>
      </c>
    </row>
    <row r="275" spans="1:2">
      <c r="A275" s="13">
        <f ca="1"/>
        <v>33.768844221105624</v>
      </c>
      <c r="B275" s="13">
        <f ca="1"/>
        <v>100.92786710556335</v>
      </c>
    </row>
    <row r="276" spans="1:2">
      <c r="A276" s="13">
        <f ca="1"/>
        <v>34.070351758794068</v>
      </c>
      <c r="B276" s="13">
        <f ca="1"/>
        <v>100.91443087941248</v>
      </c>
    </row>
    <row r="277" spans="1:2">
      <c r="A277" s="13">
        <f ca="1"/>
        <v>34.371859296482512</v>
      </c>
      <c r="B277" s="13">
        <f ca="1"/>
        <v>101.20271853732187</v>
      </c>
    </row>
    <row r="278" spans="1:2">
      <c r="A278" s="13">
        <f ca="1"/>
        <v>34.673366834170956</v>
      </c>
      <c r="B278" s="13">
        <f ca="1"/>
        <v>101.11453961661212</v>
      </c>
    </row>
    <row r="279" spans="1:2">
      <c r="A279" s="13">
        <f ca="1"/>
        <v>34.9748743718594</v>
      </c>
      <c r="B279" s="13">
        <f ca="1"/>
        <v>100.45864689407605</v>
      </c>
    </row>
    <row r="280" spans="1:2">
      <c r="A280" s="13">
        <f ca="1"/>
        <v>35.276381909547844</v>
      </c>
      <c r="B280" s="13">
        <f ca="1"/>
        <v>99.354274569182863</v>
      </c>
    </row>
    <row r="281" spans="1:2">
      <c r="A281" s="13">
        <f ca="1"/>
        <v>35.577889447236288</v>
      </c>
      <c r="B281" s="13">
        <f ca="1"/>
        <v>99.437593516095447</v>
      </c>
    </row>
    <row r="282" spans="1:2">
      <c r="A282" s="13">
        <f ca="1"/>
        <v>35.879396984924732</v>
      </c>
      <c r="B282" s="13">
        <f ca="1"/>
        <v>99.089418098404465</v>
      </c>
    </row>
    <row r="283" spans="1:2">
      <c r="A283" s="13">
        <f ca="1"/>
        <v>36.180904522613176</v>
      </c>
      <c r="B283" s="13">
        <f ca="1"/>
        <v>98.981794493180686</v>
      </c>
    </row>
    <row r="284" spans="1:2">
      <c r="A284" s="13">
        <f ca="1"/>
        <v>36.48241206030162</v>
      </c>
      <c r="B284" s="13">
        <f ca="1"/>
        <v>99.77758744943533</v>
      </c>
    </row>
    <row r="285" spans="1:2">
      <c r="A285" s="13">
        <f ca="1"/>
        <v>36.783919597990064</v>
      </c>
      <c r="B285" s="13">
        <f ca="1"/>
        <v>99.249554069983432</v>
      </c>
    </row>
    <row r="286" spans="1:2">
      <c r="A286" s="13">
        <f ca="1"/>
        <v>37.085427135678508</v>
      </c>
      <c r="B286" s="13">
        <f ca="1"/>
        <v>99.33308224242397</v>
      </c>
    </row>
    <row r="287" spans="1:2">
      <c r="A287" s="13">
        <f ca="1"/>
        <v>37.386934673366952</v>
      </c>
      <c r="B287" s="13">
        <f ca="1"/>
        <v>99.266999229838589</v>
      </c>
    </row>
    <row r="288" spans="1:2">
      <c r="A288" s="13">
        <f ca="1"/>
        <v>37.688442211055396</v>
      </c>
      <c r="B288" s="13">
        <f ca="1"/>
        <v>99.359588817878802</v>
      </c>
    </row>
    <row r="289" spans="1:2">
      <c r="A289" s="13">
        <f ca="1"/>
        <v>37.98994974874384</v>
      </c>
      <c r="B289" s="13">
        <f ca="1"/>
        <v>99.272845314911407</v>
      </c>
    </row>
    <row r="290" spans="1:2">
      <c r="A290" s="13">
        <f ca="1"/>
        <v>38.291457286432284</v>
      </c>
      <c r="B290" s="13">
        <f ca="1"/>
        <v>99.130676156944602</v>
      </c>
    </row>
    <row r="291" spans="1:2">
      <c r="A291" s="13">
        <f ca="1"/>
        <v>38.592964824120727</v>
      </c>
      <c r="B291" s="13">
        <f ca="1"/>
        <v>99.064123052825849</v>
      </c>
    </row>
    <row r="292" spans="1:2">
      <c r="A292" s="13">
        <f ca="1"/>
        <v>38.894472361809171</v>
      </c>
      <c r="B292" s="13">
        <f ca="1"/>
        <v>98.972666276525317</v>
      </c>
    </row>
    <row r="293" spans="1:2">
      <c r="A293" s="13">
        <f ca="1"/>
        <v>39.195979899497615</v>
      </c>
      <c r="B293" s="13">
        <f ca="1"/>
        <v>99.190285661719273</v>
      </c>
    </row>
    <row r="294" spans="1:2">
      <c r="A294" s="13">
        <f ca="1"/>
        <v>39.497487437186059</v>
      </c>
      <c r="B294" s="13">
        <f ca="1"/>
        <v>99.500920789701496</v>
      </c>
    </row>
    <row r="295" spans="1:2">
      <c r="A295" s="13">
        <f ca="1"/>
        <v>39.798994974874503</v>
      </c>
      <c r="B295" s="13">
        <f ca="1"/>
        <v>99.215901447066472</v>
      </c>
    </row>
    <row r="296" spans="1:2">
      <c r="A296" s="13">
        <f ca="1"/>
        <v>40.100502512562947</v>
      </c>
      <c r="B296" s="13">
        <f ca="1"/>
        <v>100.62129675259899</v>
      </c>
    </row>
    <row r="297" spans="1:2">
      <c r="A297" s="13">
        <f ca="1"/>
        <v>40.402010050251391</v>
      </c>
      <c r="B297" s="13">
        <f ca="1"/>
        <v>100.27738802057796</v>
      </c>
    </row>
    <row r="298" spans="1:2">
      <c r="A298" s="13">
        <f ca="1"/>
        <v>40.703517587939835</v>
      </c>
      <c r="B298" s="13">
        <f ca="1"/>
        <v>100.30159580387287</v>
      </c>
    </row>
    <row r="299" spans="1:2">
      <c r="A299" s="13">
        <f ca="1"/>
        <v>41.005025125628279</v>
      </c>
      <c r="B299" s="13">
        <f ca="1"/>
        <v>100.74105706208307</v>
      </c>
    </row>
    <row r="300" spans="1:2">
      <c r="A300" s="13">
        <f ca="1"/>
        <v>41.306532663316723</v>
      </c>
      <c r="B300" s="13">
        <f ca="1"/>
        <v>100.72167925655394</v>
      </c>
    </row>
    <row r="301" spans="1:2">
      <c r="A301" s="13">
        <f ca="1"/>
        <v>41.608040201005167</v>
      </c>
      <c r="B301" s="13">
        <f ca="1"/>
        <v>100.63352312873387</v>
      </c>
    </row>
    <row r="302" spans="1:2">
      <c r="A302" s="13">
        <f ca="1"/>
        <v>41.909547738693611</v>
      </c>
      <c r="B302" s="13">
        <f ca="1"/>
        <v>100.61760909288782</v>
      </c>
    </row>
    <row r="303" spans="1:2">
      <c r="A303" s="13">
        <f ca="1"/>
        <v>42.211055276382055</v>
      </c>
      <c r="B303" s="13">
        <f ca="1"/>
        <v>100.39414564223641</v>
      </c>
    </row>
    <row r="304" spans="1:2">
      <c r="A304" s="13">
        <f ca="1"/>
        <v>42.512562814070499</v>
      </c>
      <c r="B304" s="13">
        <f ca="1"/>
        <v>100.42172064731906</v>
      </c>
    </row>
    <row r="305" spans="1:2">
      <c r="A305" s="13">
        <f ca="1"/>
        <v>42.814070351758943</v>
      </c>
      <c r="B305" s="13">
        <f ca="1"/>
        <v>101.03706536610611</v>
      </c>
    </row>
    <row r="306" spans="1:2">
      <c r="A306" s="13">
        <f ca="1"/>
        <v>43.115577889447387</v>
      </c>
      <c r="B306" s="13">
        <f ca="1"/>
        <v>100.37755560406663</v>
      </c>
    </row>
    <row r="307" spans="1:2">
      <c r="A307" s="13">
        <f ca="1"/>
        <v>43.417085427135831</v>
      </c>
      <c r="B307" s="13">
        <f ca="1"/>
        <v>100.51809509835905</v>
      </c>
    </row>
    <row r="308" spans="1:2">
      <c r="A308" s="13">
        <f ca="1"/>
        <v>43.718592964824275</v>
      </c>
      <c r="B308" s="13">
        <f ca="1"/>
        <v>100.68578291068536</v>
      </c>
    </row>
    <row r="309" spans="1:2">
      <c r="A309" s="13">
        <f ca="1"/>
        <v>44.020100502512719</v>
      </c>
      <c r="B309" s="13">
        <f ca="1"/>
        <v>100.65841485608976</v>
      </c>
    </row>
    <row r="310" spans="1:2">
      <c r="A310" s="13">
        <f ca="1"/>
        <v>44.321608040201163</v>
      </c>
      <c r="B310" s="13">
        <f ca="1"/>
        <v>100.57852009792214</v>
      </c>
    </row>
    <row r="311" spans="1:2">
      <c r="A311" s="13">
        <f ca="1"/>
        <v>44.623115577889607</v>
      </c>
      <c r="B311" s="13">
        <f ca="1"/>
        <v>100.39410743276818</v>
      </c>
    </row>
    <row r="312" spans="1:2">
      <c r="A312" s="13">
        <f ca="1"/>
        <v>44.924623115578051</v>
      </c>
      <c r="B312" s="13">
        <f ca="1"/>
        <v>100.59152504021492</v>
      </c>
    </row>
    <row r="313" spans="1:2">
      <c r="A313" s="13">
        <f ca="1"/>
        <v>45.226130653266495</v>
      </c>
      <c r="B313" s="13">
        <f ca="1"/>
        <v>99.638670054117355</v>
      </c>
    </row>
    <row r="314" spans="1:2">
      <c r="A314" s="13">
        <f ca="1"/>
        <v>45.527638190954939</v>
      </c>
      <c r="B314" s="13">
        <f ca="1"/>
        <v>99.339920603391604</v>
      </c>
    </row>
    <row r="315" spans="1:2">
      <c r="A315" s="13">
        <f ca="1"/>
        <v>45.829145728643383</v>
      </c>
      <c r="B315" s="13">
        <f ca="1"/>
        <v>99.212319966982236</v>
      </c>
    </row>
    <row r="316" spans="1:2">
      <c r="A316" s="13">
        <f ca="1"/>
        <v>46.130653266331827</v>
      </c>
      <c r="B316" s="13">
        <f ca="1"/>
        <v>99.185006494595797</v>
      </c>
    </row>
    <row r="317" spans="1:2">
      <c r="A317" s="13">
        <f ca="1"/>
        <v>46.43216080402027</v>
      </c>
      <c r="B317" s="13">
        <f ca="1"/>
        <v>99.774444872306333</v>
      </c>
    </row>
    <row r="318" spans="1:2">
      <c r="A318" s="13">
        <f ca="1"/>
        <v>46.733668341708714</v>
      </c>
      <c r="B318" s="13">
        <f ca="1"/>
        <v>99.293730097464675</v>
      </c>
    </row>
    <row r="319" spans="1:2">
      <c r="A319" s="13">
        <f ca="1"/>
        <v>47.035175879397158</v>
      </c>
      <c r="B319" s="13">
        <f ca="1"/>
        <v>99.207298786002781</v>
      </c>
    </row>
    <row r="320" spans="1:2">
      <c r="A320" s="13">
        <f ca="1"/>
        <v>47.336683417085602</v>
      </c>
      <c r="B320" s="13">
        <f ca="1"/>
        <v>99.398966506765234</v>
      </c>
    </row>
    <row r="321" spans="1:2">
      <c r="A321" s="13">
        <f ca="1"/>
        <v>47.638190954774046</v>
      </c>
      <c r="B321" s="13">
        <f ca="1"/>
        <v>99.088887039937333</v>
      </c>
    </row>
    <row r="322" spans="1:2">
      <c r="A322" s="13">
        <f ca="1"/>
        <v>47.93969849246249</v>
      </c>
      <c r="B322" s="13">
        <f ca="1"/>
        <v>99.4060250471844</v>
      </c>
    </row>
    <row r="323" spans="1:2">
      <c r="A323" s="13">
        <f ca="1"/>
        <v>48.241206030150934</v>
      </c>
      <c r="B323" s="13">
        <f ca="1"/>
        <v>99.335661947592527</v>
      </c>
    </row>
    <row r="324" spans="1:2">
      <c r="A324" s="13">
        <f ca="1"/>
        <v>48.542713567839378</v>
      </c>
      <c r="B324" s="13">
        <f ca="1"/>
        <v>99.194152905227867</v>
      </c>
    </row>
    <row r="325" spans="1:2">
      <c r="A325" s="13">
        <f ca="1"/>
        <v>48.844221105527822</v>
      </c>
      <c r="B325" s="13">
        <f ca="1"/>
        <v>99.562078090450498</v>
      </c>
    </row>
    <row r="326" spans="1:2">
      <c r="A326" s="13">
        <f ca="1"/>
        <v>49.145728643216266</v>
      </c>
      <c r="B326" s="13">
        <f ca="1"/>
        <v>99.238795402811661</v>
      </c>
    </row>
    <row r="327" spans="1:2">
      <c r="A327" s="13">
        <f ca="1"/>
        <v>49.44723618090471</v>
      </c>
      <c r="B327" s="13">
        <f ca="1"/>
        <v>99.437219071398971</v>
      </c>
    </row>
    <row r="328" spans="1:2">
      <c r="A328" s="13">
        <f ca="1"/>
        <v>49.748743718593154</v>
      </c>
      <c r="B328" s="13">
        <f ca="1"/>
        <v>99.673542661200827</v>
      </c>
    </row>
    <row r="329" spans="1:2">
      <c r="A329" s="13">
        <f ca="1"/>
        <v>50.050251256281598</v>
      </c>
      <c r="B329" s="13">
        <f ca="1"/>
        <v>100.86837343107966</v>
      </c>
    </row>
    <row r="330" spans="1:2">
      <c r="A330" s="13">
        <f ca="1"/>
        <v>50.351758793970042</v>
      </c>
      <c r="B330" s="13">
        <f ca="1"/>
        <v>100.34859388873869</v>
      </c>
    </row>
    <row r="331" spans="1:2">
      <c r="A331" s="13">
        <f ca="1"/>
        <v>50.653266331658486</v>
      </c>
      <c r="B331" s="13">
        <f ca="1"/>
        <v>100.93635504695786</v>
      </c>
    </row>
    <row r="332" spans="1:2">
      <c r="A332" s="13">
        <f ca="1"/>
        <v>50.95477386934693</v>
      </c>
      <c r="B332" s="13">
        <f ca="1"/>
        <v>100.68493424194837</v>
      </c>
    </row>
    <row r="333" spans="1:2">
      <c r="A333" s="13">
        <f ca="1"/>
        <v>51.256281407035374</v>
      </c>
      <c r="B333" s="13">
        <f ca="1"/>
        <v>100.32789650022492</v>
      </c>
    </row>
    <row r="334" spans="1:2">
      <c r="A334" s="13">
        <f ca="1"/>
        <v>51.557788944723818</v>
      </c>
      <c r="B334" s="13">
        <f ca="1"/>
        <v>100.36382691035158</v>
      </c>
    </row>
    <row r="335" spans="1:2">
      <c r="A335" s="13">
        <f ca="1"/>
        <v>51.859296482412262</v>
      </c>
      <c r="B335" s="13">
        <f ca="1"/>
        <v>100.50536345159915</v>
      </c>
    </row>
    <row r="336" spans="1:2">
      <c r="A336" s="13">
        <f ca="1"/>
        <v>52.160804020100706</v>
      </c>
      <c r="B336" s="13">
        <f ca="1"/>
        <v>100.71560589095108</v>
      </c>
    </row>
    <row r="337" spans="1:2">
      <c r="A337" s="13">
        <f ca="1"/>
        <v>52.46231155778915</v>
      </c>
      <c r="B337" s="13">
        <f ca="1"/>
        <v>100.28755825664526</v>
      </c>
    </row>
    <row r="338" spans="1:2">
      <c r="A338" s="13">
        <f ca="1"/>
        <v>52.763819095477594</v>
      </c>
      <c r="B338" s="13">
        <f ca="1"/>
        <v>100.73587143186251</v>
      </c>
    </row>
    <row r="339" spans="1:2">
      <c r="A339" s="13">
        <f ca="1"/>
        <v>53.065326633166038</v>
      </c>
      <c r="B339" s="13">
        <f ca="1"/>
        <v>100.83579414366002</v>
      </c>
    </row>
    <row r="340" spans="1:2">
      <c r="A340" s="13">
        <f ca="1"/>
        <v>53.366834170854482</v>
      </c>
      <c r="B340" s="13">
        <f ca="1"/>
        <v>100.43143169302476</v>
      </c>
    </row>
    <row r="341" spans="1:2">
      <c r="A341" s="13">
        <f ca="1"/>
        <v>53.668341708542926</v>
      </c>
      <c r="B341" s="13">
        <f ca="1"/>
        <v>100.5098019270016</v>
      </c>
    </row>
    <row r="342" spans="1:2">
      <c r="A342" s="13">
        <f ca="1"/>
        <v>53.969849246231369</v>
      </c>
      <c r="B342" s="13">
        <f ca="1"/>
        <v>100.3669151687869</v>
      </c>
    </row>
    <row r="343" spans="1:2">
      <c r="A343" s="13">
        <f ca="1"/>
        <v>54.271356783919813</v>
      </c>
      <c r="B343" s="13">
        <f ca="1"/>
        <v>100.40147337806536</v>
      </c>
    </row>
    <row r="344" spans="1:2">
      <c r="A344" s="13">
        <f ca="1"/>
        <v>54.572864321608257</v>
      </c>
      <c r="B344" s="13">
        <f ca="1"/>
        <v>100.37632028784446</v>
      </c>
    </row>
    <row r="345" spans="1:2">
      <c r="A345" s="13">
        <f ca="1"/>
        <v>54.874371859296701</v>
      </c>
      <c r="B345" s="13">
        <f ca="1"/>
        <v>100.63471850361417</v>
      </c>
    </row>
    <row r="346" spans="1:2">
      <c r="A346" s="13">
        <f ca="1"/>
        <v>55.175879396985145</v>
      </c>
      <c r="B346" s="13">
        <f ca="1"/>
        <v>99.58042133422363</v>
      </c>
    </row>
    <row r="347" spans="1:2">
      <c r="A347" s="13">
        <f ca="1"/>
        <v>55.477386934673589</v>
      </c>
      <c r="B347" s="13">
        <f ca="1"/>
        <v>99.363707515064732</v>
      </c>
    </row>
    <row r="348" spans="1:2">
      <c r="A348" s="13">
        <f ca="1"/>
        <v>55.778894472362033</v>
      </c>
      <c r="B348" s="13">
        <f ca="1"/>
        <v>99.66293590283891</v>
      </c>
    </row>
    <row r="349" spans="1:2">
      <c r="A349" s="13">
        <f ca="1"/>
        <v>56.080402010050477</v>
      </c>
      <c r="B349" s="13">
        <f ca="1"/>
        <v>99.512604418937656</v>
      </c>
    </row>
    <row r="350" spans="1:2">
      <c r="A350" s="13">
        <f ca="1"/>
        <v>56.381909547738921</v>
      </c>
      <c r="B350" s="13">
        <f ca="1"/>
        <v>99.573763975620665</v>
      </c>
    </row>
    <row r="351" spans="1:2">
      <c r="A351" s="13">
        <f ca="1"/>
        <v>56.683417085427365</v>
      </c>
      <c r="B351" s="13">
        <f ca="1"/>
        <v>99.634004862626412</v>
      </c>
    </row>
    <row r="352" spans="1:2">
      <c r="A352" s="13">
        <f ca="1"/>
        <v>56.984924623115809</v>
      </c>
      <c r="B352" s="13">
        <f ca="1"/>
        <v>99.127851965732148</v>
      </c>
    </row>
    <row r="353" spans="1:2">
      <c r="A353" s="13">
        <f ca="1"/>
        <v>57.286432160804253</v>
      </c>
      <c r="B353" s="13">
        <f ca="1"/>
        <v>99.677224423141368</v>
      </c>
    </row>
    <row r="354" spans="1:2">
      <c r="A354" s="13">
        <f ca="1"/>
        <v>57.587939698492697</v>
      </c>
      <c r="B354" s="13">
        <f ca="1"/>
        <v>99.590685299652279</v>
      </c>
    </row>
    <row r="355" spans="1:2">
      <c r="A355" s="13">
        <f ca="1"/>
        <v>57.889447236181141</v>
      </c>
      <c r="B355" s="13">
        <f ca="1"/>
        <v>99.832144009020624</v>
      </c>
    </row>
    <row r="356" spans="1:2">
      <c r="A356" s="13">
        <f ca="1"/>
        <v>58.190954773869585</v>
      </c>
      <c r="B356" s="13">
        <f ca="1"/>
        <v>99.727754970225547</v>
      </c>
    </row>
    <row r="357" spans="1:2">
      <c r="A357" s="13">
        <f ca="1"/>
        <v>58.492462311558029</v>
      </c>
      <c r="B357" s="13">
        <f ca="1"/>
        <v>99.700296649650198</v>
      </c>
    </row>
    <row r="358" spans="1:2">
      <c r="A358" s="13">
        <f ca="1"/>
        <v>58.793969849246473</v>
      </c>
      <c r="B358" s="13">
        <f ca="1"/>
        <v>99.657889655941318</v>
      </c>
    </row>
    <row r="359" spans="1:2">
      <c r="A359" s="13">
        <f ca="1"/>
        <v>59.095477386934917</v>
      </c>
      <c r="B359" s="13">
        <f ca="1"/>
        <v>99.715033836613003</v>
      </c>
    </row>
    <row r="360" spans="1:2">
      <c r="A360" s="13">
        <f ca="1"/>
        <v>59.396984924623361</v>
      </c>
      <c r="B360" s="13">
        <f ca="1"/>
        <v>99.583318181839871</v>
      </c>
    </row>
    <row r="361" spans="1:2">
      <c r="A361" s="13">
        <f ca="1"/>
        <v>59.698492462311805</v>
      </c>
      <c r="B361" s="13">
        <f ca="1"/>
        <v>99.497675662754688</v>
      </c>
    </row>
    <row r="362" spans="1:2">
      <c r="A362" s="13">
        <f ca="1"/>
        <v>60.000000000000249</v>
      </c>
      <c r="B362" s="13">
        <f ca="1"/>
        <v>100.51408390481024</v>
      </c>
    </row>
  </sheetData>
  <mergeCells count="156">
    <mergeCell ref="A159:B159"/>
    <mergeCell ref="A149:B149"/>
    <mergeCell ref="A161:B161"/>
    <mergeCell ref="A153:B153"/>
    <mergeCell ref="A154:B154"/>
    <mergeCell ref="A155:B155"/>
    <mergeCell ref="A156:B156"/>
    <mergeCell ref="A157:B157"/>
    <mergeCell ref="A158:B158"/>
    <mergeCell ref="A150:B150"/>
    <mergeCell ref="A151:B151"/>
    <mergeCell ref="A152:B152"/>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84:K84"/>
    <mergeCell ref="A85:K85"/>
    <mergeCell ref="A86:K86"/>
    <mergeCell ref="A87:K87"/>
    <mergeCell ref="A88:K88"/>
    <mergeCell ref="A89:K89"/>
    <mergeCell ref="A78:K78"/>
    <mergeCell ref="A79:K79"/>
    <mergeCell ref="A80:K80"/>
    <mergeCell ref="A81:K81"/>
    <mergeCell ref="A82:K82"/>
    <mergeCell ref="A83:K83"/>
    <mergeCell ref="A72:K72"/>
    <mergeCell ref="A73:K73"/>
    <mergeCell ref="A74:K74"/>
    <mergeCell ref="A75:K75"/>
    <mergeCell ref="A76:K76"/>
    <mergeCell ref="A77:K77"/>
    <mergeCell ref="A66:K66"/>
    <mergeCell ref="A67:K67"/>
    <mergeCell ref="A68:K68"/>
    <mergeCell ref="A69:K69"/>
    <mergeCell ref="A70:K70"/>
    <mergeCell ref="A71:K71"/>
    <mergeCell ref="A60:K60"/>
    <mergeCell ref="A61:K61"/>
    <mergeCell ref="A62:K62"/>
    <mergeCell ref="A63:K63"/>
    <mergeCell ref="A64:K64"/>
    <mergeCell ref="A65:K65"/>
    <mergeCell ref="A54:K54"/>
    <mergeCell ref="A55:K55"/>
    <mergeCell ref="A56:K56"/>
    <mergeCell ref="A57:K57"/>
    <mergeCell ref="A58:K58"/>
    <mergeCell ref="A59:K59"/>
    <mergeCell ref="A48:K48"/>
    <mergeCell ref="A49:K49"/>
    <mergeCell ref="A50:K50"/>
    <mergeCell ref="A51:K51"/>
    <mergeCell ref="A52:K52"/>
    <mergeCell ref="A53:K53"/>
    <mergeCell ref="A42:K42"/>
    <mergeCell ref="A43:K43"/>
    <mergeCell ref="A44:K44"/>
    <mergeCell ref="A45:K45"/>
    <mergeCell ref="A46:K46"/>
    <mergeCell ref="A47:K47"/>
    <mergeCell ref="A36:K36"/>
    <mergeCell ref="A37:K37"/>
    <mergeCell ref="A38:K38"/>
    <mergeCell ref="A39:K39"/>
    <mergeCell ref="A40:K40"/>
    <mergeCell ref="A41:K41"/>
    <mergeCell ref="A30:K30"/>
    <mergeCell ref="A31:K31"/>
    <mergeCell ref="A32:K32"/>
    <mergeCell ref="A33:K33"/>
    <mergeCell ref="A34:K34"/>
    <mergeCell ref="A35:K35"/>
    <mergeCell ref="A27:K27"/>
    <mergeCell ref="A28:K28"/>
    <mergeCell ref="A29:K29"/>
    <mergeCell ref="A18:K18"/>
    <mergeCell ref="A19:K19"/>
    <mergeCell ref="A20:K20"/>
    <mergeCell ref="A21:K21"/>
    <mergeCell ref="A22:K22"/>
    <mergeCell ref="A23:K23"/>
    <mergeCell ref="A12:K12"/>
    <mergeCell ref="A13:K13"/>
    <mergeCell ref="A14:K14"/>
    <mergeCell ref="A15:K15"/>
    <mergeCell ref="A16:K16"/>
    <mergeCell ref="A17:K17"/>
    <mergeCell ref="A24:K24"/>
    <mergeCell ref="A25:K25"/>
    <mergeCell ref="A26:K26"/>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59" workbookViewId="0">
      <selection activeCell="K79" sqref="K79"/>
    </sheetView>
  </sheetViews>
  <sheetFormatPr defaultColWidth="9.125" defaultRowHeight="14.25"/>
  <cols>
    <col min="1" max="16384" width="9.125" style="2"/>
  </cols>
  <sheetData>
    <row r="1" spans="1:11">
      <c r="A1" s="3" t="s">
        <v>1212</v>
      </c>
    </row>
    <row r="2" spans="1:11">
      <c r="A2" s="65" t="s">
        <v>1239</v>
      </c>
      <c r="B2" s="65"/>
      <c r="C2" s="65"/>
      <c r="D2" s="65"/>
      <c r="E2" s="65"/>
      <c r="F2" s="65"/>
      <c r="G2" s="65"/>
      <c r="H2" s="65"/>
      <c r="I2" s="65"/>
      <c r="J2" s="65"/>
      <c r="K2" s="65"/>
    </row>
    <row r="3" spans="1:11">
      <c r="A3" s="65" t="s">
        <v>1240</v>
      </c>
      <c r="B3" s="65"/>
      <c r="C3" s="65"/>
      <c r="D3" s="65"/>
      <c r="E3" s="65"/>
      <c r="F3" s="65"/>
      <c r="G3" s="65"/>
      <c r="H3" s="65"/>
      <c r="I3" s="65"/>
      <c r="J3" s="65"/>
      <c r="K3" s="65"/>
    </row>
    <row r="4" spans="1:11">
      <c r="A4" s="65" t="s">
        <v>1241</v>
      </c>
      <c r="B4" s="65"/>
      <c r="C4" s="65"/>
      <c r="D4" s="65"/>
      <c r="E4" s="65"/>
      <c r="F4" s="65"/>
      <c r="G4" s="65"/>
      <c r="H4" s="65"/>
      <c r="I4" s="65"/>
      <c r="J4" s="65"/>
      <c r="K4" s="65"/>
    </row>
    <row r="5" spans="1:11">
      <c r="A5" s="65" t="s">
        <v>1242</v>
      </c>
      <c r="B5" s="65"/>
      <c r="C5" s="65"/>
      <c r="D5" s="65"/>
      <c r="E5" s="65"/>
      <c r="F5" s="65"/>
      <c r="G5" s="65"/>
      <c r="H5" s="65"/>
      <c r="I5" s="65"/>
      <c r="J5" s="65"/>
      <c r="K5" s="65"/>
    </row>
    <row r="6" spans="1:11">
      <c r="A6" s="65" t="s">
        <v>1243</v>
      </c>
      <c r="B6" s="65"/>
      <c r="C6" s="65"/>
      <c r="D6" s="65"/>
      <c r="E6" s="65"/>
      <c r="F6" s="65"/>
      <c r="G6" s="65"/>
      <c r="H6" s="65"/>
      <c r="I6" s="65"/>
      <c r="J6" s="65"/>
      <c r="K6" s="65"/>
    </row>
    <row r="8" spans="1:11">
      <c r="A8" s="3" t="s">
        <v>1</v>
      </c>
    </row>
    <row r="9" spans="1:11">
      <c r="A9" s="65" t="s">
        <v>1213</v>
      </c>
      <c r="B9" s="65"/>
      <c r="C9" s="65"/>
      <c r="D9" s="65"/>
      <c r="E9" s="65"/>
      <c r="F9" s="65"/>
      <c r="G9" s="65"/>
      <c r="H9" s="65"/>
      <c r="I9" s="65"/>
      <c r="J9" s="65"/>
      <c r="K9" s="65"/>
    </row>
    <row r="10" spans="1:11">
      <c r="A10" s="75" t="s">
        <v>1225</v>
      </c>
      <c r="B10" s="75"/>
      <c r="C10" s="75"/>
      <c r="D10" s="75"/>
      <c r="E10" s="75"/>
      <c r="F10" s="75"/>
      <c r="G10" s="75"/>
      <c r="H10" s="75"/>
      <c r="I10" s="75"/>
      <c r="J10" s="75"/>
      <c r="K10" s="75"/>
    </row>
    <row r="11" spans="1:11">
      <c r="A11" s="65" t="s">
        <v>1031</v>
      </c>
      <c r="B11" s="65"/>
      <c r="C11" s="65"/>
      <c r="D11" s="65"/>
      <c r="E11" s="65"/>
      <c r="F11" s="65"/>
      <c r="G11" s="65"/>
      <c r="H11" s="65"/>
      <c r="I11" s="65"/>
      <c r="J11" s="65"/>
      <c r="K11" s="65"/>
    </row>
    <row r="12" spans="1:11">
      <c r="A12" s="75" t="s">
        <v>1214</v>
      </c>
      <c r="B12" s="75"/>
      <c r="C12" s="75"/>
      <c r="D12" s="75"/>
      <c r="E12" s="75"/>
      <c r="F12" s="75"/>
      <c r="G12" s="75"/>
      <c r="H12" s="75"/>
      <c r="I12" s="75"/>
      <c r="J12" s="75"/>
      <c r="K12" s="75"/>
    </row>
    <row r="13" spans="1:11">
      <c r="A13" s="75" t="s">
        <v>1215</v>
      </c>
      <c r="B13" s="75"/>
      <c r="C13" s="75"/>
      <c r="D13" s="75"/>
      <c r="E13" s="75"/>
      <c r="F13" s="75"/>
      <c r="G13" s="75"/>
      <c r="H13" s="75"/>
      <c r="I13" s="75"/>
      <c r="J13" s="75"/>
      <c r="K13" s="75"/>
    </row>
    <row r="14" spans="1:11">
      <c r="A14" s="75" t="s">
        <v>1216</v>
      </c>
      <c r="B14" s="75"/>
      <c r="C14" s="75"/>
      <c r="D14" s="75"/>
      <c r="E14" s="75"/>
      <c r="F14" s="75"/>
      <c r="G14" s="75"/>
      <c r="H14" s="75"/>
      <c r="I14" s="75"/>
      <c r="J14" s="75"/>
      <c r="K14" s="75"/>
    </row>
    <row r="15" spans="1:11">
      <c r="A15" s="75" t="s">
        <v>1217</v>
      </c>
      <c r="B15" s="75"/>
      <c r="C15" s="75"/>
      <c r="D15" s="75"/>
      <c r="E15" s="75"/>
      <c r="F15" s="75"/>
      <c r="G15" s="75"/>
      <c r="H15" s="75"/>
      <c r="I15" s="75"/>
      <c r="J15" s="75"/>
      <c r="K15" s="75"/>
    </row>
    <row r="16" spans="1:11">
      <c r="A16" s="75" t="s">
        <v>1218</v>
      </c>
      <c r="B16" s="75"/>
      <c r="C16" s="75"/>
      <c r="D16" s="75"/>
      <c r="E16" s="75"/>
      <c r="F16" s="75"/>
      <c r="G16" s="75"/>
      <c r="H16" s="75"/>
      <c r="I16" s="75"/>
      <c r="J16" s="75"/>
      <c r="K16" s="75"/>
    </row>
    <row r="17" spans="1:11">
      <c r="A17" s="65" t="s">
        <v>983</v>
      </c>
      <c r="B17" s="65"/>
      <c r="C17" s="65"/>
      <c r="D17" s="65"/>
      <c r="E17" s="65"/>
      <c r="F17" s="65"/>
      <c r="G17" s="65"/>
      <c r="H17" s="65"/>
      <c r="I17" s="65"/>
      <c r="J17" s="65"/>
      <c r="K17" s="65"/>
    </row>
    <row r="18" spans="1:11">
      <c r="A18" s="75" t="s">
        <v>1219</v>
      </c>
      <c r="B18" s="75"/>
      <c r="C18" s="75"/>
      <c r="D18" s="75"/>
      <c r="E18" s="75"/>
      <c r="F18" s="75"/>
      <c r="G18" s="75"/>
      <c r="H18" s="75"/>
      <c r="I18" s="75"/>
      <c r="J18" s="75"/>
      <c r="K18" s="75"/>
    </row>
    <row r="19" spans="1:11">
      <c r="A19" s="75" t="s">
        <v>1220</v>
      </c>
      <c r="B19" s="75"/>
      <c r="C19" s="75"/>
      <c r="D19" s="75"/>
      <c r="E19" s="75"/>
      <c r="F19" s="75"/>
      <c r="G19" s="75"/>
      <c r="H19" s="75"/>
      <c r="I19" s="75"/>
      <c r="J19" s="75"/>
      <c r="K19" s="75"/>
    </row>
    <row r="20" spans="1:11">
      <c r="A20" s="75" t="s">
        <v>1221</v>
      </c>
      <c r="B20" s="75"/>
      <c r="C20" s="75"/>
      <c r="D20" s="75"/>
      <c r="E20" s="75"/>
      <c r="F20" s="75"/>
      <c r="G20" s="75"/>
      <c r="H20" s="75"/>
      <c r="I20" s="75"/>
      <c r="J20" s="75"/>
      <c r="K20" s="75"/>
    </row>
    <row r="21" spans="1:11">
      <c r="A21" s="75" t="s">
        <v>1222</v>
      </c>
      <c r="B21" s="75"/>
      <c r="C21" s="75"/>
      <c r="D21" s="75"/>
      <c r="E21" s="75"/>
      <c r="F21" s="75"/>
      <c r="G21" s="75"/>
      <c r="H21" s="75"/>
      <c r="I21" s="75"/>
      <c r="J21" s="75"/>
      <c r="K21" s="75"/>
    </row>
    <row r="22" spans="1:11">
      <c r="A22" s="75" t="s">
        <v>1223</v>
      </c>
      <c r="B22" s="75"/>
      <c r="C22" s="75"/>
      <c r="D22" s="75"/>
      <c r="E22" s="75"/>
      <c r="F22" s="75"/>
      <c r="G22" s="75"/>
      <c r="H22" s="75"/>
      <c r="I22" s="75"/>
      <c r="J22" s="75"/>
      <c r="K22" s="75"/>
    </row>
    <row r="23" spans="1:11">
      <c r="A23" s="75" t="s">
        <v>1224</v>
      </c>
      <c r="B23" s="75"/>
      <c r="C23" s="75"/>
      <c r="D23" s="75"/>
      <c r="E23" s="75"/>
      <c r="F23" s="75"/>
      <c r="G23" s="75"/>
      <c r="H23" s="75"/>
      <c r="I23" s="75"/>
      <c r="J23" s="75"/>
      <c r="K23" s="75"/>
    </row>
    <row r="25" spans="1:11">
      <c r="A25" s="3" t="s">
        <v>220</v>
      </c>
    </row>
    <row r="26" spans="1:11">
      <c r="A26" s="66" t="s">
        <v>1286</v>
      </c>
      <c r="B26" s="66"/>
      <c r="C26" s="66"/>
      <c r="D26" s="66"/>
      <c r="E26" s="66"/>
      <c r="F26" s="66"/>
      <c r="G26" s="66"/>
      <c r="H26" s="66"/>
      <c r="I26" s="66"/>
      <c r="J26" s="66"/>
      <c r="K26" s="66"/>
    </row>
    <row r="27" spans="1:11">
      <c r="A27" s="67" t="s">
        <v>616</v>
      </c>
      <c r="B27" s="67"/>
      <c r="C27" s="67"/>
      <c r="D27" s="67"/>
      <c r="E27" s="67"/>
      <c r="F27" s="67"/>
      <c r="G27" s="67"/>
      <c r="H27" s="67"/>
      <c r="I27" s="67"/>
      <c r="J27" s="67"/>
      <c r="K27" s="67"/>
    </row>
    <row r="28" spans="1:11">
      <c r="A28" s="67" t="s">
        <v>1226</v>
      </c>
      <c r="B28" s="67"/>
      <c r="C28" s="67"/>
      <c r="D28" s="67"/>
      <c r="E28" s="67"/>
      <c r="F28" s="67"/>
      <c r="G28" s="67"/>
      <c r="H28" s="67"/>
      <c r="I28" s="67"/>
      <c r="J28" s="67"/>
      <c r="K28" s="67"/>
    </row>
    <row r="29" spans="1:11">
      <c r="A29" s="67" t="s">
        <v>1227</v>
      </c>
      <c r="B29" s="67"/>
      <c r="C29" s="67"/>
      <c r="D29" s="67"/>
      <c r="E29" s="67"/>
      <c r="F29" s="67"/>
      <c r="G29" s="67"/>
      <c r="H29" s="67"/>
      <c r="I29" s="67"/>
      <c r="J29" s="67"/>
      <c r="K29" s="67"/>
    </row>
    <row r="30" spans="1:11">
      <c r="A30" s="67" t="s">
        <v>120</v>
      </c>
      <c r="B30" s="67"/>
      <c r="C30" s="67"/>
      <c r="D30" s="67"/>
      <c r="E30" s="67"/>
      <c r="F30" s="67"/>
      <c r="G30" s="67"/>
      <c r="H30" s="67"/>
      <c r="I30" s="67"/>
      <c r="J30" s="67"/>
      <c r="K30" s="67"/>
    </row>
    <row r="31" spans="1:11">
      <c r="A31" s="67" t="s">
        <v>1003</v>
      </c>
      <c r="B31" s="67"/>
      <c r="C31" s="67"/>
      <c r="D31" s="67"/>
      <c r="E31" s="67"/>
      <c r="F31" s="67"/>
      <c r="G31" s="67"/>
      <c r="H31" s="67"/>
      <c r="I31" s="67"/>
      <c r="J31" s="67"/>
      <c r="K31" s="67"/>
    </row>
    <row r="32" spans="1:11">
      <c r="A32" s="67" t="s">
        <v>1228</v>
      </c>
      <c r="B32" s="67"/>
      <c r="C32" s="67"/>
      <c r="D32" s="67"/>
      <c r="E32" s="67"/>
      <c r="F32" s="67"/>
      <c r="G32" s="67"/>
      <c r="H32" s="67"/>
      <c r="I32" s="67"/>
      <c r="J32" s="67"/>
      <c r="K32" s="67"/>
    </row>
    <row r="33" spans="1:11">
      <c r="A33" s="67" t="s">
        <v>1229</v>
      </c>
      <c r="B33" s="67"/>
      <c r="C33" s="67"/>
      <c r="D33" s="67"/>
      <c r="E33" s="67"/>
      <c r="F33" s="67"/>
      <c r="G33" s="67"/>
      <c r="H33" s="67"/>
      <c r="I33" s="67"/>
      <c r="J33" s="67"/>
      <c r="K33" s="67"/>
    </row>
    <row r="34" spans="1:11">
      <c r="A34" s="67" t="s">
        <v>1230</v>
      </c>
      <c r="B34" s="67"/>
      <c r="C34" s="67"/>
      <c r="D34" s="67"/>
      <c r="E34" s="67"/>
      <c r="F34" s="67"/>
      <c r="G34" s="67"/>
      <c r="H34" s="67"/>
      <c r="I34" s="67"/>
      <c r="J34" s="67"/>
      <c r="K34" s="67"/>
    </row>
    <row r="35" spans="1:11">
      <c r="A35" s="67" t="s">
        <v>1231</v>
      </c>
      <c r="B35" s="67"/>
      <c r="C35" s="67"/>
      <c r="D35" s="67"/>
      <c r="E35" s="67"/>
      <c r="F35" s="67"/>
      <c r="G35" s="67"/>
      <c r="H35" s="67"/>
      <c r="I35" s="67"/>
      <c r="J35" s="67"/>
      <c r="K35" s="67"/>
    </row>
    <row r="36" spans="1:11">
      <c r="A36" s="67" t="s">
        <v>146</v>
      </c>
      <c r="B36" s="67"/>
      <c r="C36" s="67"/>
      <c r="D36" s="67"/>
      <c r="E36" s="67"/>
      <c r="F36" s="67"/>
      <c r="G36" s="67"/>
      <c r="H36" s="67"/>
      <c r="I36" s="67"/>
      <c r="J36" s="67"/>
      <c r="K36" s="67"/>
    </row>
    <row r="37" spans="1:11">
      <c r="A37" s="67" t="s">
        <v>77</v>
      </c>
      <c r="B37" s="67"/>
      <c r="C37" s="67"/>
      <c r="D37" s="67"/>
      <c r="E37" s="67"/>
      <c r="F37" s="67"/>
      <c r="G37" s="67"/>
      <c r="H37" s="67"/>
      <c r="I37" s="67"/>
      <c r="J37" s="67"/>
      <c r="K37" s="67"/>
    </row>
    <row r="38" spans="1:11">
      <c r="A38" s="67" t="s">
        <v>147</v>
      </c>
      <c r="B38" s="67"/>
      <c r="C38" s="67"/>
      <c r="D38" s="67"/>
      <c r="E38" s="67"/>
      <c r="F38" s="67"/>
      <c r="G38" s="67"/>
      <c r="H38" s="67"/>
      <c r="I38" s="67"/>
      <c r="J38" s="67"/>
      <c r="K38" s="67"/>
    </row>
    <row r="39" spans="1:11">
      <c r="A39" s="67" t="s">
        <v>148</v>
      </c>
      <c r="B39" s="67"/>
      <c r="C39" s="67"/>
      <c r="D39" s="67"/>
      <c r="E39" s="67"/>
      <c r="F39" s="67"/>
      <c r="G39" s="67"/>
      <c r="H39" s="67"/>
      <c r="I39" s="67"/>
      <c r="J39" s="67"/>
      <c r="K39" s="67"/>
    </row>
    <row r="40" spans="1:11">
      <c r="A40" s="67" t="s">
        <v>1232</v>
      </c>
      <c r="B40" s="67"/>
      <c r="C40" s="67"/>
      <c r="D40" s="67"/>
      <c r="E40" s="67"/>
      <c r="F40" s="67"/>
      <c r="G40" s="67"/>
      <c r="H40" s="67"/>
      <c r="I40" s="67"/>
      <c r="J40" s="67"/>
      <c r="K40" s="67"/>
    </row>
    <row r="41" spans="1:11">
      <c r="A41" s="67" t="s">
        <v>1233</v>
      </c>
      <c r="B41" s="67"/>
      <c r="C41" s="67"/>
      <c r="D41" s="67"/>
      <c r="E41" s="67"/>
      <c r="F41" s="67"/>
      <c r="G41" s="67"/>
      <c r="H41" s="67"/>
      <c r="I41" s="67"/>
      <c r="J41" s="67"/>
      <c r="K41" s="67"/>
    </row>
    <row r="42" spans="1:11">
      <c r="A42" s="67" t="s">
        <v>1234</v>
      </c>
      <c r="B42" s="67"/>
      <c r="C42" s="67"/>
      <c r="D42" s="67"/>
      <c r="E42" s="67"/>
      <c r="F42" s="67"/>
      <c r="G42" s="67"/>
      <c r="H42" s="67"/>
      <c r="I42" s="67"/>
      <c r="J42" s="67"/>
      <c r="K42" s="67"/>
    </row>
    <row r="43" spans="1:11">
      <c r="A43" s="67" t="s">
        <v>1235</v>
      </c>
      <c r="B43" s="67"/>
      <c r="C43" s="67"/>
      <c r="D43" s="67"/>
      <c r="E43" s="67"/>
      <c r="F43" s="67"/>
      <c r="G43" s="67"/>
      <c r="H43" s="67"/>
      <c r="I43" s="67"/>
      <c r="J43" s="67"/>
      <c r="K43" s="67"/>
    </row>
    <row r="44" spans="1:11">
      <c r="A44" s="67" t="s">
        <v>1236</v>
      </c>
      <c r="B44" s="67"/>
      <c r="C44" s="67"/>
      <c r="D44" s="67"/>
      <c r="E44" s="67"/>
      <c r="F44" s="67"/>
      <c r="G44" s="67"/>
      <c r="H44" s="67"/>
      <c r="I44" s="67"/>
      <c r="J44" s="67"/>
      <c r="K44" s="67"/>
    </row>
    <row r="45" spans="1:11">
      <c r="A45" s="67" t="s">
        <v>1237</v>
      </c>
      <c r="B45" s="67"/>
      <c r="C45" s="67"/>
      <c r="D45" s="67"/>
      <c r="E45" s="67"/>
      <c r="F45" s="67"/>
      <c r="G45" s="67"/>
      <c r="H45" s="67"/>
      <c r="I45" s="67"/>
      <c r="J45" s="67"/>
      <c r="K45" s="67"/>
    </row>
    <row r="46" spans="1:11">
      <c r="A46" s="67" t="s">
        <v>77</v>
      </c>
      <c r="B46" s="67"/>
      <c r="C46" s="67"/>
      <c r="D46" s="67"/>
      <c r="E46" s="67"/>
      <c r="F46" s="67"/>
      <c r="G46" s="67"/>
      <c r="H46" s="67"/>
      <c r="I46" s="67"/>
      <c r="J46" s="67"/>
      <c r="K46" s="67"/>
    </row>
    <row r="47" spans="1:11">
      <c r="A47" s="67" t="s">
        <v>1238</v>
      </c>
      <c r="B47" s="67"/>
      <c r="C47" s="67"/>
      <c r="D47" s="67"/>
      <c r="E47" s="67"/>
      <c r="F47" s="67"/>
      <c r="G47" s="67"/>
      <c r="H47" s="67"/>
      <c r="I47" s="67"/>
      <c r="J47" s="67"/>
      <c r="K47" s="67"/>
    </row>
    <row r="48" spans="1:11">
      <c r="A48" s="67" t="s">
        <v>177</v>
      </c>
      <c r="B48" s="67"/>
      <c r="C48" s="67"/>
      <c r="D48" s="67"/>
      <c r="E48" s="67"/>
      <c r="F48" s="67"/>
      <c r="G48" s="67"/>
      <c r="H48" s="67"/>
      <c r="I48" s="67"/>
      <c r="J48" s="67"/>
      <c r="K48" s="67"/>
    </row>
    <row r="49" spans="1:11">
      <c r="A49" s="67" t="s">
        <v>97</v>
      </c>
      <c r="B49" s="67"/>
      <c r="C49" s="67"/>
      <c r="D49" s="67"/>
      <c r="E49" s="67"/>
      <c r="F49" s="67"/>
      <c r="G49" s="67"/>
      <c r="H49" s="67"/>
      <c r="I49" s="67"/>
      <c r="J49" s="67"/>
      <c r="K49" s="67"/>
    </row>
    <row r="51" spans="1:11">
      <c r="A51" s="3" t="s">
        <v>213</v>
      </c>
    </row>
    <row r="52" spans="1:11">
      <c r="A52" s="63" t="s">
        <v>188</v>
      </c>
      <c r="B52" s="63"/>
      <c r="C52" s="64" t="s">
        <v>2</v>
      </c>
      <c r="D52" s="64"/>
      <c r="E52" s="64"/>
      <c r="F52" s="64"/>
      <c r="G52" s="64"/>
      <c r="H52" s="64"/>
      <c r="I52" s="64"/>
      <c r="J52" s="64"/>
      <c r="K52" s="64"/>
    </row>
    <row r="53" spans="1:11">
      <c r="A53" s="59" t="s">
        <v>939</v>
      </c>
      <c r="B53" s="59"/>
      <c r="C53" s="62" t="s">
        <v>1245</v>
      </c>
      <c r="D53" s="62"/>
      <c r="E53" s="62"/>
      <c r="F53" s="62"/>
      <c r="G53" s="62"/>
      <c r="H53" s="62"/>
      <c r="I53" s="62"/>
      <c r="J53" s="62"/>
      <c r="K53" s="62"/>
    </row>
    <row r="54" spans="1:11" ht="30.75" customHeight="1">
      <c r="A54" s="59" t="s">
        <v>1244</v>
      </c>
      <c r="B54" s="59"/>
      <c r="C54" s="62" t="s">
        <v>1246</v>
      </c>
      <c r="D54" s="62"/>
      <c r="E54" s="62"/>
      <c r="F54" s="62"/>
      <c r="G54" s="62"/>
      <c r="H54" s="62"/>
      <c r="I54" s="62"/>
      <c r="J54" s="62"/>
      <c r="K54" s="62"/>
    </row>
    <row r="56" spans="1:11">
      <c r="A56" s="3" t="s">
        <v>1189</v>
      </c>
    </row>
    <row r="57" spans="1:11">
      <c r="A57" s="63" t="s">
        <v>1053</v>
      </c>
      <c r="B57" s="63"/>
      <c r="C57" s="64" t="s">
        <v>1054</v>
      </c>
      <c r="D57" s="64"/>
      <c r="E57" s="64"/>
      <c r="F57" s="64"/>
      <c r="G57" s="64"/>
      <c r="H57" s="64"/>
      <c r="I57" s="64"/>
      <c r="J57" s="64"/>
      <c r="K57" s="64"/>
    </row>
    <row r="58" spans="1:11">
      <c r="A58" s="61" t="s">
        <v>1247</v>
      </c>
      <c r="B58" s="61"/>
      <c r="C58" s="62" t="s">
        <v>1248</v>
      </c>
      <c r="D58" s="62"/>
      <c r="E58" s="62"/>
      <c r="F58" s="62"/>
      <c r="G58" s="62"/>
      <c r="H58" s="62"/>
      <c r="I58" s="62"/>
      <c r="J58" s="62"/>
      <c r="K58" s="62"/>
    </row>
    <row r="59" spans="1:11">
      <c r="A59" s="61" t="s">
        <v>1249</v>
      </c>
      <c r="B59" s="61"/>
      <c r="C59" s="62" t="s">
        <v>1250</v>
      </c>
      <c r="D59" s="62"/>
      <c r="E59" s="62"/>
      <c r="F59" s="62"/>
      <c r="G59" s="62"/>
      <c r="H59" s="62"/>
      <c r="I59" s="62"/>
      <c r="J59" s="62"/>
      <c r="K59" s="62"/>
    </row>
    <row r="60" spans="1:11">
      <c r="A60" s="61" t="s">
        <v>1251</v>
      </c>
      <c r="B60" s="61"/>
      <c r="C60" s="62" t="s">
        <v>1252</v>
      </c>
      <c r="D60" s="62"/>
      <c r="E60" s="62"/>
      <c r="F60" s="62"/>
      <c r="G60" s="62"/>
      <c r="H60" s="62"/>
      <c r="I60" s="62"/>
      <c r="J60" s="62"/>
      <c r="K60" s="62"/>
    </row>
    <row r="62" spans="1:11">
      <c r="A62" s="3" t="s">
        <v>224</v>
      </c>
    </row>
    <row r="63" spans="1:11">
      <c r="A63" s="65" t="s">
        <v>1258</v>
      </c>
      <c r="B63" s="65"/>
      <c r="C63" s="65"/>
      <c r="D63" s="65"/>
      <c r="E63" s="65"/>
      <c r="F63" s="65"/>
      <c r="G63" s="65"/>
      <c r="H63" s="65"/>
      <c r="I63" s="65"/>
      <c r="J63" s="65"/>
      <c r="K63" s="65"/>
    </row>
    <row r="64" spans="1:11">
      <c r="A64" s="65" t="s">
        <v>1254</v>
      </c>
      <c r="B64" s="65"/>
      <c r="C64" s="65"/>
      <c r="D64" s="65"/>
      <c r="E64" s="65"/>
      <c r="F64" s="65"/>
      <c r="G64" s="65"/>
      <c r="H64" s="65"/>
      <c r="I64" s="65"/>
      <c r="J64" s="65"/>
      <c r="K64" s="65"/>
    </row>
    <row r="65" spans="1:11">
      <c r="A65" s="65" t="s">
        <v>1253</v>
      </c>
      <c r="B65" s="65"/>
      <c r="C65" s="65"/>
      <c r="D65" s="65"/>
      <c r="E65" s="65"/>
      <c r="F65" s="65"/>
      <c r="G65" s="65"/>
      <c r="H65" s="65"/>
      <c r="I65" s="65"/>
      <c r="J65" s="65"/>
      <c r="K65" s="65"/>
    </row>
    <row r="66" spans="1:11">
      <c r="A66" s="65" t="s">
        <v>1255</v>
      </c>
      <c r="B66" s="65"/>
      <c r="C66" s="65"/>
      <c r="D66" s="65"/>
      <c r="E66" s="65"/>
      <c r="F66" s="65"/>
      <c r="G66" s="65"/>
      <c r="H66" s="65"/>
      <c r="I66" s="65"/>
      <c r="J66" s="65"/>
      <c r="K66" s="65"/>
    </row>
    <row r="67" spans="1:11">
      <c r="A67" s="65" t="s">
        <v>1256</v>
      </c>
      <c r="B67" s="65"/>
      <c r="C67" s="65"/>
      <c r="D67" s="65"/>
      <c r="E67" s="65"/>
      <c r="F67" s="65"/>
      <c r="G67" s="65"/>
      <c r="H67" s="65"/>
      <c r="I67" s="65"/>
      <c r="J67" s="65"/>
      <c r="K67" s="65"/>
    </row>
    <row r="68" spans="1:11">
      <c r="A68" s="65" t="s">
        <v>1257</v>
      </c>
      <c r="B68" s="65"/>
      <c r="C68" s="65"/>
      <c r="D68" s="65"/>
      <c r="E68" s="65"/>
      <c r="F68" s="65"/>
      <c r="G68" s="65"/>
      <c r="H68" s="65"/>
      <c r="I68" s="65"/>
      <c r="J68" s="65"/>
      <c r="K68" s="65"/>
    </row>
    <row r="70" spans="1:11">
      <c r="A70" s="3" t="s">
        <v>519</v>
      </c>
    </row>
    <row r="71" spans="1:11">
      <c r="A71" s="65" t="s">
        <v>1261</v>
      </c>
      <c r="B71" s="65"/>
      <c r="C71" s="65"/>
      <c r="D71" s="65"/>
      <c r="E71" s="65"/>
      <c r="F71" s="65"/>
      <c r="G71" s="65"/>
      <c r="H71" s="65"/>
      <c r="I71" s="65"/>
      <c r="J71" s="65"/>
      <c r="K71" s="65"/>
    </row>
    <row r="72" spans="1:11">
      <c r="A72" s="75" t="s">
        <v>1259</v>
      </c>
      <c r="B72" s="75"/>
      <c r="C72" s="75"/>
      <c r="D72" s="75"/>
      <c r="E72" s="75"/>
      <c r="F72" s="75"/>
      <c r="G72" s="75"/>
      <c r="H72" s="75"/>
      <c r="I72" s="75"/>
      <c r="J72" s="75"/>
      <c r="K72" s="75"/>
    </row>
    <row r="73" spans="1:11">
      <c r="A73" s="65" t="s">
        <v>1262</v>
      </c>
      <c r="B73" s="65"/>
      <c r="C73" s="65"/>
      <c r="D73" s="65"/>
      <c r="E73" s="65"/>
      <c r="F73" s="65"/>
      <c r="G73" s="65"/>
      <c r="H73" s="65"/>
      <c r="I73" s="65"/>
      <c r="J73" s="65"/>
      <c r="K73" s="65"/>
    </row>
    <row r="74" spans="1:11">
      <c r="A74" s="75" t="s">
        <v>1260</v>
      </c>
      <c r="B74" s="75"/>
      <c r="C74" s="75"/>
      <c r="D74" s="75"/>
      <c r="E74" s="75"/>
      <c r="F74" s="75"/>
      <c r="G74" s="75"/>
      <c r="H74" s="75"/>
      <c r="I74" s="75"/>
      <c r="J74" s="75"/>
      <c r="K74" s="75"/>
    </row>
    <row r="76" spans="1:11">
      <c r="A76" s="3" t="s">
        <v>1202</v>
      </c>
    </row>
    <row r="77" spans="1:11">
      <c r="A77" s="74" t="s">
        <v>1266</v>
      </c>
      <c r="B77" s="74"/>
      <c r="D77" s="74" t="s">
        <v>1264</v>
      </c>
      <c r="E77" s="74"/>
      <c r="G77" s="74" t="s">
        <v>1265</v>
      </c>
      <c r="H77" s="74"/>
      <c r="J77" s="74" t="s">
        <v>1267</v>
      </c>
      <c r="K77" s="74"/>
    </row>
    <row r="78" spans="1:11">
      <c r="A78" s="11" t="s">
        <v>385</v>
      </c>
      <c r="B78" s="11" t="s">
        <v>1263</v>
      </c>
      <c r="D78" s="11" t="s">
        <v>385</v>
      </c>
      <c r="E78" s="11" t="s">
        <v>1263</v>
      </c>
      <c r="G78" s="11" t="s">
        <v>385</v>
      </c>
      <c r="H78" s="11" t="s">
        <v>1263</v>
      </c>
      <c r="J78" s="11" t="s">
        <v>385</v>
      </c>
      <c r="K78" s="11" t="s">
        <v>1263</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15:K15"/>
    <mergeCell ref="A2:K2"/>
    <mergeCell ref="A3:K3"/>
    <mergeCell ref="A4:K4"/>
    <mergeCell ref="A5:K5"/>
    <mergeCell ref="A6:K6"/>
    <mergeCell ref="A9:K9"/>
    <mergeCell ref="A10:K10"/>
    <mergeCell ref="A11:K11"/>
    <mergeCell ref="A12:K12"/>
    <mergeCell ref="A13:K13"/>
    <mergeCell ref="A14:K14"/>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6:K16"/>
    <mergeCell ref="A17:K17"/>
    <mergeCell ref="A18:K18"/>
    <mergeCell ref="A19:K19"/>
    <mergeCell ref="A20:K20"/>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53:B53"/>
    <mergeCell ref="C53:K53"/>
    <mergeCell ref="A54:B54"/>
    <mergeCell ref="C54:K54"/>
    <mergeCell ref="A57:B57"/>
    <mergeCell ref="C57:K57"/>
    <mergeCell ref="C59:K59"/>
    <mergeCell ref="A63:K63"/>
    <mergeCell ref="A71:K71"/>
    <mergeCell ref="A72:K72"/>
    <mergeCell ref="A73:K73"/>
    <mergeCell ref="A68:K68"/>
    <mergeCell ref="A64:K64"/>
    <mergeCell ref="A65:K65"/>
    <mergeCell ref="A66:K66"/>
    <mergeCell ref="A67:K67"/>
    <mergeCell ref="A60:B60"/>
    <mergeCell ref="C60:K60"/>
    <mergeCell ref="A74:K74"/>
    <mergeCell ref="D77:E77"/>
    <mergeCell ref="G77:H77"/>
    <mergeCell ref="A77:B77"/>
    <mergeCell ref="J77:K7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16C6EE1A-E300-4E51-B67E-1E37EE63E875}">
  <ds:schemaRefs>
    <ds:schemaRef ds:uri="http://schemas.microsoft.com/DataMashup"/>
  </ds:schemaRefs>
</ds:datastoreItem>
</file>

<file path=customXml/itemProps2.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Work in Progress</vt:lpstr>
      <vt:lpstr>CONTROL_CHART</vt:lpstr>
      <vt:lpstr>MOVING_RANGE</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cp:lastModifiedBy>
  <dcterms:created xsi:type="dcterms:W3CDTF">2026-04-18T23:06:27Z</dcterms:created>
  <dcterms:modified xsi:type="dcterms:W3CDTF">2026-07-12T21:52:05Z</dcterms:modified>
</cp:coreProperties>
</file>