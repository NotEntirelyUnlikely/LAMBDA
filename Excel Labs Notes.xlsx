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Best\Downloads\"/>
    </mc:Choice>
  </mc:AlternateContent>
  <xr:revisionPtr revIDLastSave="0" documentId="13_ncr:1_{5AB3E865-7D87-4C74-888C-E6D9C1B63DC7}" xr6:coauthVersionLast="47" xr6:coauthVersionMax="47" xr10:uidLastSave="{00000000-0000-0000-0000-000000000000}"/>
  <bookViews>
    <workbookView xWindow="23640" yWindow="0" windowWidth="34065" windowHeight="23385" tabRatio="689" activeTab="2" xr2:uid="{EA5502AB-B07A-4DFD-8E93-AE0D9A6CC473}"/>
  </bookViews>
  <sheets>
    <sheet name="Introduction" sheetId="21" r:id="rId1"/>
    <sheet name="Excel Labs" sheetId="7" r:id="rId2"/>
    <sheet name="LET" sheetId="2" r:id="rId3"/>
    <sheet name="LAMBDA" sheetId="18" r:id="rId4"/>
    <sheet name="Examples" sheetId="14" r:id="rId5"/>
    <sheet name="Sheet2" sheetId="24" r:id="rId6"/>
  </sheets>
  <definedNames>
    <definedName name="DESC_STATS" comment="Outputs a table of descriptive statistics. Calculation options: sum, mean, med, mode, mad, sem, std, var, rsd, iqr, p02, p2, p16, p25, p75, p84, p98, p99, min, max, rng, kurt, skew, vmr.">_xlfn.LAMBDA(_xlpm.data,_xlop.calculations,_xlfn.LET(_xlpm.get_agg, _xlfn.LAMBDA(_xlpm.name,_xlpm.x, _xlfn.LET(_xlpm.avg, AVERAGE(_xlpm.x), _xlpm.std, _xlfn.STDEV.S(_xlpm.x), _xlpm.var, _xlfn.VAR.S(_xlpm.x), _xlpm.cnt, COUNT(_xlpm.x), _xlpm.sq_cnt, SQRT(_xlpm.cnt), _xlpm.mn, MIN(_xlpm.x), _xlpm.mx, MAX(_xlpm.x), _xlpm.get_pct, _xlfn.LAMBDA(_xlpm.x,_xlpm.p, _xlfn.PERCENTILE.INC(_xlpm.x, _xlpm.p)), _xlpm.p_25, _xlpm.get_pct(_xlpm.x, 0.25), _xlpm.p_75, _xlpm.get_pct(_xlpm.x, 0.75), _xlpm.return, _xlfn.SWITCH(_xlpm.name, "sum", SUM(_xlpm.x), "mean", _xlpm.avg, "med", MEDIAN(_xlpm.x), "mode", _xlfn.MODE.SNGL(_xlpm.x), "mad", AVERAGE(ABS(_xlpm.x - _xlpm.avg)), "sem", _xlpm.std / _xlpm.sq_cnt, "std", _xlpm.std, "var", _xlpm.var, "rsd", _xlpm.std / _xlpm.avg, "iqr", _xlpm.p_75 - _xlpm.p_25, "p02", _xlpm.get_pct(_xlpm.x, 0.002), "p2", _xlpm.get_pct(_xlpm.x, 0.023), "p16", _xlpm.get_pct(_xlpm.x, 0.159), "p25", _xlpm.p_25, "p75", _xlpm.p_75, "p84", _xlpm.get_pct(_xlpm.x, 0.841), "p98", _xlpm.get_pct(_xlpm.x, 0.977), "p99", _xlpm.get_pct(_xlpm.x, 0.998), "min", _xlpm.mn, "max", _xlpm.mx, "rng", _xlpm.mx - _xlpm.mn, "kurt", KURT(_xlpm.x), "skew", SKEW(_xlpm.x), "vmr", _xlpm.var / _xlpm.avg, "moe", _xlfn.T.INV.2T(0.05, _xlpm.cnt - 1) * (_xlpm.std / _xlpm.sq_cnt)), _xlpm.return)), _xlpm.supported_funcs, {"sum";"mean";"med";"mode";"mad";"sem";"std";"var";"rsd";"iqr";"p02";"p2";"p16";"p25";"p75";"p84";"p98";"p99";"min";"max";"rng";"kurt";"skew";"vmr";"moe"}, _xlpm.funcs, IF(_xlfn.ISOMITTED(_xlpm.calculations), _xlpm.supported_funcs, _xlfn.TOCOL(_xlpm.calculations, 1)), _xlpm.tbl, _xlfn.MAKEARRAY(ROWS(_xlpm.funcs), COLUMNS(_xlpm.data) + 1, _xlfn.LAMBDA(_xlpm.r,_xlpm.c, _xlfn.LET(_xlpm.func_name, INDEX(_xlpm.funcs, _xlpm.r), IF(_xlpm.c = 1, _xlpm.func_name, _xlpm.get_agg(_xlpm.func_name, _xlpm.data))))), _xlpm.unk_funcs, _xlfn._xlws.FILTER(_xlpm.funcs, ISERROR(_xlfn.XMATCH(_xlpm.funcs, _xlpm.supported_funcs, 0))), _xlpm.unk_msg, "#FUNC! [" &amp; _xlfn.ARRAYTOTEXT(_xlpm.unk_funcs) &amp; "]", _xlpm.is_unk, TYPE(_xlpm.unk_funcs) = 64, _xlpm.return, IF(_xlpm.is_unk, _xlpm.unk_msg, _xlpm.tbl), _xlpm.return))</definedName>
    <definedName name="DILUTIONEQ" comment="Solves the dilution equation when one parameter is omitted or blank.">_xlfn.LAMBDA(_xlop.conc_1,_xlop.vol_1,_xlop.conc_2,_xlop.vol_2,_xlfn.LET(_xlpm.is_miss, _xlfn.LAMBDA(_xlpm.value, OR(_xlfn.ISOMITTED(_xlpm.value), ISBLANK(_xlpm.value))), _xlpm.c_1_miss, _xlpm.is_miss(_xlpm.conc_1), _xlpm.v_1_miss, _xlpm.is_miss(_xlpm.vol_1), _xlpm.c_2_miss, _xlpm.is_miss(_xlpm.conc_2), _xlpm.v_2_miss, _xlpm.is_miss(_xlpm.vol_2), _xlpm.n_miss, SUM(--_xlpm.c_1_miss, --_xlpm.v_1_miss, --_xlpm.c_2_miss, --_xlpm.v_2_miss), _xlpm.return, _xlfn.IFS(_xlpm.n_miss &lt;&gt; 1, "#UNKs!", _xlpm.c_1_miss, (_xlpm.conc_2 * _xlpm.vol_2) / _xlpm.vol_1, _xlpm.v_1_miss, (_xlpm.conc_2 * _xlpm.vol_2) / _xlpm.conc_1, _xlpm.c_2_miss, (_xlpm.conc_1 * _xlpm.vol_1) / _xlpm.vol_2, _xlpm.v_2_miss, (_xlpm.conc_1 * _xlpm.vol_1) / _xlpm.conc_2), _xlpm.return))</definedName>
    <definedName name="DILUTIONEQ_V2" comment="Solves the dilution equation when one parameter is omitted or blank.">_xlfn.LAMBDA(_xlop.c_1,_xlop.v_1,_xlop.c_2,_xlop.v_2,_xlfn.LET(_xlpm.is_miss, _xlfn.LAMBDA(_xlpm.value, OR(_xlfn.ISOMITTED(_xlpm.value), ISBLANK(_xlpm.value))), _xlpm.solve, _xlfn.LAMBDA(_xlpm.i, CHOOSE(_xlpm.i, (_xlpm.c_2 * _xlpm.v_2) / _xlpm.v_1, (_xlpm.c_2 * _xlpm.v_2) / _xlpm.c_1, (_xlpm.c_1 * _xlpm.v_1) / _xlpm.v_2, (_xlpm.c_1 * _xlpm.v_1) / _xlpm.c_2)), _xlpm.miss_mask, _xlfn.VSTACK(_xlpm.is_miss(_xlpm.c_1), _xlpm.is_miss(_xlpm.v_1), _xlpm.is_miss(_xlpm.c_2), _xlpm.is_miss(_xlpm.v_2)), _xlpm.n_miss, SUM(--_xlpm.miss_mask), _xlpm.idx, _xlfn.XMATCH(TRUE, _xlpm.miss_mask), _xlpm.return, IF(_xlpm.n_miss &lt;&gt; 1, "#UNKs!", _xlpm.solve(_xlpm.idx)), _xlpm.return))</definedName>
    <definedName name="IQR" comment="Calculates the interquartile range.">_xlfn.LAMBDA(_xlpm.data,_xlfn.LET(_xlpm.q_1, _xlfn.QUARTILE.INC(_xlpm.data, 1), _xlpm.q_3, _xlfn.QUARTILE.INC(_xlpm.data, 3), _xlpm.iqr, _xlpm.q_3 - _xlpm.q_1, _xlpm.return, _xlpm.iqr, _xlpm.return))</definedName>
    <definedName name="MERIT_ASSESSMENT">_xlfn.LAMBDA(_xlpm.data,_xlpm.expected,_xlpm.headers,_xlpm.guideline_values,_xlpm.guideline_scores,_xlpm.max_demerits,_xlfn.LET(_xlpm.get_merit, _xlfn.LAMBDA(_xlpm.array, _xlfn.MAKEARRAY(ROWS(_xlpm.array), COLUMNS(_xlpm.array), _xlfn.LAMBDA(_xlpm.r,_xlpm.c, _xlfn.LET(_xlpm.i, _xlfn.LAMBDA(_xlpm.x, INDEX(_xlpm.x, _xlpm.r)), _xlpm.j, _xlfn.LAMBDA(_xlpm.x, INDEX(_xlpm.x, , _xlpm.c)), _xlpm.val, _xlpm.i(_xlpm.j(_xlpm.array)), _xlpm.diff, ABS(_xlpm.val - _xlpm.j(_xlpm.expected)), _xlpm.is_blk, ISBLANK(_xlpm.val), _xlpm.msg, _xlpm.j(_xlpm.headers), _xlpm.score, _xlfn.XLOOKUP(_xlpm.diff, _xlpm.j(_xlpm.guideline_values), _xlpm.guideline_scores, 0, -1), _xlpm.return, IF(_xlpm.is_blk, _xlpm.msg, _xlpm.score), _xlpm.return)))), _xlpm.merit_arr, _xlpm.get_merit(_xlpm.data), _xlpm.blk_lbls, _xlfn.LET(_xlpm.is_txt, ISTEXT(_xlpm.merit_arr), _xlpm.txt, IF(_xlpm.is_txt, _xlpm.merit_arr, ""), _xlpm.return, _xlfn.BYROW(_xlpm.txt, _xlfn.LAMBDA(_xlpm.r, _xlfn.TEXTJOIN(", ", TRUE, _xlpm.r))), _xlpm.return), _xlpm.merit_sum, _xlfn.BYROW(_xlpm.merit_arr, _xleta.SUM), _xlpm.msg, IF(_xlpm.merit_sum &lt; _xlpm.max_demerits, "Pass", "Discuss"), _xlpm.msg_blks, "[" &amp; _xlpm.merit_sum &amp; "] BLK: " &amp; _xlpm.blk_lbls, _xlpm.return, IF(_xlpm.blk_lbls = "", _xlpm.msg, _xlpm.msg_blks), _xlpm.return))</definedName>
    <definedName name="MERIT_ASSESSMENT_ARRAY">_xlfn.LAMBDA(_xlpm.data,_xlpm.expected,_xlpm.headers,_xlpm.guideline_values,_xlpm.guideline_scores,_xlpm.max_demerits,_xlpm.method_mask,_xlop.debug,_xlfn.LET(_xlpm.db, IF(OR(_xlfn.ISOMITTED(_xlpm.debug), ISBLANK(_xlpm.debug)), FALSE, _xlpm.debug), _xlpm.get_merit, _xlfn.LAMBDA(_xlpm.array, _xlfn.MAKEARRAY(ROWS(_xlpm.array), COLUMNS(_xlpm.array), _xlfn.LAMBDA(_xlpm.r,_xlpm.c, MERIT_SCORE(INDEX(_xlpm.data, _xlpm.r, _xlpm.c), INDEX(_xlpm.expected, , _xlpm.c), INDEX(_xlpm.headers, , _xlpm.c), INDEX(_xlpm.guideline_values, , _xlpm.c), _xlpm.guideline_scores)))), _xlpm.mask_arr, _xlfn.MAKEARRAY(ROWS(_xlpm.data), COLUMNS(_xlpm.data), _xlfn.LAMBDA(_xlpm.r,_xlpm.c, INDEX(_xlpm.method_mask, , _xlpm.c))), _xlpm.merit_arr, IF(_xlpm.mask_arr, _xlpm.get_merit(_xlpm.data), 0), _xlpm.blk_lbls, _xlfn.LET(_xlpm.is_txt, ISTEXT(_xlpm.merit_arr), _xlpm.txt, IF(_xlpm.is_txt, _xlpm.merit_arr, ""), _xlpm.return, _xlfn.BYROW(_xlpm.txt, _xlfn.LAMBDA(_xlpm.r, _xlfn.TEXTJOIN(", ", TRUE, _xlpm.r))), _xlpm.return), _xlpm.merit_sum, _xlfn.BYROW(_xlpm.merit_arr, _xleta.SUM), _xlpm.msg, IF(_xlpm.merit_sum &lt; _xlpm.max_demerits, "Pass", "Discuss"), _xlpm.msg_blks, "[" &amp; _xlpm.merit_sum &amp; "] BLK: " &amp; _xlpm.blk_lbls, _xlpm.msg_out, IF(_xlpm.blk_lbls = "", _xlpm.msg, _xlpm.msg_blks), _xlpm.return, _xlfn.IFS(NOT(OR(_xlpm.method_mask)), "#MASK!", NOT(ISLOGICAL(_xlpm.db)), "#DEBUG!", _xlpm.db, _xlpm.merit_arr, TRUE, _xlpm.msg_out), _xlpm.return))</definedName>
    <definedName name="MERIT_SCORE">_xlfn.LAMBDA(_xlpm.val,_xlpm.exp,_xlpm.hdr,_xlpm.g_val,_xlpm.g_scr,_xlfn.LET(_xlpm.diff, ABS(_xlpm.val - _xlpm.exp), _xlpm.score, _xlfn.XLOOKUP(_xlpm.diff, _xlpm.g_val, _xlpm.g_scr, 0, -1), _xlpm.return, IF(ISBLANK(_xlpm.val), _xlpm.hdr, _xlpm.score), _xlpm.return))</definedName>
    <definedName name="MOE" comment="Calculates the margin of error using t-crit.">_xlfn.LAMBDA(_xlpm.data,_xlpm.confidence_interval,_xlfn.LET(_xlpm.alpha, 1 - _xlpm.confidence_interval, _xlpm.df, COUNT(_xlpm.data) - 1, _xlpm.t_crit, _xlfn.T.INV.2T(_xlpm.alpha, _xlpm.df), _xlpm.moe, _xlpm.t_crit * SEM(_xlpm.data), _xlpm.return, _xlpm.moe, _xlpm.return))</definedName>
    <definedName name="myPOWER" comment="Replicates the built-in Excel function POWER">_xlfn.LAMBDA(_xlpm.num,_xlpm.pwr,_xlpm.num ^ _xlpm.pwr)</definedName>
    <definedName name="RANGE" comment="Calculates the range.">_xlfn.LAMBDA(_xlpm.data,_xlfn.LET(_xlpm.min, MIN(_xlpm.data), _xlpm.max, MAX(_xlpm.data), _xlpm.range, _xlpm.max - _xlpm.min, _xlpm.return, _xlpm.range, _xlpm.return))</definedName>
    <definedName name="RSD" comment="Calculate the relative standard deviation of an array or range.">_xlfn.LAMBDA(_xlpm.data,_xlfn.LET(_xlpm.avg, AVERAGE(_xlpm.data), _xlpm.std, _xlfn.STDEV.S(_xlpm.data), _xlpm.rsd, _xlpm.std / _xlpm.avg, _xlpm.return, _xlpm.rsd, _xlpm.return))</definedName>
    <definedName name="RSD_ADV" comment="Calculate the relative standard deviation of an array or range. Optional parameter to output the average and standard deviation.">_xlfn.LAMBDA(_xlpm.data,_xlop.summary_stats,_xlfn.LET(_xlpm.avg, AVERAGE(_xlpm.data), _xlpm.std, _xlfn.STDEV.S(_xlpm.data), _xlpm.rsd, _xlpm.std / _xlpm.avg, _xlpm.stats, IF(_xlfn.ISOMITTED(_xlpm.summary_stats), FALSE, _xlpm.summary_stats), _xlpm.lbls, {"Avg";"Std";"RSD"}, _xlpm.vals, _xlfn.VSTACK(_xlpm.avg, _xlpm.std, _xlpm.rsd), _xlpm.tbl, _xlfn.HSTACK(_xlpm.lbls, _xlpm.vals), _xlpm.return, IF(_xlpm.stats, _xlpm.tbl, _xlpm.rsd), _xlpm.return))</definedName>
    <definedName name="SEM" comment="Calculates the standard error of the mean.">_xlfn.LAMBDA(_xlpm.data,_xlfn.LET(_xlpm.std, _xlfn.STDEV.S(_xlpm.data), _xlpm.n, COUNT(_xlpm.data), _xlpm.sem, _xlpm.std / SQRT(_xlpm.n), _xlpm.return, _xlpm.sem, _xlpm.return))</definedName>
    <definedName name="ZSCORE" comment="Calculates the z score of an array.">_xlfn.LAMBDA(_xlpm.data,_xlfn.LET(_xlpm.avg, AVERAGE(_xlpm.data), _xlpm.std, _xlfn.STDEV.S(_xlpm.data), _xlpm.zscore, (_xlpm.data - _xlpm.avg) / _xlpm.std, _xlpm.return, _xlpm.zscore, _xlpm.return))</definedName>
    <definedName name="ZSCORE_TABLE" comment="Calculates the z score of values in a table or range">_xlfn.LAMBDA(_xlpm.x,_xlpm.data,_xlfn.LET(_xlpm.avg, AVERAGE(_xlpm.data), _xlpm.std, _xlfn.STDEV.S(_xlpm.data), _xlpm.zscore, (_xlpm.x - _xlpm.avg) / _xlpm.std, _xlpm.return, _xlpm.zscore, _xlpm.return))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3" i="14" l="1"/>
  <c r="E38" i="14"/>
  <c r="E37" i="14"/>
  <c r="B67" i="14"/>
  <c r="E84" i="14"/>
  <c r="M294" i="14" a="1"/>
  <c r="M294" i="14" s="1"/>
  <c r="K295" i="14" a="1"/>
  <c r="K295" i="14" s="1"/>
  <c r="K294" i="14" a="1"/>
  <c r="K294" i="14" s="1"/>
  <c r="D233" i="14" a="1"/>
  <c r="D233" i="14" s="1"/>
  <c r="D224" i="14" a="1"/>
  <c r="D224" i="14" s="1"/>
  <c r="B182" i="14"/>
  <c r="H115" i="14" a="1"/>
  <c r="H115" i="14" s="1"/>
  <c r="J67" i="14"/>
  <c r="N268" i="14" a="1"/>
  <c r="N268" i="14" s="1"/>
  <c r="N255" i="14" a="1"/>
  <c r="N255" i="14" s="1"/>
  <c r="R255" i="14" a="1"/>
  <c r="R255" i="14" s="1"/>
  <c r="L67" i="14" a="1"/>
  <c r="L67" i="14" s="1"/>
  <c r="N67" i="14" a="1"/>
  <c r="N67" i="14" s="1"/>
  <c r="E85" i="14"/>
  <c r="M419" i="14" a="1"/>
  <c r="M419" i="14" s="1"/>
  <c r="U419" i="14" a="1"/>
  <c r="U419" i="14" s="1"/>
  <c r="E115" i="14" l="1" a="1"/>
  <c r="E115" i="14" s="1"/>
  <c r="J294" i="14"/>
  <c r="J303" i="14"/>
  <c r="J302" i="14"/>
  <c r="J301" i="14"/>
  <c r="J300" i="14"/>
  <c r="J299" i="14"/>
  <c r="J298" i="14"/>
  <c r="J297" i="14"/>
  <c r="J296" i="14"/>
  <c r="J295" i="14"/>
  <c r="J5" i="14"/>
  <c r="L5" i="14" a="1"/>
  <c r="L5" i="14" s="1"/>
  <c r="N5" i="14" a="1"/>
  <c r="N5" i="14" s="1"/>
  <c r="P91" i="14" a="1"/>
  <c r="P91" i="14" s="1"/>
  <c r="I43" i="18" a="1"/>
  <c r="I43" i="18" s="1"/>
  <c r="B201" i="14"/>
  <c r="B186" i="14"/>
  <c r="B189" i="14"/>
  <c r="B190" i="14"/>
  <c r="B191" i="14"/>
  <c r="B192" i="14"/>
  <c r="B194" i="14"/>
  <c r="B197" i="14"/>
  <c r="B198" i="14"/>
  <c r="B199" i="14"/>
  <c r="A175" i="14"/>
  <c r="I182" i="14" s="1" a="1"/>
  <c r="I182" i="14" s="1"/>
  <c r="A177" i="14"/>
  <c r="A176" i="14"/>
  <c r="R144" i="14" a="1"/>
  <c r="R144" i="14" s="1"/>
  <c r="B144" i="14"/>
  <c r="J91" i="14"/>
  <c r="L91" i="14" a="1"/>
  <c r="L91" i="14" s="1"/>
  <c r="B19" i="14"/>
  <c r="B91" i="14"/>
  <c r="B5" i="14"/>
  <c r="I39" i="2"/>
  <c r="I33" i="2"/>
  <c r="I28" i="2"/>
  <c r="A281" i="14"/>
  <c r="K297" i="14" a="1"/>
  <c r="K297" i="14" s="1"/>
  <c r="K296" i="14" a="1"/>
  <c r="K296" i="14" s="1"/>
  <c r="K298" i="14" a="1"/>
  <c r="K298" i="14" s="1"/>
  <c r="K299" i="14" a="1"/>
  <c r="K299" i="14" s="1"/>
  <c r="K300" i="14" a="1"/>
  <c r="K300" i="14" s="1"/>
  <c r="K301" i="14" a="1"/>
  <c r="K301" i="14" s="1"/>
  <c r="K302" i="14" a="1"/>
  <c r="K302" i="14" s="1"/>
  <c r="K303" i="14" a="1"/>
  <c r="K303" i="14" s="1"/>
  <c r="B187" i="14" l="1"/>
  <c r="B188" i="14"/>
  <c r="B184" i="14"/>
  <c r="B200" i="14"/>
  <c r="B196" i="14"/>
  <c r="B195" i="14"/>
  <c r="B193" i="14"/>
  <c r="B185" i="14"/>
  <c r="B183" i="14"/>
  <c r="B250" i="14"/>
  <c r="P102" i="14" a="1"/>
  <c r="P102" i="14" s="1"/>
  <c r="N144" i="14" a="1"/>
  <c r="N144" i="14" s="1"/>
  <c r="P144" i="14" a="1"/>
  <c r="P144" i="14" s="1"/>
  <c r="J144" i="14"/>
  <c r="E162" i="14"/>
  <c r="N90" i="18" a="1"/>
  <c r="N90" i="18" s="1"/>
  <c r="N79" i="18" a="1"/>
  <c r="N79" i="18" s="1"/>
  <c r="N65" i="18" a="1"/>
  <c r="N65" i="18" s="1"/>
  <c r="I32" i="18"/>
  <c r="I37" i="18" a="1"/>
  <c r="I37" i="18" s="1"/>
  <c r="L19" i="14" a="1"/>
  <c r="L19" i="14" s="1"/>
  <c r="L43" i="14" a="1"/>
  <c r="L43" i="14" s="1"/>
  <c r="B268" i="14"/>
  <c r="B262" i="14"/>
  <c r="B256" i="14"/>
  <c r="J268" i="14"/>
  <c r="J262" i="14"/>
  <c r="J256" i="14"/>
  <c r="J250" i="14"/>
  <c r="N91" i="14" a="1"/>
  <c r="N91" i="14" s="1"/>
  <c r="N19" i="14" a="1"/>
  <c r="N19" i="14" s="1"/>
  <c r="J19" i="14"/>
  <c r="N43" i="14" a="1"/>
  <c r="N43" i="14" s="1"/>
  <c r="B43" i="14"/>
  <c r="E61" i="14"/>
  <c r="E62" i="14"/>
  <c r="E110" i="14"/>
  <c r="E109" i="14"/>
  <c r="E14" i="14"/>
  <c r="E13" i="14"/>
  <c r="B145" i="14"/>
  <c r="E163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L144" i="14" l="1"/>
  <c r="L151" i="14"/>
  <c r="L161" i="14"/>
  <c r="L158" i="14"/>
  <c r="L157" i="14"/>
  <c r="L163" i="14"/>
  <c r="L155" i="14"/>
  <c r="L162" i="14"/>
  <c r="L156" i="14"/>
  <c r="L154" i="14"/>
  <c r="L150" i="14"/>
  <c r="L160" i="14"/>
  <c r="L159" i="14"/>
  <c r="L153" i="14"/>
  <c r="L152" i="14"/>
  <c r="L147" i="14"/>
  <c r="L146" i="14"/>
  <c r="L145" i="14"/>
  <c r="L149" i="14"/>
  <c r="L148" i="1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<sst xmlns="http://schemas.openxmlformats.org/spreadsheetml/2006/main" count="928" uniqueCount="637">
  <si>
    <t>RSD</t>
  </si>
  <si>
    <t>RANGE</t>
  </si>
  <si>
    <t>Data</t>
  </si>
  <si>
    <t>LAMBDA</t>
  </si>
  <si>
    <t>LET</t>
  </si>
  <si>
    <t>avg</t>
  </si>
  <si>
    <t>std</t>
  </si>
  <si>
    <t>Range</t>
  </si>
  <si>
    <t>Output</t>
  </si>
  <si>
    <t>c_1</t>
  </si>
  <si>
    <t>v_2</t>
  </si>
  <si>
    <t>c_2</t>
  </si>
  <si>
    <t>v_1</t>
  </si>
  <si>
    <t>name1</t>
  </si>
  <si>
    <t>value1</t>
  </si>
  <si>
    <t>Argument</t>
  </si>
  <si>
    <t>Description</t>
  </si>
  <si>
    <t>Required. The first name to assign. Must start with a letter. Cannot be the output of a formula or conflict with range syntax.</t>
  </si>
  <si>
    <t>Required. The value that is assigned to name1.</t>
  </si>
  <si>
    <t>name2</t>
  </si>
  <si>
    <t>value2</t>
  </si>
  <si>
    <t>…</t>
  </si>
  <si>
    <t>Optional. The second name to assign.</t>
  </si>
  <si>
    <t>Optional. The value that is assigned to name2.</t>
  </si>
  <si>
    <t>calculation</t>
  </si>
  <si>
    <t>Improved Performance</t>
  </si>
  <si>
    <t>Why Use LET?</t>
  </si>
  <si>
    <t>What is LET?</t>
  </si>
  <si>
    <t>Syntax</t>
  </si>
  <si>
    <t>Readability</t>
  </si>
  <si>
    <t>Required. The last argument in the LET function which returns a result. This can be a calculation or a reference to a previous named variable.</t>
  </si>
  <si>
    <t>References</t>
  </si>
  <si>
    <t>Excel Requirements:</t>
  </si>
  <si>
    <t>Name</t>
  </si>
  <si>
    <t>Rating</t>
  </si>
  <si>
    <t>Clear, descriptive, easy to read</t>
  </si>
  <si>
    <t>Explains the transformation</t>
  </si>
  <si>
    <t>Self-explanatory</t>
  </si>
  <si>
    <t>Justification for Rating</t>
  </si>
  <si>
    <t>Good</t>
  </si>
  <si>
    <t>filtered_data</t>
  </si>
  <si>
    <t>x</t>
  </si>
  <si>
    <t>temp</t>
  </si>
  <si>
    <t>data</t>
  </si>
  <si>
    <t>value</t>
  </si>
  <si>
    <t>a1calc</t>
  </si>
  <si>
    <t>Usage dependent; requires additional context</t>
  </si>
  <si>
    <t>Unclear (temperature, temporary)</t>
  </si>
  <si>
    <t>Ambiguous in multi-step formula</t>
  </si>
  <si>
    <t>Fair</t>
  </si>
  <si>
    <t>Poor</t>
  </si>
  <si>
    <t>A1</t>
  </si>
  <si>
    <t>Looks like a cell reference (confusing / invalid)</t>
  </si>
  <si>
    <t>SUM</t>
  </si>
  <si>
    <t>Conflicts with built-in function</t>
  </si>
  <si>
    <t>1total</t>
  </si>
  <si>
    <t>Cannot start with a number</t>
  </si>
  <si>
    <t>total sales</t>
  </si>
  <si>
    <t>Spaces not allowed</t>
  </si>
  <si>
    <t>tax-rate</t>
  </si>
  <si>
    <t>Hyphens not allowed</t>
  </si>
  <si>
    <t>@value</t>
  </si>
  <si>
    <t>Special characters not allowed</t>
  </si>
  <si>
    <t>Unacceptable</t>
  </si>
  <si>
    <t>var_1</t>
  </si>
  <si>
    <t>Optional. Additional name-value pairs (up to 126 in total).</t>
  </si>
  <si>
    <t>Other Tips and Tricks</t>
  </si>
  <si>
    <t>Example Formulas Using LET</t>
  </si>
  <si>
    <t>LET()</t>
  </si>
  <si>
    <t>• Must begin with a letter and are not case-sensitive (i.e., ASDF = asdf).</t>
  </si>
  <si>
    <t>• Can contain numbers, but not in the first character (i.e., step1, step2).</t>
  </si>
  <si>
    <t>• Cannot mimic cell reference names (i.e., ct1, ct2); Excel will treat these as cell references instead of names.</t>
  </si>
  <si>
    <t>• The only other allowable non-alphanumeric value is an underscore (_) (i.e., step_1, step_2)</t>
  </si>
  <si>
    <t>• Use camelCase, snake_case, or single words</t>
  </si>
  <si>
    <t>• Name should reflect what the variable represents</t>
  </si>
  <si>
    <t>• Be specific, but not too long</t>
  </si>
  <si>
    <t>• Avoid using one-letter variables (unless within a math formula)</t>
  </si>
  <si>
    <t>• Use line breaks (ALT + ENTER) and spaces to help give structure to formulas.</t>
  </si>
  <si>
    <t>Example Variable Names</t>
  </si>
  <si>
    <t>Concise and meaningful</t>
  </si>
  <si>
    <t>zscore</t>
  </si>
  <si>
    <t>z</t>
  </si>
  <si>
    <t>Ambiguous; z-score, z-axis?</t>
  </si>
  <si>
    <t>this_is_the_sum</t>
  </si>
  <si>
    <t>Too long and vauge; sum of what?</t>
  </si>
  <si>
    <t>General Naming Recommendations:</t>
  </si>
  <si>
    <t>moles</t>
  </si>
  <si>
    <t>volume_L</t>
  </si>
  <si>
    <t>totalVolume</t>
  </si>
  <si>
    <t>where,</t>
  </si>
  <si>
    <t>z = z score</t>
  </si>
  <si>
    <t>x = value of element</t>
  </si>
  <si>
    <t>Z-Score</t>
  </si>
  <si>
    <t xml:space="preserve">Z-score is a statistical measure that </t>
  </si>
  <si>
    <t xml:space="preserve">mean of a group of values. It is expressed </t>
  </si>
  <si>
    <t xml:space="preserve">in terms of standard deviations from the </t>
  </si>
  <si>
    <t xml:space="preserve">mean. The Z-score indicates how many </t>
  </si>
  <si>
    <t xml:space="preserve">standard deviations an element is from the </t>
  </si>
  <si>
    <t>mean.</t>
  </si>
  <si>
    <t>What is Z-Score?</t>
  </si>
  <si>
    <t>Z-Score Formula</t>
  </si>
  <si>
    <t>no LET</t>
  </si>
  <si>
    <t>LET spill</t>
  </si>
  <si>
    <t>Variable Naming</t>
  </si>
  <si>
    <t>Range Formula</t>
  </si>
  <si>
    <t>max = maximum value</t>
  </si>
  <si>
    <t>min = minimum value</t>
  </si>
  <si>
    <t>min</t>
  </si>
  <si>
    <t>max</t>
  </si>
  <si>
    <t xml:space="preserve">The relative standard deviation, or </t>
  </si>
  <si>
    <t xml:space="preserve">coefficient of variation, is a relative </t>
  </si>
  <si>
    <t xml:space="preserve">measure that expresses the ratio of standard </t>
  </si>
  <si>
    <t xml:space="preserve">deviation to the Mean. It is useful for </t>
  </si>
  <si>
    <t xml:space="preserve">comparing datasets in terms of stability, </t>
  </si>
  <si>
    <t xml:space="preserve">homogeneity or consistency and for analyzing </t>
  </si>
  <si>
    <t>variability.</t>
  </si>
  <si>
    <t>What is Relative Stanard Deviation?</t>
  </si>
  <si>
    <t>RSD Formula</t>
  </si>
  <si>
    <t>RSD = relative standard deviation</t>
  </si>
  <si>
    <t>IQR</t>
  </si>
  <si>
    <t>What is Interquartile Range?</t>
  </si>
  <si>
    <t xml:space="preserve">The Interquartile Range (IQR) tells us how </t>
  </si>
  <si>
    <t xml:space="preserve">spread out the middle 50% of the data is. </t>
  </si>
  <si>
    <t xml:space="preserve">It is less affected by extreme values and </t>
  </si>
  <si>
    <t xml:space="preserve">calculated using the first quartile (Q1) and </t>
  </si>
  <si>
    <t>third quartile (Q3).</t>
  </si>
  <si>
    <t xml:space="preserve">gives a better idea of how tightly/loosely </t>
  </si>
  <si>
    <t xml:space="preserve">the central data points are grouped. It is </t>
  </si>
  <si>
    <t>IQR =  Q3 - Q1</t>
  </si>
  <si>
    <t>IQR = interquartile range</t>
  </si>
  <si>
    <t>Q1 = first quartile</t>
  </si>
  <si>
    <t>Q3 = third quartile</t>
  </si>
  <si>
    <t>q1</t>
  </si>
  <si>
    <t>q3</t>
  </si>
  <si>
    <t>SEM</t>
  </si>
  <si>
    <t>What is Standard Error of Mean?</t>
  </si>
  <si>
    <t>SEM =  s / √n</t>
  </si>
  <si>
    <t>s</t>
  </si>
  <si>
    <t>n</t>
  </si>
  <si>
    <t xml:space="preserve">The standard error of the mean measures how </t>
  </si>
  <si>
    <t xml:space="preserve">much the sample mean is expected to vary </t>
  </si>
  <si>
    <t xml:space="preserve">from the true population mean. It is </t>
  </si>
  <si>
    <t xml:space="preserve">calculated by dividing the standard </t>
  </si>
  <si>
    <t xml:space="preserve">deviation of the sample by the square root </t>
  </si>
  <si>
    <t>of the sample size.</t>
  </si>
  <si>
    <t>SEM = standard deviation of mean</t>
  </si>
  <si>
    <t>s = sample standard deviation</t>
  </si>
  <si>
    <t>n = number of observations</t>
  </si>
  <si>
    <t>rng = max - min</t>
  </si>
  <si>
    <t>rng = range</t>
  </si>
  <si>
    <t>• Use Excel Labs - Grid.</t>
  </si>
  <si>
    <t>)</t>
  </si>
  <si>
    <t>RSD_ADV</t>
  </si>
  <si>
    <t>z = (x - avg) / std</t>
  </si>
  <si>
    <t>avg = mean</t>
  </si>
  <si>
    <t>std = standard deviation</t>
  </si>
  <si>
    <t>RSD =  std / avg</t>
  </si>
  <si>
    <t>std = mean</t>
  </si>
  <si>
    <t>avg = standard deviation</t>
  </si>
  <si>
    <t>Dilution Equation</t>
  </si>
  <si>
    <t>c1 = intial concentration</t>
  </si>
  <si>
    <t>v1 = intial volume</t>
  </si>
  <si>
    <t>c2 = final concentration</t>
  </si>
  <si>
    <t>v2 = final volume</t>
  </si>
  <si>
    <t>summary_stats</t>
  </si>
  <si>
    <t>Without LAMBDA or LET</t>
  </si>
  <si>
    <t>=LET(</t>
  </si>
  <si>
    <t>ppm</t>
  </si>
  <si>
    <t>mL</t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</si>
  <si>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</si>
  <si>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</si>
  <si>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</si>
  <si>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</si>
  <si>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</si>
  <si>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</si>
  <si>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</si>
  <si>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</si>
  <si>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</si>
  <si>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t>Too general if there are multiple sources of data</t>
  </si>
  <si>
    <t>Vague, reverting back to cell reference</t>
  </si>
  <si>
    <t>LAMBDA()</t>
  </si>
  <si>
    <t>What is LAMBDA?</t>
  </si>
  <si>
    <r>
      <t xml:space="preserve">• The </t>
    </r>
    <r>
      <rPr>
        <sz val="14"/>
        <color theme="8"/>
        <rFont val="Segoe UI"/>
        <family val="2"/>
      </rPr>
      <t>LAMBDA</t>
    </r>
    <r>
      <rPr>
        <sz val="14"/>
        <color theme="1"/>
        <rFont val="Segoe UI"/>
        <family val="2"/>
      </rPr>
      <t xml:space="preserve"> function allows you to create custom reusable functions in Excel.</t>
    </r>
  </si>
  <si>
    <t>Reusability</t>
  </si>
  <si>
    <t>• Write a formula once and reuse it across worksheets without copying and pasting.</t>
  </si>
  <si>
    <t>Maintainability</t>
  </si>
  <si>
    <t>• Update logic in one place instead of editing multiple formulas.</t>
  </si>
  <si>
    <t>Abstraction/Protection</t>
  </si>
  <si>
    <t>• Build modular, layered functions (combine with LET for advanced solutions).</t>
  </si>
  <si>
    <t>Scalability</t>
  </si>
  <si>
    <t>No VBA Required</t>
  </si>
  <si>
    <t>• Create custom functions using native Excel formulas only.</t>
  </si>
  <si>
    <t>• The LAMBDA function can have up to 253 parameters.</t>
  </si>
  <si>
    <t>parameter1</t>
  </si>
  <si>
    <t>parameter2</t>
  </si>
  <si>
    <t>Optional. First input to the function. Name must follow variable rules.</t>
  </si>
  <si>
    <t>Optional. Additional inputs (up to 253 parameters).</t>
  </si>
  <si>
    <t>Optional. More parameters as needed.</t>
  </si>
  <si>
    <t>Required. The formula that uses the parameters and returns a result.</t>
  </si>
  <si>
    <t>Calling a LAMBDA</t>
  </si>
  <si>
    <t>• A LAMBDA by itself does nothing until it is invoked (called).</t>
  </si>
  <si>
    <t>Formula</t>
  </si>
  <si>
    <t>• The function is called, assigning values 2 and 5 to number and power respectively</t>
  </si>
  <si>
    <t>• Built in Excel function POWER requires two arguments: number and power</t>
  </si>
  <si>
    <t>• LAMBDA with equivalent logic to POWER</t>
  </si>
  <si>
    <t>• Has two parameters: num and pwr</t>
  </si>
  <si>
    <t>• Call the LAMBDA in the same manner as POWER</t>
  </si>
  <si>
    <t>• Assign values 2 and 5 to num and pwr respectively</t>
  </si>
  <si>
    <t>Example: Replicate the POWER function using LAMBDA</t>
  </si>
  <si>
    <t>• Without calling the LAMBDA, the output results in a #CALC! error</t>
  </si>
  <si>
    <t>Parameter Naming</t>
  </si>
  <si>
    <t>• Name should reflect what the parameter represents</t>
  </si>
  <si>
    <t>• Avoid overly generic names in multi-parameter functions</t>
  </si>
  <si>
    <t>Why Use LAMBDA?</t>
  </si>
  <si>
    <t>• This is an example of an inline call. When the logic is immediately followed by the call.</t>
  </si>
  <si>
    <t>• Essentially the same naming requirements as LET().</t>
  </si>
  <si>
    <t>• LET function with one name-value pair</t>
  </si>
  <si>
    <t>• calculation is the value of a</t>
  </si>
  <si>
    <t>• variable a is referencing cell $G$36</t>
  </si>
  <si>
    <t>• LET function with one name-value pair (a=5)</t>
  </si>
  <si>
    <t>• LET function with two name-value pairs referencing cells $G$42 and $G$43</t>
  </si>
  <si>
    <t>• Used line breaks to give formula structure and clarity</t>
  </si>
  <si>
    <t>• Calculates the hypotenuse (Pythagorean theorem)</t>
  </si>
  <si>
    <t>Getting Familiar with LET</t>
  </si>
  <si>
    <t>Reference</t>
  </si>
  <si>
    <t xml:space="preserve">    SQRT(a^2 + b^2)</t>
  </si>
  <si>
    <t>• Encapsulate complex logic into a clean, simple function call.
• Logic can gain a layer of protection by saving the function in the Name Manager.</t>
  </si>
  <si>
    <r>
      <t>=LAMBDA(</t>
    </r>
    <r>
      <rPr>
        <sz val="28"/>
        <color theme="9"/>
        <rFont val="Consolas"/>
        <family val="3"/>
      </rPr>
      <t>[parameter1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parameter2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</si>
  <si>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r>
      <t>=LET(</t>
    </r>
    <r>
      <rPr>
        <sz val="28"/>
        <color theme="9"/>
        <rFont val="Consolas"/>
        <family val="3"/>
      </rPr>
      <t>name1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value1</t>
    </r>
    <r>
      <rPr>
        <sz val="28"/>
        <color theme="1"/>
        <rFont val="Consolas"/>
        <family val="3"/>
      </rPr>
      <t xml:space="preserve">, </t>
    </r>
    <r>
      <rPr>
        <sz val="28"/>
        <color theme="7"/>
        <rFont val="Consolas"/>
        <family val="3"/>
      </rPr>
      <t>[name2</t>
    </r>
    <r>
      <rPr>
        <sz val="28"/>
        <rFont val="Consolas"/>
        <family val="3"/>
      </rPr>
      <t>,</t>
    </r>
    <r>
      <rPr>
        <sz val="28"/>
        <color theme="7"/>
        <rFont val="Consolas"/>
        <family val="3"/>
      </rPr>
      <t xml:space="preserve"> value2</t>
    </r>
    <r>
      <rPr>
        <sz val="28"/>
        <rFont val="Consolas"/>
        <family val="3"/>
      </rPr>
      <t xml:space="preserve">, </t>
    </r>
    <r>
      <rPr>
        <sz val="28"/>
        <color theme="7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</si>
  <si>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t>• The LAMBDA function consists of parameters (inputs) followed by a calculation.</t>
  </si>
  <si>
    <r>
      <t>=POWER</t>
    </r>
    <r>
      <rPr>
        <sz val="16"/>
        <color theme="5"/>
        <rFont val="Consolas"/>
        <family val="3"/>
      </rPr>
      <t>(2, 5)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</si>
  <si>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</si>
  <si>
    <t>• Reduce redundant calculations.
• Expressions can be stored in a variable, calculated once, and called multiple times.</t>
  </si>
  <si>
    <t>• Give meanful context to range/cell references by declaring them as named variables.
• Easily interalize intermediate calculations.
• As complexity/size increases, nested LET() fucntions allow for modularity within the formula (more advanced)</t>
  </si>
  <si>
    <r>
      <t xml:space="preserve">• The </t>
    </r>
    <r>
      <rPr>
        <sz val="14"/>
        <rFont val="Consolas"/>
        <family val="3"/>
      </rPr>
      <t>LET</t>
    </r>
    <r>
      <rPr>
        <sz val="14"/>
        <rFont val="Segoe UI"/>
        <family val="2"/>
      </rPr>
      <t xml:space="preserve"> function is comprised of at least one name-value pair (i.e., name1, value1) and the final output (i.e., calculation).</t>
    </r>
  </si>
  <si>
    <r>
      <t xml:space="preserve">• The </t>
    </r>
    <r>
      <rPr>
        <sz val="14"/>
        <rFont val="Consolas"/>
        <family val="3"/>
      </rPr>
      <t>LET</t>
    </r>
    <r>
      <rPr>
        <sz val="14"/>
        <rFont val="Segoe UI"/>
        <family val="2"/>
      </rPr>
      <t xml:space="preserve"> function can have up to 126 name-value pairs.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</si>
  <si>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5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</si>
  <si>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 xml:space="preserve">1. Go to </t>
    </r>
    <r>
      <rPr>
        <b/>
        <sz val="14"/>
        <rFont val="Segoe UI"/>
        <family val="2"/>
      </rPr>
      <t>Formulas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Name Manager</t>
    </r>
  </si>
  <si>
    <t>3. Enter:</t>
  </si>
  <si>
    <r>
      <t xml:space="preserve">2. Click </t>
    </r>
    <r>
      <rPr>
        <b/>
        <sz val="14"/>
        <rFont val="Segoe UI"/>
        <family val="2"/>
      </rPr>
      <t>New</t>
    </r>
    <r>
      <rPr>
        <sz val="14"/>
        <rFont val="Segoe UI"/>
        <family val="2"/>
      </rPr>
      <t>…</t>
    </r>
  </si>
  <si>
    <r>
      <t xml:space="preserve">• </t>
    </r>
    <r>
      <rPr>
        <b/>
        <sz val="14"/>
        <rFont val="Segoe UI"/>
        <family val="2"/>
      </rPr>
      <t>Refers to</t>
    </r>
    <r>
      <rPr>
        <sz val="14"/>
        <rFont val="Segoe UI"/>
        <family val="2"/>
      </rPr>
      <t>: the LAMBDA formula (without the call)</t>
    </r>
  </si>
  <si>
    <r>
      <t xml:space="preserve">4. Click </t>
    </r>
    <r>
      <rPr>
        <b/>
        <sz val="14"/>
        <rFont val="Segoe UI"/>
        <family val="2"/>
      </rPr>
      <t>OK</t>
    </r>
  </si>
  <si>
    <r>
      <t xml:space="preserve">• </t>
    </r>
    <r>
      <rPr>
        <b/>
        <sz val="14"/>
        <rFont val="Segoe UI"/>
        <family val="2"/>
      </rPr>
      <t>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</si>
  <si>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Comment</t>
    </r>
    <r>
      <rPr>
        <sz val="14"/>
        <rFont val="Segoe UI"/>
        <family val="2"/>
      </rPr>
      <t>: optionally add a brief description of the LAMBDA formula</t>
    </r>
  </si>
  <si>
    <t>Install Excel Labs add-in:</t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</si>
  <si>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Add-ins</t>
    </r>
  </si>
  <si>
    <r>
      <t xml:space="preserve">2. Click </t>
    </r>
    <r>
      <rPr>
        <b/>
        <sz val="14"/>
        <rFont val="Segoe UI"/>
        <family val="2"/>
      </rPr>
      <t>More Add-ins</t>
    </r>
  </si>
  <si>
    <r>
      <t xml:space="preserve">3. Search for </t>
    </r>
    <r>
      <rPr>
        <b/>
        <sz val="14"/>
        <rFont val="Segoe UI"/>
        <family val="2"/>
      </rPr>
      <t>Excel Labs</t>
    </r>
  </si>
  <si>
    <r>
      <t xml:space="preserve">4. Click </t>
    </r>
    <r>
      <rPr>
        <b/>
        <sz val="14"/>
        <rFont val="Segoe UI"/>
        <family val="2"/>
      </rPr>
      <t>Add</t>
    </r>
  </si>
  <si>
    <t>Installing Excel Labs:</t>
  </si>
  <si>
    <r>
      <t xml:space="preserve">5.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</si>
  <si>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</si>
  <si>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2. Under the Advanced formula environment section click </t>
    </r>
    <r>
      <rPr>
        <b/>
        <sz val="14"/>
        <rFont val="Segoe UI"/>
        <family val="2"/>
      </rPr>
      <t>Open</t>
    </r>
  </si>
  <si>
    <r>
      <t xml:space="preserve">3. Select the </t>
    </r>
    <r>
      <rPr>
        <b/>
        <sz val="14"/>
        <rFont val="Segoe UI"/>
        <family val="2"/>
      </rPr>
      <t>Names</t>
    </r>
    <r>
      <rPr>
        <sz val="14"/>
        <rFont val="Segoe UI"/>
        <family val="2"/>
      </rPr>
      <t xml:space="preserve"> ribbon</t>
    </r>
  </si>
  <si>
    <r>
      <t xml:space="preserve">4. Click </t>
    </r>
    <r>
      <rPr>
        <b/>
        <sz val="14"/>
        <rFont val="Segoe UI"/>
        <family val="2"/>
      </rPr>
      <t>Add</t>
    </r>
    <r>
      <rPr>
        <sz val="14"/>
        <rFont val="Segoe UI"/>
        <family val="2"/>
      </rPr>
      <t xml:space="preserve"> </t>
    </r>
    <r>
      <rPr>
        <b/>
        <sz val="14"/>
        <rFont val="Segoe UI"/>
        <family val="2"/>
      </rPr>
      <t>New</t>
    </r>
  </si>
  <si>
    <t>5. Enter:</t>
  </si>
  <si>
    <r>
      <t xml:space="preserve">• </t>
    </r>
    <r>
      <rPr>
        <b/>
        <sz val="14"/>
        <rFont val="Segoe UI"/>
        <family val="2"/>
      </rPr>
      <t>Function 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</si>
  <si>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Description</t>
    </r>
    <r>
      <rPr>
        <sz val="14"/>
        <rFont val="Segoe UI"/>
        <family val="2"/>
      </rPr>
      <t>: optionally add a brief description of the LAMBDA formula</t>
    </r>
  </si>
  <si>
    <r>
      <t xml:space="preserve">• </t>
    </r>
    <r>
      <rPr>
        <b/>
        <sz val="14"/>
        <rFont val="Segoe UI"/>
        <family val="2"/>
      </rPr>
      <t>Arguments</t>
    </r>
    <r>
      <rPr>
        <sz val="14"/>
        <rFont val="Segoe UI"/>
        <family val="2"/>
      </rPr>
      <t>: the names of the LAMBDA parameters</t>
    </r>
  </si>
  <si>
    <r>
      <t xml:space="preserve">• </t>
    </r>
    <r>
      <rPr>
        <b/>
        <sz val="14"/>
        <rFont val="Segoe UI"/>
        <family val="2"/>
      </rPr>
      <t>Function definition</t>
    </r>
    <r>
      <rPr>
        <sz val="14"/>
        <rFont val="Segoe UI"/>
        <family val="2"/>
      </rPr>
      <t>: the calculation step of the LAMBDA</t>
    </r>
  </si>
  <si>
    <t>Comparison: Name Manager vs Excel Labs - Names</t>
  </si>
  <si>
    <t>Name Manager</t>
  </si>
  <si>
    <t>Availability</t>
  </si>
  <si>
    <t>Excel Labs</t>
  </si>
  <si>
    <t>Purpose</t>
  </si>
  <si>
    <t>Interface</t>
  </si>
  <si>
    <t>✅ High (formatting, structure)</t>
  </si>
  <si>
    <t>❌ Limited</t>
  </si>
  <si>
    <t>Organization</t>
  </si>
  <si>
    <t>✅ Centralized, structured</t>
  </si>
  <si>
    <t>Best Use Case</t>
  </si>
  <si>
    <t>Feature/Aspect</t>
  </si>
  <si>
    <t>❌ Single line</t>
  </si>
  <si>
    <t>• Build &amp; manage LAMBDAs
• UI layer on top of Name Manager</t>
  </si>
  <si>
    <t>• Stores LAMBDAs</t>
  </si>
  <si>
    <r>
      <t xml:space="preserve">• Modern, code-editor-like interface
</t>
    </r>
    <r>
      <rPr>
        <i/>
        <sz val="14"/>
        <color theme="1"/>
        <rFont val="Segoe UI"/>
        <family val="2"/>
      </rPr>
      <t>• LAMBDA becomes partially abstracted in the UI</t>
    </r>
  </si>
  <si>
    <t>• Basic dialog box</t>
  </si>
  <si>
    <t>• Quick / simple functions</t>
  </si>
  <si>
    <t>• Complex / multiple functions</t>
  </si>
  <si>
    <t>• Add-in required</t>
  </si>
  <si>
    <t>• Built-in</t>
  </si>
  <si>
    <t>To make an exisiting LAMBDA function reusable using Name Manager:</t>
  </si>
  <si>
    <t>To make a new reusable LABMDA function using Excel Labs:</t>
  </si>
  <si>
    <t>Creating Re-usable LAMBDA Functions With Excel Labs - Names:</t>
  </si>
  <si>
    <t>Creating Re-usable LAMBDA Functions With Name Manager:</t>
  </si>
  <si>
    <t>Optional Parameters &amp; Omission Handling</t>
  </si>
  <si>
    <t>What are Optional Parameters?</t>
  </si>
  <si>
    <t>• This allows functions to be more flexible and reusable</t>
  </si>
  <si>
    <t>• Unlike regular parameters, optional parameters are not required for every call</t>
  </si>
  <si>
    <t>• If a parameter is omitted, Excel will normally return a #VALUE! Error unless handled explicity</t>
  </si>
  <si>
    <t>• Optional parameters are demarcated by enclosing the parameter name in square brackets [ ]</t>
  </si>
  <si>
    <t>• Optional parameters must appear after all required parameters during naming</t>
  </si>
  <si>
    <t>ISOMITTED Function</t>
  </si>
  <si>
    <t>• Specifically designed for LAMBDA functions</t>
  </si>
  <si>
    <t>• Returns TRUE if an argument was not supplied at all</t>
  </si>
  <si>
    <r>
      <t>=ISOMITTED(</t>
    </r>
    <r>
      <rPr>
        <sz val="28"/>
        <color theme="9"/>
        <rFont val="Consolas"/>
        <family val="3"/>
      </rPr>
      <t>parameter</t>
    </r>
    <r>
      <rPr>
        <sz val="28"/>
        <color theme="1"/>
        <rFont val="Consolas"/>
        <family val="3"/>
      </rPr>
      <t>)</t>
    </r>
  </si>
  <si>
    <t xml:space="preserve">    LET(</t>
  </si>
  <si>
    <t xml:space="preserve">        pwr, IF(ISOMITTED(power), 2, power),</t>
  </si>
  <si>
    <r>
      <t>=LAMBDA(</t>
    </r>
    <r>
      <rPr>
        <sz val="16"/>
        <color theme="9"/>
        <rFont val="Consolas"/>
        <family val="3"/>
      </rPr>
      <t>number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[power]</t>
    </r>
    <r>
      <rPr>
        <sz val="16"/>
        <rFont val="Consolas"/>
        <family val="3"/>
      </rPr>
      <t>,</t>
    </r>
  </si>
  <si>
    <t xml:space="preserve">    )</t>
  </si>
  <si>
    <r>
      <t>)</t>
    </r>
    <r>
      <rPr>
        <sz val="16"/>
        <color theme="5"/>
        <rFont val="Consolas"/>
        <family val="3"/>
      </rPr>
      <t>(2)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</si>
  <si>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  <r>
      <rPr>
        <sz val="16"/>
        <color theme="5"/>
        <rFont val="Consolas"/>
        <family val="3"/>
      </rPr>
      <t>(2</t>
    </r>
    <r>
      <rPr>
        <sz val="16"/>
        <rFont val="Consolas"/>
        <family val="3"/>
      </rPr>
      <t>,</t>
    </r>
    <r>
      <rPr>
        <sz val="16"/>
        <color theme="5"/>
        <rFont val="Consolas"/>
        <family val="3"/>
      </rPr>
      <t xml:space="preserve"> 5)</t>
    </r>
  </si>
  <si>
    <t xml:space="preserve">        number^pwr</t>
  </si>
  <si>
    <t>• power is defined as an optional parameter, with a default value of 2</t>
  </si>
  <si>
    <t>• The IF() statement checks whether the power parameter is omitted from the call</t>
  </si>
  <si>
    <r>
      <t>)</t>
    </r>
    <r>
      <rPr>
        <sz val="16"/>
        <color theme="5"/>
        <rFont val="Consolas"/>
        <family val="3"/>
      </rPr>
      <t>($K$81, $K$82)</t>
    </r>
  </si>
  <si>
    <r>
      <t>)</t>
    </r>
    <r>
      <rPr>
        <sz val="16"/>
        <color theme="5"/>
        <rFont val="Consolas"/>
        <family val="3"/>
      </rPr>
      <t>($K$87, $K$88)</t>
    </r>
  </si>
  <si>
    <t xml:space="preserve">        pwr, IF(OR(ISOMITTED(power), ISBLANK(power)), 2, power),</t>
  </si>
  <si>
    <t>• Using the same omission handling as above, but using cell references, we can an incorrent output</t>
  </si>
  <si>
    <t>• Excel will read this as 0, resulting in an output of 1 (i.e., 2^0), when the default should be number^2</t>
  </si>
  <si>
    <t>Example: Replicate the POWER function using LAMBDA with optional power parameter</t>
  </si>
  <si>
    <t>error</t>
  </si>
  <si>
    <t>wrong output</t>
  </si>
  <si>
    <t>• To account for the possibility of a blank cell reference:</t>
  </si>
  <si>
    <t>• Added ISBLANK check of the optional power parameter</t>
  </si>
  <si>
    <t>• Add OR logic to the ISOMITTED and ISBLANK checks; if either is TRUE, then return the default of 2</t>
  </si>
  <si>
    <t>Advanced, No LET/LAMBDA</t>
  </si>
  <si>
    <t>REUSABLE LAMBDA</t>
  </si>
  <si>
    <t>Style Coding</t>
  </si>
  <si>
    <t>Cell Reference</t>
  </si>
  <si>
    <t>LET Helper</t>
  </si>
  <si>
    <t>What is Excel Labs?</t>
  </si>
  <si>
    <t>• An add-in that provides a modern development environment for advanced Excel formulas</t>
  </si>
  <si>
    <t>• Especially useful for debugging formulas and creating LAMBDA functions</t>
  </si>
  <si>
    <t>Features</t>
  </si>
  <si>
    <t>Use Cases</t>
  </si>
  <si>
    <t>Grid View</t>
  </si>
  <si>
    <t>Names View</t>
  </si>
  <si>
    <t>• A worksheet-like interface for building, testing, and experimenting with formulas</t>
  </si>
  <si>
    <t>• A centralized interface for creating, editing, and managing LAMBDA functions</t>
  </si>
  <si>
    <t>• Prototyping formulas
• Testing intermediate calculations
• Learning and experimenting with new functions</t>
  </si>
  <si>
    <t>• Finalizing reusable functions
• Managing multiple LAMBDAs
• Editing existing named functions</t>
  </si>
  <si>
    <t>• Acts as a UI layer over Name Manager
• Create named LAMBDAs with a clean editor
• Supports multi-line formulas and formatting
• View all named functions in one place
• Easier editing compared to Name Manager
• Functions created here are saved directly to Name Manager</t>
  </si>
  <si>
    <t>• Write formulas in a structured, multi-cell layout
• Supports inline testing with immediate results
• Easier debugging through step-by-step inspection
• Ideal for developing logic before finalizing a LAMBDA
• Advanced formula debugging interface</t>
  </si>
  <si>
    <t>Views Summary:</t>
  </si>
  <si>
    <t>• ISOMITTED returns FALSE because the power parameter is being called, however, the cell value is blank</t>
  </si>
  <si>
    <t>Microsoft Resources: LAMBDA Function</t>
  </si>
  <si>
    <t>Microsoft Resources: ISOMITTED Function</t>
  </si>
  <si>
    <t>ExcelJet: LAMBDA Function</t>
  </si>
  <si>
    <t>ExcelJet: ISOMITTED Functions</t>
  </si>
  <si>
    <t>Resources and References</t>
  </si>
  <si>
    <t>TrumpEXCEL: Excel LAMBDA Function</t>
  </si>
  <si>
    <t>Example Formulas Using LAMBDA</t>
  </si>
  <si>
    <t>TrumpEXCEL: LET Function in Excel</t>
  </si>
  <si>
    <t>ExcelJet: LET Function</t>
  </si>
  <si>
    <t>Microsoft Resources: LET Function</t>
  </si>
  <si>
    <t>DILUTIONEQ</t>
  </si>
  <si>
    <t>No LAMBDA or LET</t>
  </si>
  <si>
    <t>RSD/Summary Stats</t>
  </si>
  <si>
    <t>Excel Labs Add-in</t>
  </si>
  <si>
    <t>GitHub: Excel Labs Advanced Formula Environment</t>
  </si>
  <si>
    <t>DESC_STATS</t>
  </si>
  <si>
    <t>Default Output</t>
  </si>
  <si>
    <t>Selective</t>
  </si>
  <si>
    <t>Excel Essentials: Working With Complex Functions in Excel Labs</t>
  </si>
  <si>
    <t>Topics</t>
  </si>
  <si>
    <t>Goals</t>
  </si>
  <si>
    <t>Sample</t>
  </si>
  <si>
    <t>FN</t>
  </si>
  <si>
    <t>Cd</t>
  </si>
  <si>
    <t>HVK</t>
  </si>
  <si>
    <t>Mill</t>
  </si>
  <si>
    <t>Ash</t>
  </si>
  <si>
    <t>GI</t>
  </si>
  <si>
    <t>Flag</t>
  </si>
  <si>
    <t>Expected</t>
  </si>
  <si>
    <t>Status</t>
  </si>
  <si>
    <r>
      <t>=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</si>
  <si>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</si>
  <si>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</si>
  <si>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</si>
  <si>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</si>
  <si>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</si>
  <si>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</si>
  <si>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</si>
  <si>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</si>
  <si>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</si>
  <si>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</si>
  <si>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</si>
  <si>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</t>
    </r>
  </si>
  <si>
    <t>    )</t>
  </si>
  <si>
    <t>Observations</t>
  </si>
  <si>
    <t>• Calculates the absolute difference from expected</t>
  </si>
  <si>
    <t>The maximum score is also universal and hard-coded</t>
  </si>
  <si>
    <t>For each column (i.e., FN, Cd, HVK, etc.):</t>
  </si>
  <si>
    <t>• Returns a numeric score depending on the guidelines</t>
  </si>
  <si>
    <t>Actions</t>
  </si>
  <si>
    <t>Create LABMDA for columns calculations</t>
  </si>
  <si>
    <t>Add variables:</t>
  </si>
  <si>
    <t>• max_demerit</t>
  </si>
  <si>
    <t>• is_blk</t>
  </si>
  <si>
    <t>Rev 1</t>
  </si>
  <si>
    <t>• msg</t>
  </si>
  <si>
    <t>• return (optional)</t>
  </si>
  <si>
    <r>
      <t xml:space="preserve">   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</si>
  <si>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</si>
  <si>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t>        )</t>
  </si>
  <si>
    <t>    ),</t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</si>
  <si>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</si>
  <si>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</si>
  <si>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</si>
  <si>
    <t>Modify formula to use dynamic arrays</t>
  </si>
  <si>
    <t>Rev 2</t>
  </si>
  <si>
    <t>• Problems could be hidden until all test results are input</t>
  </si>
  <si>
    <t>Turn into resuable LAMBDA</t>
  </si>
  <si>
    <t>Pro</t>
  </si>
  <si>
    <t>Give outputs of partially completed samples</t>
  </si>
  <si>
    <t>Guidelines: Results ± Expected</t>
  </si>
  <si>
    <t>Guidelines: Expected Values</t>
  </si>
  <si>
    <t>Demerits</t>
  </si>
  <si>
    <t>Scores are universal for all columns but are hard-coded (i.e., Poor = 3, Flag = 1)</t>
  </si>
  <si>
    <t>Calculation step feels busy with the blank checking and nested IF statement for message</t>
  </si>
  <si>
    <r>
      <t>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7"/>
        <rFont val="Consolas"/>
        <family val="3"/>
      </rPr>
      <t>$C$243</t>
    </r>
    <r>
      <rPr>
        <sz val="11"/>
        <rFont val="Consolas"/>
        <family val="3"/>
      </rPr>
      <t xml:space="preserve">,   </t>
    </r>
    <r>
      <rPr>
        <sz val="11"/>
        <color theme="5"/>
        <rFont val="Consolas"/>
        <family val="3"/>
      </rPr>
      <t xml:space="preserve">3 </t>
    </r>
    <r>
      <rPr>
        <sz val="11"/>
        <rFont val="Consolas"/>
        <family val="3"/>
      </rPr>
      <t xml:space="preserve">  , 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8"/>
        <rFont val="Consolas"/>
        <family val="3"/>
      </rPr>
      <t>$C$242</t>
    </r>
    <r>
      <rPr>
        <sz val="11"/>
        <rFont val="Consolas"/>
        <family val="3"/>
      </rPr>
      <t xml:space="preserve">,   </t>
    </r>
    <r>
      <rPr>
        <sz val="11"/>
        <color rgb="FFC00000"/>
        <rFont val="Consolas"/>
        <family val="3"/>
      </rPr>
      <t>1</t>
    </r>
    <r>
      <rPr>
        <sz val="11"/>
        <rFont val="Consolas"/>
        <family val="3"/>
      </rPr>
      <t xml:space="preserve">   , 0)),</t>
    </r>
  </si>
  <si>
    <r>
      <t xml:space="preserve">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7"/>
        <rFont val="Consolas"/>
        <family val="3"/>
      </rPr>
      <t xml:space="preserve">poor </t>
    </r>
    <r>
      <rPr>
        <sz val="11"/>
        <rFont val="Consolas"/>
        <family val="3"/>
      </rPr>
      <t xml:space="preserve">, </t>
    </r>
    <r>
      <rPr>
        <sz val="11"/>
        <color theme="5"/>
        <rFont val="Consolas"/>
        <family val="3"/>
      </rPr>
      <t>s_poor</t>
    </r>
    <r>
      <rPr>
        <sz val="11"/>
        <rFont val="Consolas"/>
        <family val="3"/>
      </rPr>
      <t xml:space="preserve">, 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8"/>
        <rFont val="Consolas"/>
        <family val="3"/>
      </rPr>
      <t xml:space="preserve">flag </t>
    </r>
    <r>
      <rPr>
        <sz val="11"/>
        <rFont val="Consolas"/>
        <family val="3"/>
      </rPr>
      <t xml:space="preserve">, </t>
    </r>
    <r>
      <rPr>
        <sz val="11"/>
        <color rgb="FFC00000"/>
        <rFont val="Consolas"/>
        <family val="3"/>
      </rPr>
      <t>s_flag</t>
    </r>
    <r>
      <rPr>
        <sz val="11"/>
        <rFont val="Consolas"/>
        <family val="3"/>
      </rPr>
      <t>, 0)),</t>
    </r>
  </si>
  <si>
    <t>• s_flag</t>
  </si>
  <si>
    <t>• s_poor</t>
  </si>
  <si>
    <t>• Compares the absolute difference to the guideline values</t>
  </si>
  <si>
    <r>
      <t xml:space="preserve">   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</si>
  <si>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</si>
  <si>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>,</t>
    </r>
  </si>
  <si>
    <r>
      <t xml:space="preserve">            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</si>
  <si>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</si>
  <si>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(C248, $C$241, $C$244, $C$245),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</si>
  <si>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(D248, $D$241, $D$244, $D$245),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</si>
  <si>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(E248, $E$241, $E$244, $E$245),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</si>
  <si>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(F248, $F$241, $F$244, $F$245),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</si>
  <si>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(G248, $G$241, $G$244, $G$245),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</si>
  <si>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(H248, $H$241, $H$244, $H$245),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</si>
  <si>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(I248, $I$241, $I$244, $I$245),</t>
    </r>
  </si>
  <si>
    <r>
      <t xml:space="preserve">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</si>
  <si>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</si>
  <si>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MAKEARRAY</t>
    </r>
    <r>
      <rPr>
        <sz val="11"/>
        <color rgb="FF000000"/>
        <rFont val="Consolas"/>
        <family val="3"/>
      </rPr>
      <t>(</t>
    </r>
  </si>
  <si>
    <r>
      <t xml:space="preserve">            </t>
    </r>
    <r>
      <rPr>
        <sz val="11"/>
        <color rgb="FF033D8B"/>
        <rFont val="Consolas"/>
        <family val="3"/>
      </rPr>
      <t>ROWS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</si>
  <si>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COLUMNS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</si>
  <si>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,</t>
    </r>
  </si>
  <si>
    <r>
      <t xml:space="preserve">        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</si>
  <si>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           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</si>
  <si>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</si>
  <si>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</si>
  <si>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</si>
  <si>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</si>
  <si>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</si>
  <si>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guideline_values</t>
    </r>
    <r>
      <rPr>
        <sz val="11"/>
        <color rgb="FF000000"/>
        <rFont val="Consolas"/>
        <family val="3"/>
      </rPr>
      <t xml:space="preserve">), </t>
    </r>
    <r>
      <rPr>
        <sz val="11"/>
        <color rgb="FF0969DA"/>
        <rFont val="Consolas"/>
        <family val="3"/>
      </rPr>
      <t>guideline_scores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</si>
  <si>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</si>
  <si>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</si>
  <si>
    <t>                )</t>
  </si>
  <si>
    <t>            )</t>
  </si>
  <si>
    <r>
      <t xml:space="preserve">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</si>
  <si>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</si>
  <si>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ISTEXT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</si>
  <si>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</si>
  <si>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TEXTJOIN</t>
    </r>
    <r>
      <rPr>
        <sz val="11"/>
        <color rgb="FF000000"/>
        <rFont val="Consolas"/>
        <family val="3"/>
      </rPr>
      <t>(</t>
    </r>
    <r>
      <rPr>
        <sz val="11"/>
        <color rgb="FFA31515"/>
        <rFont val="Consolas"/>
        <family val="3"/>
      </rPr>
      <t>", "</t>
    </r>
    <r>
      <rPr>
        <sz val="11"/>
        <color rgb="FF000000"/>
        <rFont val="Consolas"/>
        <family val="3"/>
      </rPr>
      <t xml:space="preserve">, </t>
    </r>
    <r>
      <rPr>
        <sz val="11"/>
        <color rgb="FF0000FF"/>
        <rFont val="Consolas"/>
        <family val="3"/>
      </rPr>
      <t>TRUE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))),</t>
    </r>
  </si>
  <si>
    <r>
      <t xml:space="preserve">        </t>
    </r>
    <r>
      <rPr>
        <sz val="11"/>
        <color rgb="FF0969DA"/>
        <rFont val="Consolas"/>
        <family val="3"/>
      </rPr>
      <t>return</t>
    </r>
  </si>
  <si>
    <r>
      <t xml:space="preserve">   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</si>
  <si>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max_demerits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</si>
  <si>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"["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&amp; </t>
    </r>
    <r>
      <rPr>
        <sz val="11"/>
        <color rgb="FFA31515"/>
        <rFont val="Consolas"/>
        <family val="3"/>
      </rPr>
      <t>"] BLK: 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</si>
  <si>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 =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>),</t>
    </r>
  </si>
  <si>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</si>
  <si>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guideline_values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guideline_scores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max_demerits</t>
    </r>
    <r>
      <rPr>
        <sz val="11"/>
        <rFont val="Consolas"/>
        <family val="3"/>
      </rPr>
      <t>,</t>
    </r>
  </si>
  <si>
    <t>))</t>
  </si>
  <si>
    <t>Context</t>
  </si>
  <si>
    <t>Samples 1-10 are tested by seven different methods (i.e., FN, Cd, HVK, etc.)</t>
  </si>
  <si>
    <t>Create another column with the improvements</t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</si>
  <si>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flag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1</t>
    </r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</si>
  <si>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poor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3</t>
    </r>
  </si>
  <si>
    <t>For each result, compare to the expected value within a given range (±) and assign a demerit score:</t>
  </si>
  <si>
    <r>
      <t xml:space="preserve">• If the demerit score is </t>
    </r>
    <r>
      <rPr>
        <b/>
        <sz val="11"/>
        <color theme="1" tint="0.34998626667073579"/>
        <rFont val="Consolas"/>
        <family val="3"/>
      </rPr>
      <t>&lt; 3</t>
    </r>
    <r>
      <rPr>
        <sz val="11"/>
        <color theme="1" tint="0.34998626667073579"/>
        <rFont val="Consolas"/>
        <family val="3"/>
      </rPr>
      <t xml:space="preserve">, then output </t>
    </r>
    <r>
      <rPr>
        <b/>
        <sz val="11"/>
        <color theme="1" tint="0.34998626667073579"/>
        <rFont val="Consolas"/>
        <family val="3"/>
      </rPr>
      <t>"Pass"</t>
    </r>
  </si>
  <si>
    <r>
      <t>• If the demerit score is</t>
    </r>
    <r>
      <rPr>
        <b/>
        <sz val="11"/>
        <color theme="1" tint="0.34998626667073579"/>
        <rFont val="Consolas"/>
        <family val="3"/>
      </rPr>
      <t xml:space="preserve"> ≥ 3</t>
    </r>
    <r>
      <rPr>
        <sz val="11"/>
        <color theme="1" tint="0.34998626667073579"/>
        <rFont val="Consolas"/>
        <family val="3"/>
      </rPr>
      <t>, then output "</t>
    </r>
    <r>
      <rPr>
        <b/>
        <sz val="11"/>
        <color theme="1" tint="0.34998626667073579"/>
        <rFont val="Consolas"/>
        <family val="3"/>
      </rPr>
      <t>Discuss</t>
    </r>
    <r>
      <rPr>
        <sz val="11"/>
        <color theme="1" tint="0.34998626667073579"/>
        <rFont val="Consolas"/>
        <family val="3"/>
      </rPr>
      <t>"</t>
    </r>
  </si>
  <si>
    <t>For each sample, sum the demerit scores and output "Pass", "Discuss", or "" in the status column:</t>
  </si>
  <si>
    <r>
      <t xml:space="preserve">• If there is a </t>
    </r>
    <r>
      <rPr>
        <b/>
        <sz val="11"/>
        <color theme="1" tint="0.34998626667073579"/>
        <rFont val="Consolas"/>
        <family val="3"/>
      </rPr>
      <t>blank</t>
    </r>
    <r>
      <rPr>
        <sz val="11"/>
        <color theme="1" tint="0.34998626667073579"/>
        <rFont val="Consolas"/>
        <family val="3"/>
      </rPr>
      <t xml:space="preserve"> result, then output </t>
    </r>
    <r>
      <rPr>
        <b/>
        <sz val="11"/>
        <color theme="1" tint="0.34998626667073579"/>
        <rFont val="Consolas"/>
        <family val="3"/>
      </rPr>
      <t>""</t>
    </r>
  </si>
  <si>
    <r>
      <rPr>
        <i/>
        <sz val="11"/>
        <color theme="1" tint="0.34998626667073579"/>
        <rFont val="Consolas"/>
        <family val="3"/>
      </rPr>
      <t>BONUS</t>
    </r>
    <r>
      <rPr>
        <sz val="11"/>
        <color theme="1" tint="0.34998626667073579"/>
        <rFont val="Consolas"/>
        <family val="3"/>
      </rPr>
      <t xml:space="preserve"> Create a re-usable LAMBDA using dynamic arrays</t>
    </r>
  </si>
  <si>
    <t>Still a lot of cell references (5 per method x 7 methods = 35 references)</t>
  </si>
  <si>
    <t>Still have repeated cell references for each results (e.g., FN and within is_blk)</t>
  </si>
  <si>
    <t>• Excel Labs Add-in</t>
  </si>
  <si>
    <t>• LET Function</t>
  </si>
  <si>
    <t>• LAMBDA Function</t>
  </si>
  <si>
    <t>• Make formulas easier to read</t>
  </si>
  <si>
    <t>• Only reference a cell once</t>
  </si>
  <si>
    <t>• Minimize repeatitive blocks of code</t>
  </si>
  <si>
    <t>• Improve performance</t>
  </si>
  <si>
    <r>
      <t xml:space="preserve">• Focusing on the </t>
    </r>
    <r>
      <rPr>
        <b/>
        <sz val="14"/>
        <color theme="1"/>
        <rFont val="Segoe UI"/>
        <family val="2"/>
      </rPr>
      <t>Grid</t>
    </r>
    <r>
      <rPr>
        <sz val="14"/>
        <color theme="1"/>
        <rFont val="Segoe UI"/>
        <family val="2"/>
      </rPr>
      <t xml:space="preserve"> and </t>
    </r>
    <r>
      <rPr>
        <b/>
        <sz val="14"/>
        <color theme="1"/>
        <rFont val="Segoe UI"/>
        <family val="2"/>
      </rPr>
      <t>Names</t>
    </r>
    <r>
      <rPr>
        <sz val="14"/>
        <color theme="1"/>
        <rFont val="Segoe UI"/>
        <family val="2"/>
      </rPr>
      <t xml:space="preserve"> Views within the </t>
    </r>
    <r>
      <rPr>
        <b/>
        <sz val="14"/>
        <color theme="1"/>
        <rFont val="Segoe UI"/>
        <family val="2"/>
      </rPr>
      <t>Advanced Formula Environment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</si>
  <si>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$G$33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</si>
  <si>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 xml:space="preserve">    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$G$39</t>
    </r>
    <r>
      <rPr>
        <sz val="16"/>
        <rFont val="Consolas"/>
        <family val="3"/>
      </rPr>
      <t>,</t>
    </r>
  </si>
  <si>
    <r>
      <t xml:space="preserve">    </t>
    </r>
    <r>
      <rPr>
        <sz val="16"/>
        <color theme="7"/>
        <rFont val="Consolas"/>
        <family val="3"/>
      </rPr>
      <t>b</t>
    </r>
    <r>
      <rPr>
        <sz val="16"/>
        <rFont val="Consolas"/>
        <family val="3"/>
      </rPr>
      <t xml:space="preserve">, </t>
    </r>
    <r>
      <rPr>
        <sz val="16"/>
        <color theme="7"/>
        <rFont val="Consolas"/>
        <family val="3"/>
      </rPr>
      <t>$G$40</t>
    </r>
    <r>
      <rPr>
        <sz val="16"/>
        <rFont val="Consolas"/>
        <family val="3"/>
      </rPr>
      <t>,</t>
    </r>
  </si>
  <si>
    <t>• Expand and Re-size the formula bar.</t>
  </si>
  <si>
    <r>
      <t xml:space="preserve">• Use a </t>
    </r>
    <r>
      <rPr>
        <i/>
        <sz val="14"/>
        <color theme="1"/>
        <rFont val="Segoe UI"/>
        <family val="2"/>
      </rPr>
      <t>return</t>
    </r>
    <r>
      <rPr>
        <sz val="14"/>
        <color theme="1"/>
        <rFont val="Segoe UI"/>
        <family val="2"/>
      </rPr>
      <t xml:space="preserve"> variable for the final step instead of a calculation (useful for troubleshooting errors)</t>
    </r>
  </si>
  <si>
    <t>describes a value's position relative to</t>
  </si>
  <si>
    <t>Warning</t>
  </si>
  <si>
    <t>ZSCORE</t>
  </si>
  <si>
    <t>Label</t>
  </si>
  <si>
    <r>
      <t xml:space="preserve">• The </t>
    </r>
    <r>
      <rPr>
        <sz val="14"/>
        <color theme="8"/>
        <rFont val="Consolas"/>
        <family val="3"/>
      </rPr>
      <t>LET</t>
    </r>
    <r>
      <rPr>
        <sz val="14"/>
        <color theme="1"/>
        <rFont val="Segoe UI"/>
        <family val="2"/>
      </rPr>
      <t xml:space="preserve"> function allows you to create re-usable named variables within a formula.</t>
    </r>
  </si>
  <si>
    <t>• Calling a LAMBDA is the same as calling other Excel function. The function is followed by ( ); inside are the brackets are values.</t>
  </si>
  <si>
    <r>
      <t>=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</si>
  <si>
    <r>
      <t xml:space="preserve">   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((A115-</t>
    </r>
    <r>
      <rPr>
        <sz val="11"/>
        <color rgb="FF033D8B"/>
        <rFont val="Consolas"/>
        <family val="3"/>
      </rPr>
      <t>AVERAGE</t>
    </r>
    <r>
      <rPr>
        <sz val="11"/>
        <color rgb="FF000000"/>
        <rFont val="Consolas"/>
        <family val="3"/>
      </rPr>
      <t>($A$115:$A$134))/</t>
    </r>
    <r>
      <rPr>
        <sz val="11"/>
        <color rgb="FF033D8B"/>
        <rFont val="Consolas"/>
        <family val="3"/>
      </rPr>
      <t>STDEV.S</t>
    </r>
    <r>
      <rPr>
        <sz val="11"/>
        <color rgb="FF000000"/>
        <rFont val="Consolas"/>
        <family val="3"/>
      </rPr>
      <t>($A$115:$A$134)),</t>
    </r>
  </si>
  <si>
    <t>    $E$116:$E$118,</t>
  </si>
  <si>
    <t>    $D$116:$D$118,</t>
  </si>
  <si>
    <r>
      <t xml:space="preserve">   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</si>
  <si>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8658"/>
        <rFont val="Consolas"/>
        <family val="3"/>
      </rPr>
      <t>-1</t>
    </r>
  </si>
  <si>
    <r>
      <t xml:space="preserve">    </t>
    </r>
    <r>
      <rPr>
        <sz val="11"/>
        <color rgb="FF0969DA"/>
        <rFont val="Consolas"/>
        <family val="3"/>
      </rPr>
      <t>z_abs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z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</si>
  <si>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lbl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z_abs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</si>
  <si>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969DA"/>
        <rFont val="Consolas"/>
        <family val="3"/>
      </rPr>
      <t>r_std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 xml:space="preserve">, , </t>
    </r>
    <r>
      <rPr>
        <sz val="11"/>
        <color rgb="FF098658"/>
        <rFont val="Consolas"/>
        <family val="3"/>
      </rPr>
      <t>2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</si>
  <si>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r_lbl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 xml:space="preserve">, 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</si>
  <si>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r_std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r_lbl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</si>
  <si>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t>    ))),</t>
  </si>
  <si>
    <t>Traditional</t>
  </si>
  <si>
    <t>LET with Dynamic Arrays</t>
  </si>
  <si>
    <t>Chars</t>
  </si>
  <si>
    <t>Style</t>
  </si>
  <si>
    <t>Lines</t>
  </si>
  <si>
    <t>• However, the Traditional method requires using that formula for each record in the dataset (n times)</t>
  </si>
  <si>
    <t>data (n)</t>
  </si>
  <si>
    <t>• In a simple side-by-side comparison of a single cell, Traditional appears to be much shorter.</t>
  </si>
  <si>
    <t>Data Ref</t>
  </si>
  <si>
    <t>Rule Ref</t>
  </si>
  <si>
    <t>• Furthermore, each Traditional formula makes multiple cell references to the dataset and to the rule table</t>
  </si>
  <si>
    <t>Formula Comparison</t>
  </si>
  <si>
    <t>Side-by-Side Stats</t>
  </si>
  <si>
    <t>All or nothing return; no information regarding partially complete/missing values</t>
  </si>
  <si>
    <t>Rev 3</t>
  </si>
  <si>
    <t>Mask</t>
  </si>
  <si>
    <t>What if I wanted to exclude a certain method from the demerit scoring?</t>
  </si>
  <si>
    <t>What if I wanted to see the demerit scores (i.e., debug)</t>
  </si>
  <si>
    <t>Add optional parameter [debug]</t>
  </si>
  <si>
    <t>With new features, should add some validation/edge case handling</t>
  </si>
  <si>
    <t>• What if no methods are selected?</t>
  </si>
  <si>
    <t>Add parameter method_mask</t>
  </si>
  <si>
    <t>Add a Mask row to dataset (T/F)</t>
  </si>
  <si>
    <r>
      <t>=</t>
    </r>
    <r>
      <rPr>
        <sz val="10"/>
        <color rgb="FFC4432B"/>
        <rFont val="Consolas"/>
        <family val="3"/>
      </rPr>
      <t>LET</t>
    </r>
    <r>
      <rPr>
        <sz val="10"/>
        <color rgb="FF000000"/>
        <rFont val="Consolas"/>
        <family val="3"/>
      </rPr>
      <t>(</t>
    </r>
  </si>
  <si>
    <r>
      <t xml:space="preserve">    </t>
    </r>
    <r>
      <rPr>
        <sz val="10"/>
        <color rgb="FF0969DA"/>
        <rFont val="Consolas"/>
        <family val="3"/>
      </rPr>
      <t>get_merit</t>
    </r>
    <r>
      <rPr>
        <sz val="10"/>
        <color rgb="FF000000"/>
        <rFont val="Consolas"/>
        <family val="3"/>
      </rPr>
      <t xml:space="preserve">, </t>
    </r>
    <r>
      <rPr>
        <sz val="10"/>
        <color rgb="FFC4432B"/>
        <rFont val="Consolas"/>
        <family val="3"/>
      </rPr>
      <t>LAMBDA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array</t>
    </r>
    <r>
      <rPr>
        <sz val="10"/>
        <color rgb="FF000000"/>
        <rFont val="Consolas"/>
        <family val="3"/>
      </rPr>
      <t>,</t>
    </r>
  </si>
  <si>
    <r>
      <t xml:space="preserve">        </t>
    </r>
    <r>
      <rPr>
        <sz val="10"/>
        <color rgb="FF033D8B"/>
        <rFont val="Consolas"/>
        <family val="3"/>
      </rPr>
      <t>MAKEARRAY</t>
    </r>
    <r>
      <rPr>
        <sz val="10"/>
        <color rgb="FF000000"/>
        <rFont val="Consolas"/>
        <family val="3"/>
      </rPr>
      <t>(</t>
    </r>
  </si>
  <si>
    <r>
      <t xml:space="preserve">            </t>
    </r>
    <r>
      <rPr>
        <sz val="10"/>
        <color rgb="FF033D8B"/>
        <rFont val="Consolas"/>
        <family val="3"/>
      </rPr>
      <t>ROWS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array</t>
    </r>
    <r>
      <rPr>
        <sz val="10"/>
        <color rgb="FF000000"/>
        <rFont val="Consolas"/>
        <family val="3"/>
      </rPr>
      <t>),</t>
    </r>
  </si>
  <si>
    <r>
      <t xml:space="preserve">            </t>
    </r>
    <r>
      <rPr>
        <sz val="10"/>
        <color rgb="FF033D8B"/>
        <rFont val="Consolas"/>
        <family val="3"/>
      </rPr>
      <t>COLUMNS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array</t>
    </r>
    <r>
      <rPr>
        <sz val="10"/>
        <color rgb="FF000000"/>
        <rFont val="Consolas"/>
        <family val="3"/>
      </rPr>
      <t>),</t>
    </r>
  </si>
  <si>
    <r>
      <t xml:space="preserve">            </t>
    </r>
    <r>
      <rPr>
        <sz val="10"/>
        <color rgb="FFC4432B"/>
        <rFont val="Consolas"/>
        <family val="3"/>
      </rPr>
      <t>LAMBDA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r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c</t>
    </r>
    <r>
      <rPr>
        <sz val="10"/>
        <color rgb="FF000000"/>
        <rFont val="Consolas"/>
        <family val="3"/>
      </rPr>
      <t>,</t>
    </r>
  </si>
  <si>
    <r>
      <t xml:space="preserve">    </t>
    </r>
    <r>
      <rPr>
        <sz val="10"/>
        <color rgb="FF0969DA"/>
        <rFont val="Consolas"/>
        <family val="3"/>
      </rPr>
      <t>mask_arr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MAKEARRAY</t>
    </r>
    <r>
      <rPr>
        <sz val="10"/>
        <color rgb="FF000000"/>
        <rFont val="Consolas"/>
        <family val="3"/>
      </rPr>
      <t>(</t>
    </r>
    <r>
      <rPr>
        <sz val="10"/>
        <color rgb="FF033D8B"/>
        <rFont val="Consolas"/>
        <family val="3"/>
      </rPr>
      <t>ROWS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data</t>
    </r>
    <r>
      <rPr>
        <sz val="10"/>
        <color rgb="FF000000"/>
        <rFont val="Consolas"/>
        <family val="3"/>
      </rPr>
      <t xml:space="preserve">), </t>
    </r>
    <r>
      <rPr>
        <sz val="10"/>
        <color rgb="FF033D8B"/>
        <rFont val="Consolas"/>
        <family val="3"/>
      </rPr>
      <t>COLUMNS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data</t>
    </r>
    <r>
      <rPr>
        <sz val="10"/>
        <color rgb="FF000000"/>
        <rFont val="Consolas"/>
        <family val="3"/>
      </rPr>
      <t xml:space="preserve">), </t>
    </r>
    <r>
      <rPr>
        <sz val="10"/>
        <color rgb="FFC4432B"/>
        <rFont val="Consolas"/>
        <family val="3"/>
      </rPr>
      <t>LAMBDA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r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c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INDEX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method_mask</t>
    </r>
    <r>
      <rPr>
        <sz val="10"/>
        <color rgb="FF000000"/>
        <rFont val="Consolas"/>
        <family val="3"/>
      </rPr>
      <t xml:space="preserve">, , </t>
    </r>
    <r>
      <rPr>
        <sz val="10"/>
        <color rgb="FF0969DA"/>
        <rFont val="Consolas"/>
        <family val="3"/>
      </rPr>
      <t>c</t>
    </r>
    <r>
      <rPr>
        <sz val="10"/>
        <color rgb="FF000000"/>
        <rFont val="Consolas"/>
        <family val="3"/>
      </rPr>
      <t>))),</t>
    </r>
  </si>
  <si>
    <r>
      <t xml:space="preserve">    </t>
    </r>
    <r>
      <rPr>
        <sz val="10"/>
        <color rgb="FF0969DA"/>
        <rFont val="Consolas"/>
        <family val="3"/>
      </rPr>
      <t>merit_arr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IF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mask_arr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get_merit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data</t>
    </r>
    <r>
      <rPr>
        <sz val="10"/>
        <color rgb="FF000000"/>
        <rFont val="Consolas"/>
        <family val="3"/>
      </rPr>
      <t xml:space="preserve">), </t>
    </r>
    <r>
      <rPr>
        <sz val="10"/>
        <color rgb="FF098658"/>
        <rFont val="Consolas"/>
        <family val="3"/>
      </rPr>
      <t>0</t>
    </r>
    <r>
      <rPr>
        <sz val="10"/>
        <color rgb="FF000000"/>
        <rFont val="Consolas"/>
        <family val="3"/>
      </rPr>
      <t>),</t>
    </r>
  </si>
  <si>
    <r>
      <t xml:space="preserve">    </t>
    </r>
    <r>
      <rPr>
        <sz val="10"/>
        <color rgb="FF0969DA"/>
        <rFont val="Consolas"/>
        <family val="3"/>
      </rPr>
      <t>blk_lbls</t>
    </r>
    <r>
      <rPr>
        <sz val="10"/>
        <color rgb="FF000000"/>
        <rFont val="Consolas"/>
        <family val="3"/>
      </rPr>
      <t xml:space="preserve">, </t>
    </r>
    <r>
      <rPr>
        <sz val="10"/>
        <color rgb="FFC4432B"/>
        <rFont val="Consolas"/>
        <family val="3"/>
      </rPr>
      <t>LET</t>
    </r>
    <r>
      <rPr>
        <sz val="10"/>
        <color rgb="FF000000"/>
        <rFont val="Consolas"/>
        <family val="3"/>
      </rPr>
      <t>(</t>
    </r>
  </si>
  <si>
    <r>
      <t xml:space="preserve">        </t>
    </r>
    <r>
      <rPr>
        <sz val="10"/>
        <color rgb="FF0969DA"/>
        <rFont val="Consolas"/>
        <family val="3"/>
      </rPr>
      <t>is_txt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ISTEXT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merit_arr</t>
    </r>
    <r>
      <rPr>
        <sz val="10"/>
        <color rgb="FF000000"/>
        <rFont val="Consolas"/>
        <family val="3"/>
      </rPr>
      <t>),</t>
    </r>
  </si>
  <si>
    <r>
      <t xml:space="preserve">        </t>
    </r>
    <r>
      <rPr>
        <sz val="10"/>
        <color rgb="FF0969DA"/>
        <rFont val="Consolas"/>
        <family val="3"/>
      </rPr>
      <t>txt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IF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is_txt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merit_arr</t>
    </r>
    <r>
      <rPr>
        <sz val="10"/>
        <color rgb="FF000000"/>
        <rFont val="Consolas"/>
        <family val="3"/>
      </rPr>
      <t xml:space="preserve">, </t>
    </r>
    <r>
      <rPr>
        <sz val="10"/>
        <color rgb="FFA31515"/>
        <rFont val="Consolas"/>
        <family val="3"/>
      </rPr>
      <t>""</t>
    </r>
    <r>
      <rPr>
        <sz val="10"/>
        <color rgb="FF000000"/>
        <rFont val="Consolas"/>
        <family val="3"/>
      </rPr>
      <t>),</t>
    </r>
  </si>
  <si>
    <r>
      <t xml:space="preserve">        </t>
    </r>
    <r>
      <rPr>
        <sz val="10"/>
        <color rgb="FF0969DA"/>
        <rFont val="Consolas"/>
        <family val="3"/>
      </rPr>
      <t>return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BYROW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txt</t>
    </r>
    <r>
      <rPr>
        <sz val="10"/>
        <color rgb="FF000000"/>
        <rFont val="Consolas"/>
        <family val="3"/>
      </rPr>
      <t xml:space="preserve">, </t>
    </r>
    <r>
      <rPr>
        <sz val="10"/>
        <color rgb="FFC4432B"/>
        <rFont val="Consolas"/>
        <family val="3"/>
      </rPr>
      <t>LAMBDA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r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TEXTJOIN</t>
    </r>
    <r>
      <rPr>
        <sz val="10"/>
        <color rgb="FF000000"/>
        <rFont val="Consolas"/>
        <family val="3"/>
      </rPr>
      <t>(</t>
    </r>
    <r>
      <rPr>
        <sz val="10"/>
        <color rgb="FFA31515"/>
        <rFont val="Consolas"/>
        <family val="3"/>
      </rPr>
      <t>", "</t>
    </r>
    <r>
      <rPr>
        <sz val="10"/>
        <color rgb="FF000000"/>
        <rFont val="Consolas"/>
        <family val="3"/>
      </rPr>
      <t xml:space="preserve">, </t>
    </r>
    <r>
      <rPr>
        <sz val="10"/>
        <color rgb="FF0000FF"/>
        <rFont val="Consolas"/>
        <family val="3"/>
      </rPr>
      <t>TRUE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r</t>
    </r>
    <r>
      <rPr>
        <sz val="10"/>
        <color rgb="FF000000"/>
        <rFont val="Consolas"/>
        <family val="3"/>
      </rPr>
      <t>))),</t>
    </r>
  </si>
  <si>
    <r>
      <t xml:space="preserve">        </t>
    </r>
    <r>
      <rPr>
        <sz val="10"/>
        <color rgb="FF0969DA"/>
        <rFont val="Consolas"/>
        <family val="3"/>
      </rPr>
      <t>return</t>
    </r>
  </si>
  <si>
    <r>
      <t xml:space="preserve">    </t>
    </r>
    <r>
      <rPr>
        <sz val="10"/>
        <color rgb="FF0969DA"/>
        <rFont val="Consolas"/>
        <family val="3"/>
      </rPr>
      <t>merit_sum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BYROW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merit_arr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SUM</t>
    </r>
    <r>
      <rPr>
        <sz val="10"/>
        <color rgb="FF000000"/>
        <rFont val="Consolas"/>
        <family val="3"/>
      </rPr>
      <t>),</t>
    </r>
  </si>
  <si>
    <r>
      <t xml:space="preserve">    </t>
    </r>
    <r>
      <rPr>
        <sz val="10"/>
        <color rgb="FF0969DA"/>
        <rFont val="Consolas"/>
        <family val="3"/>
      </rPr>
      <t>msg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IF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merit_sum</t>
    </r>
    <r>
      <rPr>
        <sz val="10"/>
        <color rgb="FF000000"/>
        <rFont val="Consolas"/>
        <family val="3"/>
      </rPr>
      <t xml:space="preserve"> &lt; </t>
    </r>
    <r>
      <rPr>
        <sz val="10"/>
        <color rgb="FF0969DA"/>
        <rFont val="Consolas"/>
        <family val="3"/>
      </rPr>
      <t>max_demerits</t>
    </r>
    <r>
      <rPr>
        <sz val="10"/>
        <color rgb="FF000000"/>
        <rFont val="Consolas"/>
        <family val="3"/>
      </rPr>
      <t xml:space="preserve">, </t>
    </r>
    <r>
      <rPr>
        <sz val="10"/>
        <color rgb="FFA31515"/>
        <rFont val="Consolas"/>
        <family val="3"/>
      </rPr>
      <t>"Pass"</t>
    </r>
    <r>
      <rPr>
        <sz val="10"/>
        <color rgb="FF000000"/>
        <rFont val="Consolas"/>
        <family val="3"/>
      </rPr>
      <t xml:space="preserve">, </t>
    </r>
    <r>
      <rPr>
        <sz val="10"/>
        <color rgb="FFA31515"/>
        <rFont val="Consolas"/>
        <family val="3"/>
      </rPr>
      <t>"Discuss"</t>
    </r>
    <r>
      <rPr>
        <sz val="10"/>
        <color rgb="FF000000"/>
        <rFont val="Consolas"/>
        <family val="3"/>
      </rPr>
      <t>),</t>
    </r>
  </si>
  <si>
    <r>
      <t xml:space="preserve">    </t>
    </r>
    <r>
      <rPr>
        <sz val="10"/>
        <color rgb="FF0969DA"/>
        <rFont val="Consolas"/>
        <family val="3"/>
      </rPr>
      <t>msg_blks</t>
    </r>
    <r>
      <rPr>
        <sz val="10"/>
        <color rgb="FF000000"/>
        <rFont val="Consolas"/>
        <family val="3"/>
      </rPr>
      <t xml:space="preserve">, </t>
    </r>
    <r>
      <rPr>
        <sz val="10"/>
        <color rgb="FFA31515"/>
        <rFont val="Consolas"/>
        <family val="3"/>
      </rPr>
      <t>"["</t>
    </r>
    <r>
      <rPr>
        <sz val="10"/>
        <color rgb="FF000000"/>
        <rFont val="Consolas"/>
        <family val="3"/>
      </rPr>
      <t xml:space="preserve"> &amp; </t>
    </r>
    <r>
      <rPr>
        <sz val="10"/>
        <color rgb="FF0969DA"/>
        <rFont val="Consolas"/>
        <family val="3"/>
      </rPr>
      <t>merit_sum</t>
    </r>
    <r>
      <rPr>
        <sz val="10"/>
        <color rgb="FF000000"/>
        <rFont val="Consolas"/>
        <family val="3"/>
      </rPr>
      <t xml:space="preserve"> &amp; </t>
    </r>
    <r>
      <rPr>
        <sz val="10"/>
        <color rgb="FFA31515"/>
        <rFont val="Consolas"/>
        <family val="3"/>
      </rPr>
      <t>"] BLK: "</t>
    </r>
    <r>
      <rPr>
        <sz val="10"/>
        <color rgb="FF000000"/>
        <rFont val="Consolas"/>
        <family val="3"/>
      </rPr>
      <t xml:space="preserve"> &amp; </t>
    </r>
    <r>
      <rPr>
        <sz val="10"/>
        <color rgb="FF0969DA"/>
        <rFont val="Consolas"/>
        <family val="3"/>
      </rPr>
      <t>blk_lbls</t>
    </r>
    <r>
      <rPr>
        <sz val="10"/>
        <color rgb="FF000000"/>
        <rFont val="Consolas"/>
        <family val="3"/>
      </rPr>
      <t>,</t>
    </r>
  </si>
  <si>
    <r>
      <t xml:space="preserve">    </t>
    </r>
    <r>
      <rPr>
        <sz val="10"/>
        <color rgb="FF0969DA"/>
        <rFont val="Consolas"/>
        <family val="3"/>
      </rPr>
      <t>msg_out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IF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blk_lbls</t>
    </r>
    <r>
      <rPr>
        <sz val="10"/>
        <color rgb="FF000000"/>
        <rFont val="Consolas"/>
        <family val="3"/>
      </rPr>
      <t xml:space="preserve"> = </t>
    </r>
    <r>
      <rPr>
        <sz val="10"/>
        <color rgb="FFA31515"/>
        <rFont val="Consolas"/>
        <family val="3"/>
      </rPr>
      <t>""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msg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msg_blks</t>
    </r>
    <r>
      <rPr>
        <sz val="10"/>
        <color rgb="FF000000"/>
        <rFont val="Consolas"/>
        <family val="3"/>
      </rPr>
      <t>),</t>
    </r>
  </si>
  <si>
    <r>
      <t xml:space="preserve">    </t>
    </r>
    <r>
      <rPr>
        <sz val="10"/>
        <color rgb="FF0969DA"/>
        <rFont val="Consolas"/>
        <family val="3"/>
      </rPr>
      <t>return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IFS</t>
    </r>
    <r>
      <rPr>
        <sz val="10"/>
        <color rgb="FF000000"/>
        <rFont val="Consolas"/>
        <family val="3"/>
      </rPr>
      <t>(</t>
    </r>
  </si>
  <si>
    <r>
      <t xml:space="preserve">        </t>
    </r>
    <r>
      <rPr>
        <sz val="10"/>
        <color rgb="FF033D8B"/>
        <rFont val="Consolas"/>
        <family val="3"/>
      </rPr>
      <t>NOT</t>
    </r>
    <r>
      <rPr>
        <sz val="10"/>
        <color rgb="FF000000"/>
        <rFont val="Consolas"/>
        <family val="3"/>
      </rPr>
      <t>(</t>
    </r>
    <r>
      <rPr>
        <sz val="10"/>
        <color rgb="FF033D8B"/>
        <rFont val="Consolas"/>
        <family val="3"/>
      </rPr>
      <t>OR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method_mask</t>
    </r>
    <r>
      <rPr>
        <sz val="10"/>
        <color rgb="FF000000"/>
        <rFont val="Consolas"/>
        <family val="3"/>
      </rPr>
      <t>)),</t>
    </r>
  </si>
  <si>
    <r>
      <t xml:space="preserve">        </t>
    </r>
    <r>
      <rPr>
        <sz val="10"/>
        <color rgb="FFA31515"/>
        <rFont val="Consolas"/>
        <family val="3"/>
      </rPr>
      <t>"#MASK!"</t>
    </r>
    <r>
      <rPr>
        <sz val="10"/>
        <color rgb="FF000000"/>
        <rFont val="Consolas"/>
        <family val="3"/>
      </rPr>
      <t>,</t>
    </r>
  </si>
  <si>
    <r>
      <t xml:space="preserve">        </t>
    </r>
    <r>
      <rPr>
        <sz val="10"/>
        <color rgb="FF033D8B"/>
        <rFont val="Consolas"/>
        <family val="3"/>
      </rPr>
      <t>NOT</t>
    </r>
    <r>
      <rPr>
        <sz val="10"/>
        <color rgb="FF000000"/>
        <rFont val="Consolas"/>
        <family val="3"/>
      </rPr>
      <t>(</t>
    </r>
    <r>
      <rPr>
        <sz val="10"/>
        <color rgb="FF033D8B"/>
        <rFont val="Consolas"/>
        <family val="3"/>
      </rPr>
      <t>ISLOGICAL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db</t>
    </r>
    <r>
      <rPr>
        <sz val="10"/>
        <color rgb="FF000000"/>
        <rFont val="Consolas"/>
        <family val="3"/>
      </rPr>
      <t>)),</t>
    </r>
  </si>
  <si>
    <r>
      <t xml:space="preserve">        </t>
    </r>
    <r>
      <rPr>
        <sz val="10"/>
        <color rgb="FFA31515"/>
        <rFont val="Consolas"/>
        <family val="3"/>
      </rPr>
      <t>"#DEBUG!"</t>
    </r>
    <r>
      <rPr>
        <sz val="10"/>
        <color rgb="FF000000"/>
        <rFont val="Consolas"/>
        <family val="3"/>
      </rPr>
      <t>,</t>
    </r>
  </si>
  <si>
    <r>
      <t xml:space="preserve">        </t>
    </r>
    <r>
      <rPr>
        <sz val="10"/>
        <color rgb="FF0969DA"/>
        <rFont val="Consolas"/>
        <family val="3"/>
      </rPr>
      <t>db</t>
    </r>
    <r>
      <rPr>
        <sz val="10"/>
        <color rgb="FF000000"/>
        <rFont val="Consolas"/>
        <family val="3"/>
      </rPr>
      <t>,</t>
    </r>
  </si>
  <si>
    <r>
      <t xml:space="preserve">        </t>
    </r>
    <r>
      <rPr>
        <sz val="10"/>
        <color rgb="FF0969DA"/>
        <rFont val="Consolas"/>
        <family val="3"/>
      </rPr>
      <t>merit_arr</t>
    </r>
    <r>
      <rPr>
        <sz val="10"/>
        <color rgb="FF000000"/>
        <rFont val="Consolas"/>
        <family val="3"/>
      </rPr>
      <t>,</t>
    </r>
  </si>
  <si>
    <r>
      <t xml:space="preserve">        </t>
    </r>
    <r>
      <rPr>
        <sz val="10"/>
        <color rgb="FF0000FF"/>
        <rFont val="Consolas"/>
        <family val="3"/>
      </rPr>
      <t>TRUE</t>
    </r>
    <r>
      <rPr>
        <sz val="10"/>
        <color rgb="FF000000"/>
        <rFont val="Consolas"/>
        <family val="3"/>
      </rPr>
      <t>,</t>
    </r>
  </si>
  <si>
    <r>
      <t xml:space="preserve">        </t>
    </r>
    <r>
      <rPr>
        <sz val="10"/>
        <color rgb="FF0969DA"/>
        <rFont val="Consolas"/>
        <family val="3"/>
      </rPr>
      <t>msg_out</t>
    </r>
  </si>
  <si>
    <r>
      <t xml:space="preserve">    </t>
    </r>
    <r>
      <rPr>
        <sz val="10"/>
        <color rgb="FF0969DA"/>
        <rFont val="Consolas"/>
        <family val="3"/>
      </rPr>
      <t>return</t>
    </r>
  </si>
  <si>
    <t>Debug</t>
  </si>
  <si>
    <t>Conditional formatting?</t>
  </si>
  <si>
    <t>Add conditional formatting friendly output</t>
  </si>
  <si>
    <t>• Create second LAMBDA MERIT_SCORE (by cell calculation)</t>
  </si>
  <si>
    <t>• Use MERIT_SCORE for conditional formatting</t>
  </si>
  <si>
    <t>• Use MERIT_SCORE in MERIT_ASSESSEMENT to build array</t>
  </si>
  <si>
    <t>MERIT_ASSESSMENT</t>
  </si>
  <si>
    <t>MERIT_SCORE</t>
  </si>
  <si>
    <r>
      <t>=</t>
    </r>
    <r>
      <rPr>
        <sz val="10"/>
        <color rgb="FFC4432B"/>
        <rFont val="Consolas"/>
        <family val="3"/>
      </rPr>
      <t>LAMBDA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data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expected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headers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guideline_values</t>
    </r>
    <r>
      <rPr>
        <sz val="10"/>
        <rFont val="Consolas"/>
        <family val="3"/>
      </rPr>
      <t>,</t>
    </r>
    <r>
      <rPr>
        <sz val="10"/>
        <color rgb="FF0969DA"/>
        <rFont val="Consolas"/>
        <family val="3"/>
      </rPr>
      <t xml:space="preserve"> guideline_scores</t>
    </r>
    <r>
      <rPr>
        <sz val="10"/>
        <rFont val="Consolas"/>
        <family val="3"/>
      </rPr>
      <t>,</t>
    </r>
    <r>
      <rPr>
        <sz val="10"/>
        <color rgb="FF0969DA"/>
        <rFont val="Consolas"/>
        <family val="3"/>
      </rPr>
      <t xml:space="preserve"> max_demerits, method_mask, [debug]</t>
    </r>
  </si>
  <si>
    <r>
      <t xml:space="preserve">    </t>
    </r>
    <r>
      <rPr>
        <sz val="10"/>
        <color rgb="FF0969DA"/>
        <rFont val="Consolas"/>
        <family val="3"/>
      </rPr>
      <t>db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IF</t>
    </r>
    <r>
      <rPr>
        <sz val="10"/>
        <color rgb="FF000000"/>
        <rFont val="Consolas"/>
        <family val="3"/>
      </rPr>
      <t>(</t>
    </r>
    <r>
      <rPr>
        <sz val="10"/>
        <color rgb="FF033D8B"/>
        <rFont val="Consolas"/>
        <family val="3"/>
      </rPr>
      <t>OR</t>
    </r>
    <r>
      <rPr>
        <sz val="10"/>
        <color rgb="FF000000"/>
        <rFont val="Consolas"/>
        <family val="3"/>
      </rPr>
      <t>(</t>
    </r>
    <r>
      <rPr>
        <sz val="10"/>
        <color rgb="FF033D8B"/>
        <rFont val="Consolas"/>
        <family val="3"/>
      </rPr>
      <t>ISOMITTED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debug</t>
    </r>
    <r>
      <rPr>
        <sz val="10"/>
        <color rgb="FF000000"/>
        <rFont val="Consolas"/>
        <family val="3"/>
      </rPr>
      <t xml:space="preserve">), </t>
    </r>
    <r>
      <rPr>
        <sz val="10"/>
        <color rgb="FF033D8B"/>
        <rFont val="Consolas"/>
        <family val="3"/>
      </rPr>
      <t>ISBLANK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debug</t>
    </r>
    <r>
      <rPr>
        <sz val="10"/>
        <color rgb="FF000000"/>
        <rFont val="Consolas"/>
        <family val="3"/>
      </rPr>
      <t xml:space="preserve">)), </t>
    </r>
    <r>
      <rPr>
        <sz val="10"/>
        <color rgb="FF0000FF"/>
        <rFont val="Consolas"/>
        <family val="3"/>
      </rPr>
      <t>FALSE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debug</t>
    </r>
    <r>
      <rPr>
        <sz val="10"/>
        <color rgb="FF000000"/>
        <rFont val="Consolas"/>
        <family val="3"/>
      </rPr>
      <t>),</t>
    </r>
  </si>
  <si>
    <r>
      <t xml:space="preserve">                </t>
    </r>
    <r>
      <rPr>
        <sz val="10"/>
        <color rgb="FF8250DF"/>
        <rFont val="Consolas"/>
        <family val="3"/>
      </rPr>
      <t>MERIT_SCORE</t>
    </r>
    <r>
      <rPr>
        <sz val="10"/>
        <color rgb="FF000000"/>
        <rFont val="Consolas"/>
        <family val="3"/>
      </rPr>
      <t>(</t>
    </r>
  </si>
  <si>
    <r>
      <t xml:space="preserve">                    </t>
    </r>
    <r>
      <rPr>
        <sz val="10"/>
        <color rgb="FF033D8B"/>
        <rFont val="Consolas"/>
        <family val="3"/>
      </rPr>
      <t>INDEX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data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r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c</t>
    </r>
    <r>
      <rPr>
        <sz val="10"/>
        <color rgb="FF000000"/>
        <rFont val="Consolas"/>
        <family val="3"/>
      </rPr>
      <t>),</t>
    </r>
  </si>
  <si>
    <r>
      <t xml:space="preserve">                    </t>
    </r>
    <r>
      <rPr>
        <sz val="10"/>
        <color rgb="FF033D8B"/>
        <rFont val="Consolas"/>
        <family val="3"/>
      </rPr>
      <t>INDEX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expected</t>
    </r>
    <r>
      <rPr>
        <sz val="10"/>
        <color rgb="FF000000"/>
        <rFont val="Consolas"/>
        <family val="3"/>
      </rPr>
      <t xml:space="preserve">, , </t>
    </r>
    <r>
      <rPr>
        <sz val="10"/>
        <color rgb="FF0969DA"/>
        <rFont val="Consolas"/>
        <family val="3"/>
      </rPr>
      <t>c</t>
    </r>
    <r>
      <rPr>
        <sz val="10"/>
        <color rgb="FF000000"/>
        <rFont val="Consolas"/>
        <family val="3"/>
      </rPr>
      <t>),</t>
    </r>
  </si>
  <si>
    <r>
      <t xml:space="preserve">                    </t>
    </r>
    <r>
      <rPr>
        <sz val="10"/>
        <color rgb="FF033D8B"/>
        <rFont val="Consolas"/>
        <family val="3"/>
      </rPr>
      <t>INDEX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headers</t>
    </r>
    <r>
      <rPr>
        <sz val="10"/>
        <color rgb="FF000000"/>
        <rFont val="Consolas"/>
        <family val="3"/>
      </rPr>
      <t xml:space="preserve">, , </t>
    </r>
    <r>
      <rPr>
        <sz val="10"/>
        <color rgb="FF0969DA"/>
        <rFont val="Consolas"/>
        <family val="3"/>
      </rPr>
      <t>c</t>
    </r>
    <r>
      <rPr>
        <sz val="10"/>
        <color rgb="FF000000"/>
        <rFont val="Consolas"/>
        <family val="3"/>
      </rPr>
      <t>),</t>
    </r>
  </si>
  <si>
    <r>
      <t xml:space="preserve">                    </t>
    </r>
    <r>
      <rPr>
        <sz val="10"/>
        <color rgb="FF033D8B"/>
        <rFont val="Consolas"/>
        <family val="3"/>
      </rPr>
      <t>INDEX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guideline_values</t>
    </r>
    <r>
      <rPr>
        <sz val="10"/>
        <color rgb="FF000000"/>
        <rFont val="Consolas"/>
        <family val="3"/>
      </rPr>
      <t xml:space="preserve">, , </t>
    </r>
    <r>
      <rPr>
        <sz val="10"/>
        <color rgb="FF0969DA"/>
        <rFont val="Consolas"/>
        <family val="3"/>
      </rPr>
      <t>c</t>
    </r>
    <r>
      <rPr>
        <sz val="10"/>
        <color rgb="FF000000"/>
        <rFont val="Consolas"/>
        <family val="3"/>
      </rPr>
      <t>),</t>
    </r>
  </si>
  <si>
    <r>
      <t xml:space="preserve">                    </t>
    </r>
    <r>
      <rPr>
        <sz val="10"/>
        <color rgb="FF0969DA"/>
        <rFont val="Consolas"/>
        <family val="3"/>
      </rPr>
      <t>guideline_scores</t>
    </r>
  </si>
  <si>
    <r>
      <t>=</t>
    </r>
    <r>
      <rPr>
        <sz val="10"/>
        <color rgb="FFC4432B"/>
        <rFont val="Consolas"/>
        <family val="3"/>
      </rPr>
      <t>LAMBDA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val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exp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hdr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g_val</t>
    </r>
    <r>
      <rPr>
        <sz val="10"/>
        <rFont val="Consolas"/>
        <family val="3"/>
      </rPr>
      <t>,</t>
    </r>
    <r>
      <rPr>
        <sz val="10"/>
        <color rgb="FF0969DA"/>
        <rFont val="Consolas"/>
        <family val="3"/>
      </rPr>
      <t xml:space="preserve"> g_scr</t>
    </r>
    <r>
      <rPr>
        <sz val="10"/>
        <color rgb="FF000000"/>
        <rFont val="Consolas"/>
        <family val="3"/>
      </rPr>
      <t>,</t>
    </r>
  </si>
  <si>
    <r>
      <rPr>
        <sz val="10"/>
        <color rgb="FFC4432B"/>
        <rFont val="Consolas"/>
        <family val="3"/>
      </rPr>
      <t>LET</t>
    </r>
    <r>
      <rPr>
        <sz val="10"/>
        <color rgb="FF000000"/>
        <rFont val="Consolas"/>
        <family val="3"/>
      </rPr>
      <t>(</t>
    </r>
  </si>
  <si>
    <r>
      <t xml:space="preserve">    </t>
    </r>
    <r>
      <rPr>
        <sz val="10"/>
        <color rgb="FF0969DA"/>
        <rFont val="Consolas"/>
        <family val="3"/>
      </rPr>
      <t>diff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ABS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val</t>
    </r>
    <r>
      <rPr>
        <sz val="10"/>
        <color rgb="FF000000"/>
        <rFont val="Consolas"/>
        <family val="3"/>
      </rPr>
      <t xml:space="preserve"> - </t>
    </r>
    <r>
      <rPr>
        <sz val="10"/>
        <color rgb="FF0969DA"/>
        <rFont val="Consolas"/>
        <family val="3"/>
      </rPr>
      <t>exp</t>
    </r>
    <r>
      <rPr>
        <sz val="10"/>
        <color rgb="FF000000"/>
        <rFont val="Consolas"/>
        <family val="3"/>
      </rPr>
      <t>),</t>
    </r>
  </si>
  <si>
    <r>
      <t xml:space="preserve">    </t>
    </r>
    <r>
      <rPr>
        <sz val="10"/>
        <color rgb="FF0969DA"/>
        <rFont val="Consolas"/>
        <family val="3"/>
      </rPr>
      <t>score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XLOOKUP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diff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g_val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g_scr</t>
    </r>
    <r>
      <rPr>
        <sz val="10"/>
        <color rgb="FF000000"/>
        <rFont val="Consolas"/>
        <family val="3"/>
      </rPr>
      <t xml:space="preserve">, </t>
    </r>
    <r>
      <rPr>
        <sz val="10"/>
        <color rgb="FF098658"/>
        <rFont val="Consolas"/>
        <family val="3"/>
      </rPr>
      <t>0</t>
    </r>
    <r>
      <rPr>
        <sz val="10"/>
        <color rgb="FF000000"/>
        <rFont val="Consolas"/>
        <family val="3"/>
      </rPr>
      <t xml:space="preserve">, </t>
    </r>
    <r>
      <rPr>
        <sz val="10"/>
        <color rgb="FF098658"/>
        <rFont val="Consolas"/>
        <family val="3"/>
      </rPr>
      <t>-1</t>
    </r>
    <r>
      <rPr>
        <sz val="10"/>
        <color rgb="FF000000"/>
        <rFont val="Consolas"/>
        <family val="3"/>
      </rPr>
      <t>),</t>
    </r>
  </si>
  <si>
    <r>
      <t xml:space="preserve">    </t>
    </r>
    <r>
      <rPr>
        <sz val="10"/>
        <color rgb="FF0969DA"/>
        <rFont val="Consolas"/>
        <family val="3"/>
      </rPr>
      <t>return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IF</t>
    </r>
    <r>
      <rPr>
        <sz val="10"/>
        <color rgb="FF000000"/>
        <rFont val="Consolas"/>
        <family val="3"/>
      </rPr>
      <t>(</t>
    </r>
    <r>
      <rPr>
        <sz val="10"/>
        <color rgb="FF033D8B"/>
        <rFont val="Consolas"/>
        <family val="3"/>
      </rPr>
      <t>ISBLANK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val</t>
    </r>
    <r>
      <rPr>
        <sz val="10"/>
        <color rgb="FF000000"/>
        <rFont val="Consolas"/>
        <family val="3"/>
      </rPr>
      <t xml:space="preserve">), </t>
    </r>
    <r>
      <rPr>
        <sz val="10"/>
        <color rgb="FF0969DA"/>
        <rFont val="Consolas"/>
        <family val="3"/>
      </rPr>
      <t>hdr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score</t>
    </r>
    <r>
      <rPr>
        <sz val="10"/>
        <color rgb="FF000000"/>
        <rFont val="Consolas"/>
        <family val="3"/>
      </rPr>
      <t>),</t>
    </r>
  </si>
  <si>
    <t>MERIT_ASSESSMENT_ARRAY</t>
  </si>
  <si>
    <r>
      <t xml:space="preserve">    </t>
    </r>
    <r>
      <rPr>
        <sz val="10"/>
        <color rgb="FF0969DA"/>
        <rFont val="Consolas"/>
        <family val="3"/>
      </rPr>
      <t>max_demerit</t>
    </r>
    <r>
      <rPr>
        <sz val="10"/>
        <color rgb="FF000000"/>
        <rFont val="Consolas"/>
        <family val="3"/>
      </rPr>
      <t>, $M$383,</t>
    </r>
  </si>
  <si>
    <r>
      <t xml:space="preserve">    </t>
    </r>
    <r>
      <rPr>
        <sz val="10"/>
        <color rgb="FF0969DA"/>
        <rFont val="Consolas"/>
        <family val="3"/>
      </rPr>
      <t>value</t>
    </r>
    <r>
      <rPr>
        <sz val="10"/>
        <color rgb="FF000000"/>
        <rFont val="Consolas"/>
        <family val="3"/>
      </rPr>
      <t>, C389,</t>
    </r>
  </si>
  <si>
    <r>
      <t xml:space="preserve">    </t>
    </r>
    <r>
      <rPr>
        <sz val="10"/>
        <color rgb="FF0969DA"/>
        <rFont val="Consolas"/>
        <family val="3"/>
      </rPr>
      <t>expected</t>
    </r>
    <r>
      <rPr>
        <sz val="10"/>
        <color rgb="FF000000"/>
        <rFont val="Consolas"/>
        <family val="3"/>
      </rPr>
      <t>, C$379,</t>
    </r>
  </si>
  <si>
    <r>
      <t xml:space="preserve">    </t>
    </r>
    <r>
      <rPr>
        <sz val="10"/>
        <color rgb="FF0969DA"/>
        <rFont val="Consolas"/>
        <family val="3"/>
      </rPr>
      <t>header</t>
    </r>
    <r>
      <rPr>
        <sz val="10"/>
        <color rgb="FF000000"/>
        <rFont val="Consolas"/>
        <family val="3"/>
      </rPr>
      <t>, C$388,</t>
    </r>
  </si>
  <si>
    <r>
      <t xml:space="preserve">    </t>
    </r>
    <r>
      <rPr>
        <sz val="10"/>
        <color rgb="FF0969DA"/>
        <rFont val="Consolas"/>
        <family val="3"/>
      </rPr>
      <t>guide_value</t>
    </r>
    <r>
      <rPr>
        <sz val="10"/>
        <color rgb="FF000000"/>
        <rFont val="Consolas"/>
        <family val="3"/>
      </rPr>
      <t>, C$382:C$383,</t>
    </r>
  </si>
  <si>
    <r>
      <t xml:space="preserve">    </t>
    </r>
    <r>
      <rPr>
        <sz val="10"/>
        <color rgb="FF0969DA"/>
        <rFont val="Consolas"/>
        <family val="3"/>
      </rPr>
      <t>guide_score</t>
    </r>
    <r>
      <rPr>
        <sz val="10"/>
        <color rgb="FF000000"/>
        <rFont val="Consolas"/>
        <family val="3"/>
      </rPr>
      <t>, $M$382:$M$383,</t>
    </r>
  </si>
  <si>
    <r>
      <t xml:space="preserve">    </t>
    </r>
    <r>
      <rPr>
        <sz val="10"/>
        <color rgb="FF0969DA"/>
        <rFont val="Consolas"/>
        <family val="3"/>
      </rPr>
      <t>mask</t>
    </r>
    <r>
      <rPr>
        <sz val="10"/>
        <color rgb="FF000000"/>
        <rFont val="Consolas"/>
        <family val="3"/>
      </rPr>
      <t>, C$386,</t>
    </r>
  </si>
  <si>
    <r>
      <t xml:space="preserve">    </t>
    </r>
    <r>
      <rPr>
        <sz val="10"/>
        <color rgb="FF0969DA"/>
        <rFont val="Consolas"/>
        <family val="3"/>
      </rPr>
      <t>merit</t>
    </r>
    <r>
      <rPr>
        <sz val="10"/>
        <color rgb="FF000000"/>
        <rFont val="Consolas"/>
        <family val="3"/>
      </rPr>
      <t xml:space="preserve">, </t>
    </r>
    <r>
      <rPr>
        <sz val="10"/>
        <color rgb="FF8250DF"/>
        <rFont val="Consolas"/>
        <family val="3"/>
      </rPr>
      <t>MERIT_SCORE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value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expected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header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guide_value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guide_score</t>
    </r>
    <r>
      <rPr>
        <sz val="10"/>
        <color rgb="FF000000"/>
        <rFont val="Consolas"/>
        <family val="3"/>
      </rPr>
      <t>),</t>
    </r>
  </si>
  <si>
    <r>
      <t xml:space="preserve">    </t>
    </r>
    <r>
      <rPr>
        <sz val="10"/>
        <color rgb="FF0969DA"/>
        <rFont val="Consolas"/>
        <family val="3"/>
      </rPr>
      <t>is_num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ISNUMBER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merit</t>
    </r>
    <r>
      <rPr>
        <sz val="10"/>
        <color rgb="FF000000"/>
        <rFont val="Consolas"/>
        <family val="3"/>
      </rPr>
      <t>),</t>
    </r>
  </si>
  <si>
    <r>
      <t xml:space="preserve">    </t>
    </r>
    <r>
      <rPr>
        <sz val="10"/>
        <color rgb="FF0969DA"/>
        <rFont val="Consolas"/>
        <family val="3"/>
      </rPr>
      <t>return</t>
    </r>
    <r>
      <rPr>
        <sz val="10"/>
        <color rgb="FF000000"/>
        <rFont val="Consolas"/>
        <family val="3"/>
      </rPr>
      <t xml:space="preserve">, </t>
    </r>
    <r>
      <rPr>
        <sz val="10"/>
        <color rgb="FF033D8B"/>
        <rFont val="Consolas"/>
        <family val="3"/>
      </rPr>
      <t>AND</t>
    </r>
    <r>
      <rPr>
        <sz val="10"/>
        <color rgb="FF000000"/>
        <rFont val="Consolas"/>
        <family val="3"/>
      </rPr>
      <t>(</t>
    </r>
    <r>
      <rPr>
        <sz val="10"/>
        <color rgb="FF0969DA"/>
        <rFont val="Consolas"/>
        <family val="3"/>
      </rPr>
      <t>mask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is_num</t>
    </r>
    <r>
      <rPr>
        <sz val="10"/>
        <color rgb="FF000000"/>
        <rFont val="Consolas"/>
        <family val="3"/>
      </rPr>
      <t xml:space="preserve">, </t>
    </r>
    <r>
      <rPr>
        <sz val="10"/>
        <color rgb="FF0969DA"/>
        <rFont val="Consolas"/>
        <family val="3"/>
      </rPr>
      <t>merit</t>
    </r>
    <r>
      <rPr>
        <sz val="10"/>
        <color rgb="FF000000"/>
        <rFont val="Consolas"/>
        <family val="3"/>
      </rPr>
      <t xml:space="preserve"> &gt;= </t>
    </r>
    <r>
      <rPr>
        <sz val="10"/>
        <color rgb="FF0969DA"/>
        <rFont val="Consolas"/>
        <family val="3"/>
      </rPr>
      <t>max_demerit</t>
    </r>
    <r>
      <rPr>
        <sz val="10"/>
        <color rgb="FF000000"/>
        <rFont val="Consolas"/>
        <family val="3"/>
      </rPr>
      <t>),</t>
    </r>
  </si>
  <si>
    <t>Without Outer LAMBDA or LET</t>
  </si>
  <si>
    <t>• Minimize/remove helper formulas</t>
  </si>
  <si>
    <t>What is Margin of Error?</t>
  </si>
  <si>
    <t>MOE Formula</t>
  </si>
  <si>
    <t>MOE = margin of error</t>
  </si>
  <si>
    <t>MOE</t>
  </si>
  <si>
    <t>CI</t>
  </si>
  <si>
    <r>
      <t>MOE = t</t>
    </r>
    <r>
      <rPr>
        <b/>
        <vertAlign val="subscript"/>
        <sz val="28"/>
        <color theme="1" tint="0.34998626667073579"/>
        <rFont val="Consolas"/>
        <family val="3"/>
      </rPr>
      <t>α/2, n-1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</si>
  <si>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>t</t>
    </r>
    <r>
      <rPr>
        <vertAlign val="subscript"/>
        <sz val="14"/>
        <color theme="1" tint="0.34998626667073579"/>
        <rFont val="Consolas"/>
        <family val="3"/>
      </rPr>
      <t>α/2, n-1</t>
    </r>
    <r>
      <rPr>
        <sz val="14"/>
        <color theme="1" tint="0.34998626667073579"/>
        <rFont val="Consolas"/>
        <family val="3"/>
      </rPr>
      <t xml:space="preserve"> = t critical value</t>
    </r>
  </si>
  <si>
    <t xml:space="preserve">of uncertainty that tells you how much a </t>
  </si>
  <si>
    <t xml:space="preserve">true population value, given a chosen </t>
  </si>
  <si>
    <t>confidence level.</t>
  </si>
  <si>
    <t>DILUTIONEQ_V2</t>
  </si>
  <si>
    <r>
      <t xml:space="preserve">    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, $A$140:$A$159,</t>
    </r>
  </si>
  <si>
    <r>
      <t xml:space="preserve">    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>, D141:E143,</t>
    </r>
  </si>
  <si>
    <r>
      <t xml:space="preserve">    </t>
    </r>
    <r>
      <rPr>
        <sz val="11"/>
        <color rgb="FF0969DA"/>
        <rFont val="Consolas"/>
        <family val="3"/>
      </rPr>
      <t>z</t>
    </r>
    <r>
      <rPr>
        <sz val="11"/>
        <color rgb="FF000000"/>
        <rFont val="Consolas"/>
        <family val="3"/>
      </rPr>
      <t xml:space="preserve">, </t>
    </r>
    <r>
      <rPr>
        <sz val="11"/>
        <color rgb="FF8250DF"/>
        <rFont val="Consolas"/>
        <family val="3"/>
      </rPr>
      <t>ZSCORE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</si>
  <si>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lbl</t>
    </r>
    <r>
      <rPr>
        <sz val="11"/>
        <color rgb="FF000000"/>
        <rFont val="Consolas"/>
        <family val="3"/>
      </rPr>
      <t>,</t>
    </r>
  </si>
  <si>
    <t>Accouting for Multiple Cells and External References</t>
  </si>
  <si>
    <t>Create a warnings column that returns a message for each record</t>
  </si>
  <si>
    <t>Rules Table</t>
  </si>
  <si>
    <t>Std (±)</t>
  </si>
  <si>
    <t>Dataset</t>
  </si>
  <si>
    <t>Revision 2 [Advnaced+]: Dynamic Arrays and Re-Usable LAMBDA</t>
  </si>
  <si>
    <t>Revision 1 [Moderate]: Add Variables and Helper LAMBDA</t>
  </si>
  <si>
    <t>Revision 3 [Advanced++]: Mask, Debug, Conditional Formatting (Second LAMBDA)</t>
  </si>
  <si>
    <t>• What if debug is not T/F (input error)?</t>
  </si>
  <si>
    <t>Conditional Formatting Rule Example</t>
  </si>
  <si>
    <t>Range [Easy]</t>
  </si>
  <si>
    <t>Interquartile Range [Easy]</t>
  </si>
  <si>
    <t>Standard Error of Mean [Easy]</t>
  </si>
  <si>
    <t>Calculate Z-Score of Each Record in Dataset [East - Moderate]</t>
  </si>
  <si>
    <t>Create Warning Column for Dataset Based on Rules [Advanced]</t>
  </si>
  <si>
    <t>Dilution Equation: Solve for the Unknown [Moderate - Advanced]</t>
  </si>
  <si>
    <t>Table of Descriptive Statistics [Advanced+]</t>
  </si>
  <si>
    <r>
      <t xml:space="preserve">Use the </t>
    </r>
    <r>
      <rPr>
        <b/>
        <sz val="11"/>
        <color theme="1" tint="0.34998626667073579"/>
        <rFont val="Consolas"/>
        <family val="3"/>
      </rPr>
      <t>Rules Table</t>
    </r>
    <r>
      <rPr>
        <sz val="11"/>
        <color theme="1" tint="0.34998626667073579"/>
        <rFont val="Consolas"/>
        <family val="3"/>
      </rPr>
      <t xml:space="preserve"> to determine the appropriate message to return:</t>
    </r>
  </si>
  <si>
    <r>
      <t xml:space="preserve">• Then return the message in the </t>
    </r>
    <r>
      <rPr>
        <b/>
        <sz val="11"/>
        <color theme="1" tint="0.34998626667073579"/>
        <rFont val="Consolas"/>
        <family val="3"/>
      </rPr>
      <t>Label</t>
    </r>
    <r>
      <rPr>
        <sz val="11"/>
        <color theme="1" tint="0.34998626667073579"/>
        <rFont val="Consolas"/>
        <family val="3"/>
      </rPr>
      <t xml:space="preserve"> column</t>
    </r>
  </si>
  <si>
    <r>
      <t xml:space="preserve">• If the absolute value of the z-score of a record is &gt;= the value in the </t>
    </r>
    <r>
      <rPr>
        <b/>
        <sz val="11"/>
        <color theme="1" tint="0.34998626667073579"/>
        <rFont val="Consolas"/>
        <family val="3"/>
      </rPr>
      <t>Std (±)</t>
    </r>
    <r>
      <rPr>
        <sz val="11"/>
        <color theme="1" tint="0.34998626667073579"/>
        <rFont val="Consolas"/>
        <family val="3"/>
      </rPr>
      <t xml:space="preserve"> column, </t>
    </r>
  </si>
  <si>
    <t>Original Status Formula [Easy - Moderate]</t>
  </si>
  <si>
    <t>LET's Make This Formula Better [Easy - Advanced++]</t>
  </si>
  <si>
    <t>Margin of Error [Easy]</t>
  </si>
  <si>
    <t>Table of Descriptive Statistics [Moderate - Advanced+]</t>
  </si>
  <si>
    <t>Relative Standard Deviation [Easy]</t>
  </si>
  <si>
    <t>IQR [Easy]</t>
  </si>
  <si>
    <t>SEM [Easy]</t>
  </si>
  <si>
    <t>MOE [Easy]</t>
  </si>
  <si>
    <t>RSD (w/ Optional Parameter) [Easy - Moderare]</t>
  </si>
  <si>
    <t>Dilution Equation: Solve for the Unknown (All Optional Parameter LAMBDA) [Moderate - Advanced]</t>
  </si>
  <si>
    <t>Relative Standard Deviation (With Optional Parameter LAMBDA) [Easy - Moderare]</t>
  </si>
  <si>
    <t>Dataset (Updated with Mask Row)</t>
  </si>
  <si>
    <t xml:space="preserve">A t-based margin of error is a measure </t>
  </si>
  <si>
    <t xml:space="preserve">sample estimate is expected to differ from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</si>
</sst>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02">
    <font>
      <sz val="11"/>
      <color theme="1"/>
      <name val="Aptos"/>
      <family val="2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  <font>
      <sz val="12"/>
      <color theme="1"/>
      <name val="Consolas"/>
      <family val="3"/>
    </font>
    <font>
      <sz val="14"/>
      <color theme="1"/>
      <name val="Consolas"/>
      <family val="3"/>
    </font>
    <font>
      <sz val="36"/>
      <color theme="1"/>
      <name val="Consolas"/>
      <family val="3"/>
    </font>
    <font>
      <b/>
      <sz val="12"/>
      <color theme="1"/>
      <name val="Consolas"/>
      <family val="3"/>
    </font>
    <font>
      <b/>
      <sz val="14"/>
      <color theme="1"/>
      <name val="Consolas"/>
      <family val="3"/>
    </font>
    <font>
      <sz val="12"/>
      <color rgb="FF212529"/>
      <name val="Segoe UI"/>
      <family val="2"/>
    </font>
    <font>
      <sz val="14"/>
      <color theme="1"/>
      <name val="Segoe UI"/>
      <family val="2"/>
    </font>
    <font>
      <b/>
      <sz val="16"/>
      <color theme="1"/>
      <name val="Segoe UI"/>
      <family val="2"/>
    </font>
    <font>
      <sz val="22"/>
      <color theme="9"/>
      <name val="Consolas"/>
      <family val="3"/>
    </font>
    <font>
      <sz val="22"/>
      <color theme="7"/>
      <name val="Consolas"/>
      <family val="3"/>
    </font>
    <font>
      <sz val="22"/>
      <color theme="8"/>
      <name val="Consolas"/>
      <family val="3"/>
    </font>
    <font>
      <b/>
      <sz val="14"/>
      <color theme="1"/>
      <name val="Segoe UI"/>
      <family val="2"/>
    </font>
    <font>
      <b/>
      <sz val="48"/>
      <color rgb="FF0070C0"/>
      <name val="Segoe UI"/>
      <family val="2"/>
    </font>
    <font>
      <b/>
      <sz val="14"/>
      <color rgb="FF0070C0"/>
      <name val="Segoe UI"/>
      <family val="2"/>
    </font>
    <font>
      <b/>
      <u/>
      <sz val="18"/>
      <color rgb="FF0070C0"/>
      <name val="Segoe UI"/>
      <family val="2"/>
    </font>
    <font>
      <sz val="14"/>
      <name val="Consolas"/>
      <family val="3"/>
    </font>
    <font>
      <i/>
      <sz val="11"/>
      <color theme="8"/>
      <name val="Consolas"/>
      <family val="3"/>
    </font>
    <font>
      <b/>
      <sz val="12"/>
      <color theme="8"/>
      <name val="Consolas"/>
      <family val="3"/>
    </font>
    <font>
      <i/>
      <sz val="11"/>
      <color theme="9"/>
      <name val="Consolas"/>
      <family val="3"/>
    </font>
    <font>
      <b/>
      <sz val="12"/>
      <color theme="9"/>
      <name val="Consolas"/>
      <family val="3"/>
    </font>
    <font>
      <i/>
      <sz val="11"/>
      <color theme="5"/>
      <name val="Consolas"/>
      <family val="3"/>
    </font>
    <font>
      <b/>
      <i/>
      <sz val="11"/>
      <color theme="5"/>
      <name val="Consolas"/>
      <family val="3"/>
    </font>
    <font>
      <sz val="12"/>
      <color theme="8"/>
      <name val="Consolas"/>
      <family val="3"/>
    </font>
    <font>
      <b/>
      <sz val="14"/>
      <color theme="1" tint="0.34998626667073579"/>
      <name val="Consolas"/>
      <family val="3"/>
    </font>
    <font>
      <b/>
      <sz val="28"/>
      <color theme="1" tint="0.34998626667073579"/>
      <name val="Consolas"/>
      <family val="3"/>
    </font>
    <font>
      <sz val="14"/>
      <color theme="1" tint="0.34998626667073579"/>
      <name val="Consolas"/>
      <family val="3"/>
    </font>
    <font>
      <b/>
      <sz val="13"/>
      <color theme="1" tint="0.34998626667073579"/>
      <name val="Consolas"/>
      <family val="3"/>
    </font>
    <font>
      <sz val="11"/>
      <color theme="1" tint="0.34998626667073579"/>
      <name val="Consolas"/>
      <family val="3"/>
    </font>
    <font>
      <b/>
      <sz val="24"/>
      <color theme="1" tint="0.34998626667073579"/>
      <name val="Consolas"/>
      <family val="3"/>
    </font>
    <font>
      <b/>
      <vertAlign val="subscript"/>
      <sz val="28"/>
      <color theme="1" tint="0.34998626667073579"/>
      <name val="Consolas"/>
      <family val="3"/>
    </font>
    <font>
      <b/>
      <vertAlign val="subscript"/>
      <sz val="14"/>
      <color theme="1" tint="0.34998626667073579"/>
      <name val="Consolas"/>
      <family val="3"/>
    </font>
    <font>
      <i/>
      <sz val="11"/>
      <color theme="7"/>
      <name val="Consolas"/>
      <family val="3"/>
    </font>
    <font>
      <b/>
      <sz val="12"/>
      <color theme="7"/>
      <name val="Consolas"/>
      <family val="3"/>
    </font>
    <font>
      <sz val="14"/>
      <color theme="7"/>
      <name val="Consolas"/>
      <family val="3"/>
    </font>
    <font>
      <sz val="14"/>
      <color rgb="FFC00000"/>
      <name val="Consolas"/>
      <family val="3"/>
    </font>
    <font>
      <sz val="14"/>
      <color rgb="FFC00000"/>
      <name val="Segoe UI"/>
      <family val="2"/>
    </font>
    <font>
      <sz val="14"/>
      <name val="Segoe UI"/>
      <family val="2"/>
    </font>
    <font>
      <sz val="14"/>
      <color theme="8"/>
      <name val="Segoe UI"/>
      <family val="2"/>
    </font>
    <font>
      <sz val="11"/>
      <color theme="1"/>
      <name val="Segoe UI"/>
      <family val="2"/>
    </font>
    <font>
      <b/>
      <u/>
      <sz val="11"/>
      <color rgb="FF0070C0"/>
      <name val="Segoe UI"/>
      <family val="2"/>
    </font>
    <font>
      <sz val="28"/>
      <color theme="1"/>
      <name val="Consolas"/>
      <family val="3"/>
    </font>
    <font>
      <sz val="28"/>
      <color theme="9"/>
      <name val="Consolas"/>
      <family val="3"/>
    </font>
    <font>
      <sz val="28"/>
      <color theme="8"/>
      <name val="Consolas"/>
      <family val="3"/>
    </font>
    <font>
      <sz val="28"/>
      <color theme="7"/>
      <name val="Consolas"/>
      <family val="3"/>
    </font>
    <font>
      <sz val="28"/>
      <name val="Consolas"/>
      <family val="3"/>
    </font>
    <font>
      <sz val="16"/>
      <name val="Consolas"/>
      <family val="3"/>
    </font>
    <font>
      <sz val="16"/>
      <color theme="5"/>
      <name val="Consolas"/>
      <family val="3"/>
    </font>
    <font>
      <sz val="16"/>
      <color theme="9"/>
      <name val="Consolas"/>
      <family val="3"/>
    </font>
    <font>
      <sz val="16"/>
      <color theme="8"/>
      <name val="Consolas"/>
      <family val="3"/>
    </font>
    <font>
      <sz val="16"/>
      <color theme="1"/>
      <name val="Consolas"/>
      <family val="3"/>
    </font>
    <font>
      <sz val="16"/>
      <color theme="7"/>
      <name val="Consolas"/>
      <family val="3"/>
    </font>
    <font>
      <b/>
      <sz val="14"/>
      <name val="Segoe UI"/>
      <family val="2"/>
    </font>
    <font>
      <b/>
      <sz val="11"/>
      <color theme="1"/>
      <name val="Segoe UI"/>
      <family val="2"/>
    </font>
    <font>
      <i/>
      <sz val="14"/>
      <color theme="1"/>
      <name val="Segoe UI"/>
      <family val="2"/>
    </font>
    <font>
      <sz val="16"/>
      <color rgb="FFC00000"/>
      <name val="Consolas"/>
      <family val="3"/>
    </font>
    <font>
      <i/>
      <sz val="11"/>
      <color rgb="FFC00000"/>
      <name val="Consolas"/>
      <family val="3"/>
    </font>
    <font>
      <b/>
      <sz val="12"/>
      <color theme="5"/>
      <name val="Consolas"/>
      <family val="3"/>
    </font>
    <font>
      <u/>
      <sz val="14"/>
      <color theme="10"/>
      <name val="Segoe UI"/>
      <family val="2"/>
    </font>
    <font>
      <sz val="12"/>
      <color theme="1"/>
      <name val="Segoe UI"/>
      <family val="2"/>
    </font>
    <font>
      <sz val="11"/>
      <color rgb="FF000000"/>
      <name val="Consolas"/>
      <family val="3"/>
    </font>
    <font>
      <sz val="11"/>
      <color rgb="FF0969DA"/>
      <name val="Consolas"/>
      <family val="3"/>
    </font>
    <font>
      <sz val="11"/>
      <color rgb="FFC4432B"/>
      <name val="Consolas"/>
      <family val="3"/>
    </font>
    <font>
      <sz val="11"/>
      <color rgb="FF033D8B"/>
      <name val="Consolas"/>
      <family val="3"/>
    </font>
    <font>
      <sz val="11"/>
      <color rgb="FF098658"/>
      <name val="Consolas"/>
      <family val="3"/>
    </font>
    <font>
      <sz val="11"/>
      <color rgb="FFA31515"/>
      <name val="Consolas"/>
      <family val="3"/>
    </font>
    <font>
      <b/>
      <sz val="14"/>
      <color rgb="FF7030A0"/>
      <name val="Segoe UI"/>
      <family val="2"/>
    </font>
    <font>
      <b/>
      <sz val="12"/>
      <color rgb="FF0070C0"/>
      <name val="Segoe UI"/>
      <family val="2"/>
    </font>
    <font>
      <sz val="11"/>
      <color theme="7"/>
      <name val="Consolas"/>
      <family val="3"/>
    </font>
    <font>
      <sz val="11"/>
      <name val="Consolas"/>
      <family val="3"/>
    </font>
    <font>
      <sz val="11"/>
      <color theme="8"/>
      <name val="Consolas"/>
      <family val="3"/>
    </font>
    <font>
      <sz val="11"/>
      <color theme="9"/>
      <name val="Consolas"/>
      <family val="3"/>
    </font>
    <font>
      <sz val="11"/>
      <color theme="5"/>
      <name val="Consolas"/>
      <family val="3"/>
    </font>
    <font>
      <sz val="11"/>
      <color rgb="FFC00000"/>
      <name val="Consolas"/>
      <family val="3"/>
    </font>
    <font>
      <b/>
      <sz val="14"/>
      <color theme="7"/>
      <name val="Segoe UI"/>
      <family val="2"/>
    </font>
    <font>
      <sz val="11"/>
      <color rgb="FF0000FF"/>
      <name val="Consolas"/>
      <family val="3"/>
    </font>
    <font>
      <b/>
      <sz val="11"/>
      <color theme="1" tint="0.34998626667073579"/>
      <name val="Consolas"/>
      <family val="3"/>
    </font>
    <font>
      <i/>
      <sz val="11"/>
      <color theme="1" tint="0.34998626667073579"/>
      <name val="Consolas"/>
      <family val="3"/>
    </font>
    <font>
      <sz val="12"/>
      <color rgb="FFC00000"/>
      <name val="Consolas"/>
      <family val="3"/>
    </font>
    <font>
      <sz val="14"/>
      <color theme="8"/>
      <name val="Consolas"/>
      <family val="3"/>
    </font>
    <font>
      <i/>
      <sz val="12"/>
      <color theme="1"/>
      <name val="Consolas"/>
      <family val="3"/>
    </font>
    <font>
      <i/>
      <sz val="12"/>
      <color theme="1" tint="0.499984740745262"/>
      <name val="Consolas"/>
      <family val="3"/>
    </font>
    <font>
      <sz val="12"/>
      <color theme="1" tint="0.499984740745262"/>
      <name val="Consolas"/>
      <family val="3"/>
    </font>
    <font>
      <sz val="10"/>
      <color rgb="FF000000"/>
      <name val="Consolas"/>
      <family val="3"/>
    </font>
    <font>
      <sz val="10"/>
      <color rgb="FFC4432B"/>
      <name val="Consolas"/>
      <family val="3"/>
    </font>
    <font>
      <sz val="10"/>
      <color rgb="FF0969DA"/>
      <name val="Consolas"/>
      <family val="3"/>
    </font>
    <font>
      <sz val="10"/>
      <color rgb="FF033D8B"/>
      <name val="Consolas"/>
      <family val="3"/>
    </font>
    <font>
      <sz val="10"/>
      <color rgb="FF098658"/>
      <name val="Consolas"/>
      <family val="3"/>
    </font>
    <font>
      <sz val="10"/>
      <color rgb="FF0000FF"/>
      <name val="Consolas"/>
      <family val="3"/>
    </font>
    <font>
      <sz val="10"/>
      <color rgb="FFA31515"/>
      <name val="Consolas"/>
      <family val="3"/>
    </font>
    <font>
      <sz val="11"/>
      <color rgb="FF7030A0"/>
      <name val="Consolas"/>
      <family val="3"/>
    </font>
    <font>
      <sz val="11"/>
      <color rgb="FF8250DF"/>
      <name val="Consolas"/>
      <family val="3"/>
    </font>
    <font>
      <sz val="10"/>
      <name val="Consolas"/>
      <family val="3"/>
    </font>
    <font>
      <sz val="10"/>
      <color rgb="FF8250DF"/>
      <name val="Consolas"/>
      <family val="3"/>
    </font>
    <font>
      <b/>
      <sz val="24"/>
      <color rgb="FF0070C0"/>
      <name val="Segoe UI"/>
      <family val="2"/>
    </font>
    <font>
      <sz val="12"/>
      <color theme="1"/>
      <name val="Aptos"/>
      <family val="2"/>
    </font>
    <font>
      <b/>
      <sz val="14"/>
      <color theme="5"/>
      <name val="Consolas"/>
      <family val="3"/>
    </font>
    <font>
      <vertAlign val="subscript"/>
      <sz val="14"/>
      <color theme="1" tint="0.34998626667073579"/>
      <name val="Consolas"/>
      <family val="3"/>
    </font>
    <font>
      <b/>
      <sz val="12"/>
      <color rgb="FFC00000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AEAF8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rgb="FFFEF5F0"/>
        <bgColor indexed="64"/>
      </patternFill>
    </fill>
    <fill>
      <patternFill patternType="solid">
        <fgColor rgb="FFECF9FE"/>
        <bgColor indexed="64"/>
      </patternFill>
    </fill>
  </fills>
  <borders count="12">
    <border>
      <left/>
      <right/>
      <top/>
      <bottom/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9" tint="0.79998168889431442"/>
      </left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5" tint="0.79998168889431442"/>
      </left>
      <right style="thin">
        <color theme="5" tint="0.79998168889431442"/>
      </right>
      <top style="thin">
        <color theme="5" tint="0.79998168889431442"/>
      </top>
      <bottom style="thin">
        <color theme="5" tint="0.79998168889431442"/>
      </bottom>
      <diagonal/>
    </border>
    <border>
      <left style="thin">
        <color theme="7" tint="0.79998168889431442"/>
      </left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5" tint="0.79998168889431442"/>
      </left>
      <right/>
      <top/>
      <bottom/>
      <diagonal/>
    </border>
    <border>
      <left style="thin">
        <color theme="7" tint="0.79998168889431442"/>
      </left>
      <right/>
      <top style="thin">
        <color theme="7" tint="0.79998168889431442"/>
      </top>
      <bottom style="thin">
        <color theme="7" tint="0.79998168889431442"/>
      </bottom>
      <diagonal/>
    </border>
    <border>
      <left/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9" tint="0.79998168889431442"/>
      </left>
      <right/>
      <top style="thin">
        <color theme="9" tint="0.79998168889431442"/>
      </top>
      <bottom style="thin">
        <color theme="9" tint="0.79998168889431442"/>
      </bottom>
      <diagonal/>
    </border>
    <border>
      <left/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</borders>
  <cellStyleXfs count="6">
    <xf numFmtId="0" fontId="0" fillId="0" borderId="0"/>
    <xf numFmtId="0" fontId="61" fillId="0" borderId="0" applyNumberFormat="0" applyFill="0" applyBorder="0" applyAlignment="0" applyProtection="0"/>
    <xf numFmtId="0" fontId="4" fillId="3" borderId="1">
      <alignment horizontal="center"/>
    </xf>
    <xf numFmtId="0" fontId="4" fillId="4" borderId="2">
      <alignment horizontal="center"/>
    </xf>
    <xf numFmtId="0" fontId="4" fillId="5" borderId="3">
      <alignment horizontal="center"/>
    </xf>
    <xf numFmtId="0" fontId="4" fillId="6" borderId="4">
      <alignment horizontal="center"/>
    </xf>
  </cellStyleXfs>
  <cellXfs count="156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0" fontId="2" fillId="2" borderId="0" xfId="0" applyFont="1" applyFill="1"/>
    <xf numFmtId="0" fontId="4" fillId="2" borderId="0" xfId="0" applyFont="1" applyFill="1"/>
    <xf numFmtId="0" fontId="6" fillId="2" borderId="0" xfId="0" quotePrefix="1" applyFont="1" applyFill="1"/>
    <xf numFmtId="0" fontId="5" fillId="2" borderId="0" xfId="0" applyFont="1" applyFill="1"/>
    <xf numFmtId="0" fontId="10" fillId="2" borderId="0" xfId="0" applyFont="1" applyFill="1"/>
    <xf numFmtId="0" fontId="11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left"/>
    </xf>
    <xf numFmtId="0" fontId="16" fillId="2" borderId="0" xfId="0" applyFont="1" applyFill="1"/>
    <xf numFmtId="0" fontId="17" fillId="2" borderId="0" xfId="0" applyFont="1" applyFill="1"/>
    <xf numFmtId="0" fontId="18" fillId="2" borderId="0" xfId="0" applyFont="1" applyFill="1"/>
    <xf numFmtId="0" fontId="15" fillId="2" borderId="0" xfId="0" applyFont="1" applyFill="1"/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3" borderId="1" xfId="2">
      <alignment horizontal="center"/>
    </xf>
    <xf numFmtId="0" fontId="4" fillId="4" borderId="2" xfId="3">
      <alignment horizontal="center"/>
    </xf>
    <xf numFmtId="0" fontId="20" fillId="2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4" fillId="2" borderId="0" xfId="0" applyFont="1" applyFill="1" applyAlignment="1">
      <alignment horizontal="right" vertical="center"/>
    </xf>
    <xf numFmtId="0" fontId="24" fillId="2" borderId="0" xfId="0" applyFont="1" applyFill="1" applyAlignment="1">
      <alignment horizontal="center"/>
    </xf>
    <xf numFmtId="0" fontId="25" fillId="2" borderId="0" xfId="0" applyFont="1" applyFill="1" applyAlignment="1">
      <alignment horizontal="center"/>
    </xf>
    <xf numFmtId="0" fontId="4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center" vertical="center"/>
    </xf>
    <xf numFmtId="0" fontId="26" fillId="2" borderId="0" xfId="0" applyFont="1" applyFill="1" applyAlignment="1">
      <alignment horizontal="left" vertical="center"/>
    </xf>
    <xf numFmtId="0" fontId="4" fillId="5" borderId="3" xfId="4">
      <alignment horizontal="center"/>
    </xf>
    <xf numFmtId="0" fontId="7" fillId="5" borderId="3" xfId="4" applyFont="1">
      <alignment horizontal="center"/>
    </xf>
    <xf numFmtId="0" fontId="29" fillId="2" borderId="0" xfId="0" applyFont="1" applyFill="1"/>
    <xf numFmtId="0" fontId="4" fillId="6" borderId="4" xfId="5">
      <alignment horizontal="center"/>
    </xf>
    <xf numFmtId="0" fontId="35" fillId="2" borderId="0" xfId="0" applyFont="1" applyFill="1" applyAlignment="1">
      <alignment horizontal="center"/>
    </xf>
    <xf numFmtId="0" fontId="36" fillId="2" borderId="0" xfId="0" applyFont="1" applyFill="1" applyAlignment="1">
      <alignment horizontal="center"/>
    </xf>
    <xf numFmtId="0" fontId="37" fillId="2" borderId="0" xfId="0" applyFont="1" applyFill="1"/>
    <xf numFmtId="0" fontId="7" fillId="6" borderId="4" xfId="5" applyFont="1">
      <alignment horizontal="center"/>
    </xf>
    <xf numFmtId="0" fontId="31" fillId="2" borderId="0" xfId="0" applyFont="1" applyFill="1"/>
    <xf numFmtId="0" fontId="1" fillId="2" borderId="0" xfId="0" applyFont="1" applyFill="1"/>
    <xf numFmtId="0" fontId="43" fillId="2" borderId="0" xfId="0" applyFont="1" applyFill="1"/>
    <xf numFmtId="0" fontId="10" fillId="2" borderId="0" xfId="0" applyFont="1" applyFill="1" applyAlignment="1">
      <alignment horizontal="left" indent="1"/>
    </xf>
    <xf numFmtId="0" fontId="2" fillId="2" borderId="0" xfId="0" applyFont="1" applyFill="1" applyAlignment="1">
      <alignment vertical="center"/>
    </xf>
    <xf numFmtId="0" fontId="53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53" fillId="2" borderId="0" xfId="0" applyFont="1" applyFill="1" applyAlignment="1">
      <alignment vertical="center"/>
    </xf>
    <xf numFmtId="0" fontId="40" fillId="2" borderId="0" xfId="0" applyFont="1" applyFill="1" applyAlignment="1">
      <alignment horizontal="left" indent="1"/>
    </xf>
    <xf numFmtId="0" fontId="40" fillId="2" borderId="0" xfId="0" applyFont="1" applyFill="1" applyAlignment="1">
      <alignment horizontal="left" indent="2"/>
    </xf>
    <xf numFmtId="0" fontId="42" fillId="2" borderId="0" xfId="0" applyFont="1" applyFill="1"/>
    <xf numFmtId="0" fontId="31" fillId="2" borderId="0" xfId="0" applyFont="1" applyFill="1" applyAlignment="1">
      <alignment horizontal="left" indent="1"/>
    </xf>
    <xf numFmtId="0" fontId="58" fillId="0" borderId="0" xfId="0" applyFont="1" applyAlignment="1">
      <alignment horizontal="center" vertical="center"/>
    </xf>
    <xf numFmtId="0" fontId="59" fillId="2" borderId="0" xfId="0" applyFont="1" applyFill="1" applyAlignment="1">
      <alignment vertical="center"/>
    </xf>
    <xf numFmtId="0" fontId="31" fillId="2" borderId="0" xfId="0" applyFont="1" applyFill="1" applyAlignment="1">
      <alignment horizontal="left" indent="2"/>
    </xf>
    <xf numFmtId="0" fontId="60" fillId="2" borderId="0" xfId="0" applyFont="1" applyFill="1" applyAlignment="1">
      <alignment horizontal="center"/>
    </xf>
    <xf numFmtId="0" fontId="60" fillId="2" borderId="0" xfId="0" applyFont="1" applyFill="1" applyAlignment="1">
      <alignment horizontal="center" vertical="center"/>
    </xf>
    <xf numFmtId="0" fontId="60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61" fillId="2" borderId="0" xfId="1" applyFill="1" applyAlignment="1">
      <alignment horizontal="left" indent="1"/>
    </xf>
    <xf numFmtId="0" fontId="36" fillId="2" borderId="0" xfId="0" applyFont="1" applyFill="1" applyAlignment="1">
      <alignment horizontal="left"/>
    </xf>
    <xf numFmtId="2" fontId="5" fillId="2" borderId="0" xfId="0" applyNumberFormat="1" applyFont="1" applyFill="1"/>
    <xf numFmtId="165" fontId="5" fillId="2" borderId="0" xfId="0" applyNumberFormat="1" applyFont="1" applyFill="1"/>
    <xf numFmtId="0" fontId="4" fillId="6" borderId="4" xfId="5" applyAlignment="1">
      <alignment horizontal="left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center"/>
    </xf>
    <xf numFmtId="2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left"/>
    </xf>
    <xf numFmtId="0" fontId="69" fillId="2" borderId="0" xfId="0" applyFont="1" applyFill="1" applyAlignment="1">
      <alignment horizontal="center"/>
    </xf>
    <xf numFmtId="0" fontId="31" fillId="2" borderId="0" xfId="0" applyFont="1" applyFill="1" applyAlignment="1">
      <alignment horizontal="left"/>
    </xf>
    <xf numFmtId="0" fontId="70" fillId="2" borderId="0" xfId="0" applyFont="1" applyFill="1"/>
    <xf numFmtId="0" fontId="77" fillId="2" borderId="0" xfId="0" applyFont="1" applyFill="1" applyAlignment="1">
      <alignment horizontal="center"/>
    </xf>
    <xf numFmtId="0" fontId="62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0" fillId="2" borderId="0" xfId="0" applyFill="1" applyAlignment="1">
      <alignment horizontal="left" indent="1"/>
    </xf>
    <xf numFmtId="0" fontId="2" fillId="2" borderId="0" xfId="0" applyFont="1" applyFill="1" applyAlignment="1">
      <alignment wrapText="1"/>
    </xf>
    <xf numFmtId="167" fontId="4" fillId="2" borderId="0" xfId="0" applyNumberFormat="1" applyFont="1" applyFill="1" applyAlignment="1">
      <alignment wrapText="1"/>
    </xf>
    <xf numFmtId="0" fontId="27" fillId="2" borderId="0" xfId="0" applyFont="1" applyFill="1"/>
    <xf numFmtId="0" fontId="81" fillId="0" borderId="0" xfId="0" applyFont="1" applyAlignment="1">
      <alignment horizontal="center"/>
    </xf>
    <xf numFmtId="166" fontId="4" fillId="3" borderId="1" xfId="2" applyNumberFormat="1">
      <alignment horizontal="center"/>
    </xf>
    <xf numFmtId="166" fontId="4" fillId="0" borderId="0" xfId="0" applyNumberFormat="1" applyFont="1" applyAlignment="1">
      <alignment horizontal="center"/>
    </xf>
    <xf numFmtId="2" fontId="4" fillId="2" borderId="0" xfId="0" applyNumberFormat="1" applyFont="1" applyFill="1" applyAlignment="1">
      <alignment horizontal="center" wrapText="1"/>
    </xf>
    <xf numFmtId="2" fontId="4" fillId="4" borderId="2" xfId="3" applyNumberFormat="1">
      <alignment horizontal="center"/>
    </xf>
    <xf numFmtId="0" fontId="83" fillId="2" borderId="0" xfId="0" applyFont="1" applyFill="1" applyAlignment="1">
      <alignment horizontal="center"/>
    </xf>
    <xf numFmtId="0" fontId="84" fillId="2" borderId="0" xfId="0" applyFont="1" applyFill="1" applyAlignment="1">
      <alignment horizontal="center"/>
    </xf>
    <xf numFmtId="0" fontId="85" fillId="2" borderId="0" xfId="0" applyFont="1" applyFill="1" applyAlignment="1">
      <alignment horizontal="center"/>
    </xf>
    <xf numFmtId="0" fontId="52" fillId="0" borderId="0" xfId="0" quotePrefix="1" applyFont="1" applyAlignment="1">
      <alignment vertical="center"/>
    </xf>
    <xf numFmtId="0" fontId="49" fillId="0" borderId="0" xfId="0" quotePrefix="1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56" fillId="2" borderId="0" xfId="0" applyFont="1" applyFill="1" applyAlignment="1">
      <alignment horizontal="center" vertical="center" wrapText="1"/>
    </xf>
    <xf numFmtId="0" fontId="56" fillId="2" borderId="0" xfId="0" applyFont="1" applyFill="1" applyAlignment="1">
      <alignment horizontal="left" vertical="center" wrapText="1"/>
    </xf>
    <xf numFmtId="0" fontId="17" fillId="0" borderId="0" xfId="0" applyFont="1" applyAlignment="1">
      <alignment horizontal="left" vertical="center"/>
    </xf>
    <xf numFmtId="0" fontId="40" fillId="2" borderId="0" xfId="0" applyFont="1" applyFill="1" applyAlignment="1">
      <alignment horizontal="left"/>
    </xf>
    <xf numFmtId="0" fontId="40" fillId="2" borderId="0" xfId="0" applyFont="1" applyFill="1" applyAlignment="1">
      <alignment horizontal="left" indent="1"/>
    </xf>
    <xf numFmtId="0" fontId="40" fillId="2" borderId="0" xfId="0" applyFont="1" applyFill="1" applyAlignment="1">
      <alignment horizontal="left" indent="2"/>
    </xf>
    <xf numFmtId="0" fontId="17" fillId="0" borderId="0" xfId="0" applyFont="1" applyAlignment="1">
      <alignment vertic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44" fillId="0" borderId="0" xfId="0" quotePrefix="1" applyFont="1" applyAlignment="1">
      <alignment vertical="center"/>
    </xf>
    <xf numFmtId="0" fontId="14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0" fillId="2" borderId="0" xfId="0" applyFont="1" applyFill="1" applyAlignment="1">
      <alignment horizontal="left" indent="1"/>
    </xf>
    <xf numFmtId="0" fontId="10" fillId="0" borderId="0" xfId="0" applyFont="1" applyAlignment="1">
      <alignment vertical="center"/>
    </xf>
    <xf numFmtId="0" fontId="15" fillId="2" borderId="0" xfId="0" applyFont="1" applyFill="1" applyAlignment="1">
      <alignment horizontal="center"/>
    </xf>
    <xf numFmtId="0" fontId="13" fillId="0" borderId="0" xfId="0" applyFont="1" applyAlignment="1">
      <alignment vertical="center"/>
    </xf>
    <xf numFmtId="0" fontId="5" fillId="0" borderId="0" xfId="0" applyFont="1"/>
    <xf numFmtId="0" fontId="10" fillId="0" borderId="0" xfId="0" applyFont="1"/>
    <xf numFmtId="0" fontId="39" fillId="0" borderId="0" xfId="0" applyFont="1"/>
    <xf numFmtId="0" fontId="38" fillId="0" borderId="0" xfId="0" applyFont="1"/>
    <xf numFmtId="0" fontId="15" fillId="2" borderId="0" xfId="0" applyFont="1" applyFill="1"/>
    <xf numFmtId="0" fontId="63" fillId="0" borderId="0" xfId="0" applyFont="1" applyAlignment="1">
      <alignment vertical="center"/>
    </xf>
    <xf numFmtId="0" fontId="4" fillId="5" borderId="5" xfId="4" applyBorder="1" applyAlignment="1">
      <alignment horizontal="center" vertical="center"/>
    </xf>
    <xf numFmtId="0" fontId="4" fillId="5" borderId="0" xfId="4" applyBorder="1" applyAlignment="1">
      <alignment horizontal="center" vertical="center"/>
    </xf>
    <xf numFmtId="0" fontId="4" fillId="3" borderId="10" xfId="2" applyBorder="1" applyAlignment="1">
      <alignment horizontal="center" vertical="center"/>
    </xf>
    <xf numFmtId="0" fontId="4" fillId="3" borderId="11" xfId="2" applyBorder="1" applyAlignment="1">
      <alignment horizontal="center" vertical="center"/>
    </xf>
    <xf numFmtId="0" fontId="4" fillId="4" borderId="8" xfId="3" applyBorder="1" applyAlignment="1">
      <alignment horizontal="center" vertical="center"/>
    </xf>
    <xf numFmtId="0" fontId="4" fillId="4" borderId="9" xfId="3" applyBorder="1" applyAlignment="1">
      <alignment horizontal="center" vertical="center"/>
    </xf>
    <xf numFmtId="0" fontId="4" fillId="6" borderId="6" xfId="5" applyBorder="1" applyAlignment="1">
      <alignment horizontal="center" vertical="center"/>
    </xf>
    <xf numFmtId="0" fontId="4" fillId="6" borderId="7" xfId="5" applyBorder="1" applyAlignment="1">
      <alignment horizontal="center" vertical="center"/>
    </xf>
    <xf numFmtId="0" fontId="27" fillId="2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9" fillId="2" borderId="0" xfId="0" applyFont="1" applyFill="1"/>
    <xf numFmtId="0" fontId="32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justify"/>
    </xf>
    <xf numFmtId="0" fontId="31" fillId="2" borderId="0" xfId="0" applyFont="1" applyFill="1"/>
    <xf numFmtId="0" fontId="30" fillId="2" borderId="0" xfId="0" applyFont="1" applyFill="1" applyAlignment="1">
      <alignment horizontal="center"/>
    </xf>
    <xf numFmtId="0" fontId="36" fillId="2" borderId="0" xfId="0" applyFont="1" applyFill="1" applyAlignment="1">
      <alignment horizontal="center"/>
    </xf>
    <xf numFmtId="0" fontId="35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72" fillId="0" borderId="0" xfId="0" applyFont="1" applyAlignment="1">
      <alignment horizontal="center" vertical="center"/>
    </xf>
    <xf numFmtId="0" fontId="63" fillId="0" borderId="0" xfId="0" quotePrefix="1" applyFont="1" applyAlignment="1">
      <alignment vertical="center"/>
    </xf>
    <xf numFmtId="1" fontId="4" fillId="0" borderId="0" xfId="0" applyNumberFormat="1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5" fillId="2" borderId="0" xfId="0" applyNumberFormat="1" applyFont="1" applyFill="1"/>
    <xf numFmtId="0" fontId="4" fillId="6" borderId="4" xfId="5" applyAlignment="1">
      <alignment horizontal="center"/>
    </xf>
    <xf numFmtId="0" fontId="86" fillId="0" borderId="0" xfId="0" applyFont="1" applyAlignment="1">
      <alignment vertical="center"/>
    </xf>
    <xf numFmtId="0" fontId="93" fillId="2" borderId="0" xfId="0" applyFont="1" applyFill="1"/>
    <xf numFmtId="0" fontId="86" fillId="0" borderId="0" xfId="0" quotePrefix="1" applyFont="1" applyAlignment="1">
      <alignment vertical="center"/>
    </xf>
    <xf numFmtId="0" fontId="79" fillId="2" borderId="0" xfId="0" applyFont="1" applyFill="1" applyAlignment="1">
      <alignment horizontal="left"/>
    </xf>
    <xf numFmtId="0" fontId="97" fillId="2" borderId="0" xfId="0" applyFont="1" applyFill="1"/>
    <xf numFmtId="0" fontId="4" fillId="5" borderId="3" xfId="4" applyAlignment="1">
      <alignment horizontal="center"/>
    </xf>
    <xf numFmtId="0" fontId="99" fillId="2" borderId="0" xfId="0" applyFont="1" applyFill="1"/>
    <xf numFmtId="0" fontId="98" fillId="2" borderId="0" xfId="0" applyFont="1" applyFill="1" applyAlignment="1">
      <alignment vertical="center"/>
    </xf>
    <xf numFmtId="0" fontId="31" fillId="2" borderId="0" xfId="0" applyFont="1" applyFill="1" applyAlignment="1"/>
    <xf numFmtId="0" fontId="31" fillId="2" borderId="0" xfId="0" applyFont="1" applyFill="1" applyAlignment="1"/>
    <xf numFmtId="0" fontId="29" fillId="2" borderId="0" xfId="0" applyFont="1" applyFill="1" applyAlignment="1"/>
    <xf numFmtId="0" fontId="101" fillId="2" borderId="0" xfId="0" applyFont="1" applyFill="1" applyAlignment="1">
      <alignment horizontal="center"/>
    </xf>
    <xf numFmtId="0" fontId="0" fillId="0" borderId="0" xfId="0" applyAlignment="1">
      <alignment horizontal="left" indent="1"/>
    </xf>
    <xf numFmtId="0" fontId="61" fillId="2" borderId="0" xfId="1" applyFill="1" applyAlignment="1">
      <alignment horizontal="left" indent="2"/>
    </xf>
  </cellXfs>
  <cellStyles count="6">
    <cellStyle name="Hyperlink" xfId="1" builtinId="8" customBuiltin="1"/>
    <cellStyle name="LAMBDA" xfId="3" xr:uid="{20087EC8-BC88-4923-A4F2-DE57CFE0068E}"/>
    <cellStyle name="LET" xfId="2" xr:uid="{5796B971-90B3-4979-9167-680EDB8A70CF}"/>
    <cellStyle name="Normal" xfId="0" builtinId="0"/>
    <cellStyle name="REUSABLE" xfId="5" xr:uid="{F4F28207-B61F-44B3-94FD-2C7B9DE3403C}"/>
    <cellStyle name="WITHOUT" xfId="4" xr:uid="{B2DDB3CC-AFC5-4647-ADDB-30DE69D077A4}"/>
  </cellStyles>
  <dxfs count="8">
    <dxf>
      <fill>
        <patternFill>
          <bgColor theme="0" tint="-4.9989318521683403E-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rgb="FFFFB3B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FFB3B3"/>
      <color rgb="FFECF9FE"/>
      <color rgb="FFFEF5F0"/>
      <color rgb="FFEFF9EB"/>
      <color rgb="FFF0FAEC"/>
      <color rgb="FFFAEAF8"/>
      <color rgb="FFFBEF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409575</xdr:colOff>
      <xdr:row>1</xdr:row>
      <xdr:rowOff>66675</xdr:rowOff>
    </xdr:from>
    <xdr:to>
      <xdr:col>12</xdr:col>
      <xdr:colOff>410724</xdr:colOff>
      <xdr:row>27</xdr:row>
      <xdr:rowOff>38753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2A4FD0C-C2E1-F203-AB13-7FFFDAFAB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40000"/>
        </a:blip>
        <a:stretch>
          <a:fillRect/>
        </a:stretch>
      </xdr:blipFill>
      <xdr:spPr>
        <a:xfrm>
          <a:off x="409575" y="545646"/>
          <a:ext cx="8230749" cy="4642050"/>
        </a:xfrm>
        <a:prstGeom prst="rect">
          <a:avLst/>
        </a:prstGeom>
      </xdr:spPr>
    </xdr:pic>
    <xdr:clientData/>
  </xdr:twoCellAnchor>
  <xdr:twoCellAnchor>
    <xdr:from>
      <xdr:col>1</xdr:col>
      <xdr:colOff>38144</xdr:colOff>
      <xdr:row>13</xdr:row>
      <xdr:rowOff>106327</xdr:rowOff>
    </xdr:from>
    <xdr:to>
      <xdr:col>12</xdr:col>
      <xdr:colOff>96355</xdr:colOff>
      <xdr:row>14</xdr:row>
      <xdr:rowOff>178716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EE42DF3-5D17-5626-F997-C221A3E0C26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1290"/>
        <a:stretch>
          <a:fillRect/>
        </a:stretch>
      </xdr:blipFill>
      <xdr:spPr>
        <a:xfrm>
          <a:off x="723944" y="2740670"/>
          <a:ext cx="7602011" cy="252003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13</v>
    <v>24</v>
  </rv>
  <rv s="1">
    <v>0</v>
    <v>5</v>
  </rv>
  <rv s="1">
    <v>1</v>
    <v>5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84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F00965-E9C1-4990-A603-12C26A17E04B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D7A8D956-6E0E-47D1-9180-8F905735AA0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icrosoft/Excel-Labs/tree/main/advanced-formula-environment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upport.microsoft.com/en-us/excel/let-function" TargetMode="External"/><Relationship Id="rId2" Type="http://schemas.openxmlformats.org/officeDocument/2006/relationships/hyperlink" Target="https://trumpexcel.com/excel-functions/let-function/" TargetMode="External"/><Relationship Id="rId1" Type="http://schemas.openxmlformats.org/officeDocument/2006/relationships/hyperlink" Target="https://exceljet.net/functions/let-function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exceljet.net/functions/isomitted-function" TargetMode="External"/><Relationship Id="rId2" Type="http://schemas.openxmlformats.org/officeDocument/2006/relationships/hyperlink" Target="https://support.microsoft.com/en-US/Excel/isomitted-function" TargetMode="External"/><Relationship Id="rId1" Type="http://schemas.openxmlformats.org/officeDocument/2006/relationships/hyperlink" Target="https://support.microsoft.com/en-us/excel/lambda-function" TargetMode="External"/><Relationship Id="rId5" Type="http://schemas.openxmlformats.org/officeDocument/2006/relationships/hyperlink" Target="https://trumpexcel.com/excel-functions/lambda/" TargetMode="External"/><Relationship Id="rId4" Type="http://schemas.openxmlformats.org/officeDocument/2006/relationships/hyperlink" Target="https://exceljet.net/functions/lambda-fun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A1BDC-6BBA-4BE0-B960-713387FF2C09}">
  <dimension ref="A1:N48"/>
  <sheetViews>
    <sheetView zoomScaleNormal="100" workbookViewId="0">
      <selection activeCell="N38" sqref="N38"/>
    </sheetView>
  </sheetViews>
  <sheetFormatPr defaultRowHeight="14.25" outlineLevelRow="1"/>
  <cols>
    <col min="1" max="16384" width="9" style="1"/>
  </cols>
  <sheetData>
    <row r="1" spans="1:14" ht="37.5">
      <c r="A1" s="146" t="s">
        <v>354</v>
      </c>
    </row>
    <row r="2" spans="1:14" ht="14.25" customHeight="1" outlineLevel="1">
      <c r="A2" s="149"/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</row>
    <row r="3" spans="1:14" ht="14.25" customHeight="1" outlineLevel="1">
      <c r="A3" s="149"/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</row>
    <row r="4" spans="1:14" ht="14.25" customHeight="1" outlineLevel="1">
      <c r="A4" s="149"/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</row>
    <row r="5" spans="1:14" ht="14.25" customHeight="1" outlineLevel="1">
      <c r="A5" s="149"/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</row>
    <row r="6" spans="1:14" ht="14.25" customHeight="1" outlineLevel="1">
      <c r="A6" s="149"/>
      <c r="B6" s="149"/>
      <c r="C6" s="149"/>
      <c r="D6" s="149"/>
      <c r="E6" s="149"/>
      <c r="F6" s="149"/>
      <c r="G6" s="149"/>
      <c r="H6" s="149"/>
      <c r="I6" s="149"/>
      <c r="J6" s="149"/>
      <c r="K6" s="149"/>
      <c r="L6" s="149"/>
      <c r="M6" s="149"/>
      <c r="N6" s="149"/>
    </row>
    <row r="7" spans="1:14" ht="14.25" customHeight="1" outlineLevel="1">
      <c r="A7" s="149"/>
      <c r="B7" s="149"/>
      <c r="C7" s="149"/>
      <c r="D7" s="149"/>
      <c r="E7" s="149"/>
      <c r="F7" s="149"/>
      <c r="G7" s="149"/>
      <c r="H7" s="149"/>
      <c r="I7" s="149"/>
      <c r="J7" s="149"/>
      <c r="K7" s="149"/>
      <c r="L7" s="149"/>
      <c r="M7" s="149"/>
      <c r="N7" s="149"/>
    </row>
    <row r="8" spans="1:14" ht="14.25" customHeight="1" outlineLevel="1">
      <c r="A8" s="149"/>
      <c r="B8" s="149"/>
      <c r="C8" s="149"/>
      <c r="D8" s="149"/>
      <c r="E8" s="149"/>
      <c r="F8" s="149"/>
      <c r="G8" s="149"/>
      <c r="H8" s="149"/>
      <c r="I8" s="149"/>
      <c r="J8" s="149"/>
      <c r="K8" s="149"/>
      <c r="L8" s="149"/>
      <c r="M8" s="149"/>
      <c r="N8" s="149"/>
    </row>
    <row r="9" spans="1:14" ht="14.25" customHeight="1" outlineLevel="1">
      <c r="A9" s="149"/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49"/>
    </row>
    <row r="10" spans="1:14" ht="14.25" customHeight="1" outlineLevel="1">
      <c r="A10" s="149"/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</row>
    <row r="11" spans="1:14" ht="14.25" customHeight="1" outlineLevel="1">
      <c r="A11" s="149"/>
      <c r="B11" s="149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49"/>
      <c r="N11" s="149"/>
    </row>
    <row r="12" spans="1:14" ht="14.25" customHeight="1" outlineLevel="1">
      <c r="A12" s="149"/>
      <c r="B12" s="149"/>
      <c r="C12" s="149"/>
      <c r="D12" s="149"/>
      <c r="E12" s="149"/>
      <c r="F12" s="149"/>
      <c r="G12" s="149"/>
      <c r="H12" s="149"/>
      <c r="I12" s="149"/>
      <c r="J12" s="149"/>
      <c r="K12" s="149"/>
      <c r="L12" s="149"/>
      <c r="M12" s="149"/>
      <c r="N12" s="149"/>
    </row>
    <row r="13" spans="1:14" ht="14.25" customHeight="1" outlineLevel="1">
      <c r="A13" s="149"/>
      <c r="B13" s="149"/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49"/>
    </row>
    <row r="14" spans="1:14" ht="14.25" customHeight="1" outlineLevel="1">
      <c r="A14" s="149"/>
      <c r="B14" s="149"/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</row>
    <row r="15" spans="1:14" ht="14.25" customHeight="1" outlineLevel="1">
      <c r="A15" s="149"/>
      <c r="B15" s="149"/>
      <c r="C15" s="149"/>
      <c r="D15" s="149"/>
      <c r="E15" s="149"/>
      <c r="F15" s="149"/>
      <c r="G15" s="149"/>
      <c r="H15" s="149"/>
      <c r="I15" s="149"/>
      <c r="J15" s="149"/>
      <c r="K15" s="149"/>
      <c r="L15" s="149"/>
      <c r="M15" s="149"/>
      <c r="N15" s="149"/>
    </row>
    <row r="16" spans="1:14" ht="14.25" customHeight="1" outlineLevel="1">
      <c r="A16" s="149"/>
      <c r="B16" s="149"/>
      <c r="C16" s="149"/>
      <c r="D16" s="149"/>
      <c r="E16" s="149"/>
      <c r="F16" s="149"/>
      <c r="G16" s="149"/>
      <c r="H16" s="149"/>
      <c r="I16" s="149"/>
      <c r="J16" s="149"/>
      <c r="K16" s="149"/>
      <c r="L16" s="149"/>
      <c r="M16" s="149"/>
      <c r="N16" s="149"/>
    </row>
    <row r="17" spans="1:14" ht="14.25" customHeight="1" outlineLevel="1">
      <c r="A17" s="149"/>
      <c r="B17" s="149"/>
      <c r="C17" s="149"/>
      <c r="D17" s="149"/>
      <c r="E17" s="149"/>
      <c r="F17" s="149"/>
      <c r="G17" s="149"/>
      <c r="H17" s="149"/>
      <c r="I17" s="149"/>
      <c r="J17" s="149"/>
      <c r="K17" s="149"/>
      <c r="L17" s="149"/>
      <c r="M17" s="149"/>
      <c r="N17" s="149"/>
    </row>
    <row r="18" spans="1:14" ht="14.25" customHeight="1" outlineLevel="1">
      <c r="A18" s="149"/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49"/>
      <c r="M18" s="149"/>
      <c r="N18" s="149"/>
    </row>
    <row r="19" spans="1:14" ht="14.25" customHeight="1" outlineLevel="1">
      <c r="A19" s="149"/>
      <c r="B19" s="149"/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</row>
    <row r="20" spans="1:14" ht="14.25" customHeight="1" outlineLevel="1">
      <c r="A20" s="149"/>
      <c r="B20" s="149"/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49"/>
    </row>
    <row r="21" spans="1:14" ht="14.25" customHeight="1" outlineLevel="1">
      <c r="A21" s="149"/>
      <c r="B21" s="149"/>
      <c r="C21" s="149"/>
      <c r="D21" s="149"/>
      <c r="E21" s="149"/>
      <c r="F21" s="149"/>
      <c r="G21" s="149"/>
      <c r="H21" s="149"/>
      <c r="I21" s="149"/>
      <c r="J21" s="149"/>
      <c r="K21" s="149"/>
      <c r="L21" s="149"/>
      <c r="M21" s="149"/>
      <c r="N21" s="149"/>
    </row>
    <row r="22" spans="1:14" ht="14.25" customHeight="1" outlineLevel="1">
      <c r="A22" s="149"/>
      <c r="B22" s="149"/>
      <c r="C22" s="149"/>
      <c r="D22" s="149"/>
      <c r="E22" s="149"/>
      <c r="F22" s="149"/>
      <c r="G22" s="149"/>
      <c r="H22" s="149"/>
      <c r="I22" s="149"/>
      <c r="J22" s="149"/>
      <c r="K22" s="149"/>
      <c r="L22" s="149"/>
      <c r="M22" s="149"/>
      <c r="N22" s="149"/>
    </row>
    <row r="23" spans="1:14" ht="14.25" customHeight="1" outlineLevel="1">
      <c r="A23" s="149"/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</row>
    <row r="24" spans="1:14" ht="14.25" customHeight="1" outlineLevel="1">
      <c r="A24" s="149"/>
      <c r="B24" s="149"/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</row>
    <row r="25" spans="1:14" ht="14.25" customHeight="1" outlineLevel="1">
      <c r="A25" s="149"/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N25" s="149"/>
    </row>
    <row r="26" spans="1:14" ht="14.25" customHeight="1" outlineLevel="1">
      <c r="A26" s="149"/>
      <c r="B26" s="149"/>
      <c r="C26" s="149"/>
      <c r="D26" s="149"/>
      <c r="E26" s="149"/>
      <c r="F26" s="149"/>
      <c r="G26" s="149"/>
      <c r="H26" s="149"/>
      <c r="I26" s="149"/>
      <c r="J26" s="149"/>
      <c r="K26" s="149"/>
      <c r="L26" s="149"/>
      <c r="M26" s="149"/>
      <c r="N26" s="149"/>
    </row>
    <row r="27" spans="1:14" ht="14.25" customHeight="1" outlineLevel="1">
      <c r="A27" s="149"/>
      <c r="B27" s="149"/>
      <c r="C27" s="149"/>
      <c r="D27" s="149"/>
      <c r="E27" s="149"/>
      <c r="F27" s="149"/>
      <c r="G27" s="149"/>
      <c r="H27" s="149"/>
      <c r="I27" s="149"/>
      <c r="J27" s="149"/>
      <c r="K27" s="149"/>
      <c r="L27" s="149"/>
      <c r="M27" s="149"/>
      <c r="N27" s="149"/>
    </row>
    <row r="28" spans="1:14" ht="14.25" customHeight="1" outlineLevel="1">
      <c r="A28" s="149"/>
      <c r="B28" s="149"/>
      <c r="C28" s="149"/>
      <c r="D28" s="149"/>
      <c r="E28" s="149"/>
      <c r="F28" s="149"/>
      <c r="G28" s="149"/>
      <c r="H28" s="149"/>
      <c r="I28" s="149"/>
      <c r="J28" s="149"/>
      <c r="K28" s="149"/>
      <c r="L28" s="149"/>
      <c r="M28" s="149"/>
      <c r="N28" s="149"/>
    </row>
    <row r="29" spans="1:14" ht="14.25" customHeight="1" outlineLevel="1">
      <c r="A29" s="149"/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</row>
    <row r="30" spans="1:14" ht="14.25" customHeight="1" outlineLevel="1">
      <c r="A30" s="149"/>
      <c r="B30" s="149"/>
      <c r="C30" s="149"/>
      <c r="D30" s="149"/>
      <c r="E30" s="149"/>
      <c r="F30" s="149"/>
      <c r="G30" s="149"/>
      <c r="H30" s="149"/>
      <c r="I30" s="149"/>
      <c r="J30" s="149"/>
      <c r="K30" s="149"/>
      <c r="L30" s="149"/>
      <c r="M30" s="149"/>
      <c r="N30" s="149"/>
    </row>
    <row r="31" spans="1:14" ht="14.25" customHeight="1" outlineLevel="1">
      <c r="A31" s="149"/>
      <c r="B31" s="149"/>
      <c r="C31" s="149"/>
      <c r="D31" s="149"/>
      <c r="E31" s="149"/>
      <c r="F31" s="149"/>
      <c r="G31" s="149"/>
      <c r="H31" s="149"/>
      <c r="I31" s="149"/>
      <c r="J31" s="149"/>
      <c r="K31" s="149"/>
      <c r="L31" s="149"/>
      <c r="M31" s="149"/>
      <c r="N31" s="149"/>
    </row>
    <row r="32" spans="1:14" ht="14.25" customHeight="1" outlineLevel="1">
      <c r="A32" s="149"/>
      <c r="B32" s="149"/>
      <c r="C32" s="149"/>
      <c r="D32" s="149"/>
      <c r="E32" s="149"/>
      <c r="F32" s="149"/>
      <c r="G32" s="149"/>
      <c r="H32" s="149"/>
      <c r="I32" s="149"/>
      <c r="J32" s="149"/>
      <c r="K32" s="149"/>
      <c r="L32" s="149"/>
      <c r="M32" s="149"/>
      <c r="N32" s="149"/>
    </row>
    <row r="33" spans="1:14" ht="14.25" customHeight="1" outlineLevel="1">
      <c r="A33" s="149"/>
      <c r="B33" s="149"/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</row>
    <row r="34" spans="1:14" ht="14.25" customHeight="1" outlineLevel="1">
      <c r="A34" s="149"/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</row>
    <row r="35" spans="1:14" outlineLevel="1"/>
    <row r="36" spans="1:14" outlineLevel="1"/>
    <row r="38" spans="1:14" ht="26.25">
      <c r="A38" s="13" t="s">
        <v>355</v>
      </c>
    </row>
    <row r="39" spans="1:14">
      <c r="A39" s="81" t="s">
        <v>473</v>
      </c>
    </row>
    <row r="40" spans="1:14">
      <c r="A40" s="81" t="s">
        <v>474</v>
      </c>
    </row>
    <row r="41" spans="1:14">
      <c r="A41" s="81" t="s">
        <v>475</v>
      </c>
    </row>
    <row r="43" spans="1:14" ht="26.25">
      <c r="A43" s="13" t="s">
        <v>356</v>
      </c>
    </row>
    <row r="44" spans="1:14">
      <c r="A44" s="81" t="s">
        <v>476</v>
      </c>
    </row>
    <row r="45" spans="1:14">
      <c r="A45" s="81" t="s">
        <v>478</v>
      </c>
    </row>
    <row r="46" spans="1:14">
      <c r="A46" s="81" t="s">
        <v>479</v>
      </c>
    </row>
    <row r="47" spans="1:14">
      <c r="A47" s="81" t="s">
        <v>477</v>
      </c>
    </row>
    <row r="48" spans="1:14">
      <c r="A48" s="81" t="s">
        <v>587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24562-5576-4961-B0A1-690DBF0BD2B4}">
  <dimension ref="A1:O23"/>
  <sheetViews>
    <sheetView topLeftCell="A9" zoomScaleNormal="100" workbookViewId="0">
      <selection activeCell="A23" sqref="A23"/>
    </sheetView>
  </sheetViews>
  <sheetFormatPr defaultRowHeight="14.25" outlineLevelRow="1"/>
  <cols>
    <col min="1" max="16384" width="9" style="1"/>
  </cols>
  <sheetData>
    <row r="1" spans="1:15" ht="69">
      <c r="A1" s="11" t="s">
        <v>349</v>
      </c>
    </row>
    <row r="3" spans="1:15" ht="26.25">
      <c r="A3" s="13" t="s">
        <v>321</v>
      </c>
    </row>
    <row r="4" spans="1:15" ht="20.25" outlineLevel="1">
      <c r="A4" s="109" t="s">
        <v>322</v>
      </c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</row>
    <row r="5" spans="1:15" ht="20.25" outlineLevel="1">
      <c r="A5" s="109" t="s">
        <v>323</v>
      </c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</row>
    <row r="6" spans="1:15" ht="20.25" outlineLevel="1">
      <c r="A6" s="109" t="s">
        <v>480</v>
      </c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</row>
    <row r="8" spans="1:15" ht="26.25">
      <c r="A8" s="13" t="s">
        <v>249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ht="20.25" outlineLevel="1">
      <c r="A9" s="7" t="s">
        <v>244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ht="20.25" outlineLevel="1">
      <c r="A10" s="100" t="s">
        <v>245</v>
      </c>
      <c r="B10" s="100"/>
      <c r="C10" s="100"/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</row>
    <row r="11" spans="1:15" ht="20.25" outlineLevel="1">
      <c r="A11" s="100" t="s">
        <v>246</v>
      </c>
      <c r="B11" s="100"/>
      <c r="C11" s="100"/>
      <c r="D11" s="100"/>
      <c r="E11" s="100"/>
      <c r="F11" s="100"/>
      <c r="G11" s="100"/>
      <c r="H11" s="100"/>
      <c r="I11" s="100"/>
      <c r="J11" s="100"/>
      <c r="K11" s="100"/>
      <c r="L11" s="100"/>
      <c r="M11" s="100"/>
      <c r="N11" s="100"/>
      <c r="O11" s="100"/>
    </row>
    <row r="12" spans="1:15" ht="20.25" outlineLevel="1">
      <c r="A12" s="100" t="s">
        <v>247</v>
      </c>
      <c r="B12" s="100"/>
      <c r="C12" s="100"/>
      <c r="D12" s="100"/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</row>
    <row r="13" spans="1:15" ht="20.25" outlineLevel="1">
      <c r="A13" s="100" t="s">
        <v>248</v>
      </c>
      <c r="B13" s="100"/>
      <c r="C13" s="100"/>
      <c r="D13" s="100"/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</row>
    <row r="14" spans="1:15" ht="20.25" outlineLevel="1">
      <c r="A14" s="100" t="s">
        <v>250</v>
      </c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</row>
    <row r="16" spans="1:15" ht="26.25">
      <c r="A16" s="13" t="s">
        <v>334</v>
      </c>
    </row>
    <row r="17" spans="1:15" ht="20.25" outlineLevel="1">
      <c r="D17" s="111" t="s">
        <v>326</v>
      </c>
      <c r="E17" s="111"/>
      <c r="F17" s="111"/>
      <c r="G17" s="111"/>
      <c r="H17" s="111"/>
      <c r="I17" s="111"/>
      <c r="J17" s="111" t="s">
        <v>327</v>
      </c>
      <c r="K17" s="111"/>
      <c r="L17" s="111"/>
      <c r="M17" s="111"/>
      <c r="N17" s="111"/>
      <c r="O17" s="111"/>
    </row>
    <row r="18" spans="1:15" ht="44.25" customHeight="1" outlineLevel="1">
      <c r="A18" s="102" t="s">
        <v>264</v>
      </c>
      <c r="B18" s="102"/>
      <c r="C18" s="102"/>
      <c r="D18" s="107" t="s">
        <v>328</v>
      </c>
      <c r="E18" s="107"/>
      <c r="F18" s="107"/>
      <c r="G18" s="107"/>
      <c r="H18" s="107"/>
      <c r="I18" s="107"/>
      <c r="J18" s="107" t="s">
        <v>329</v>
      </c>
      <c r="K18" s="107"/>
      <c r="L18" s="107"/>
      <c r="M18" s="107"/>
      <c r="N18" s="107"/>
      <c r="O18" s="107"/>
    </row>
    <row r="19" spans="1:15" ht="155.25" customHeight="1" outlineLevel="1">
      <c r="A19" s="102" t="s">
        <v>324</v>
      </c>
      <c r="B19" s="102"/>
      <c r="C19" s="102"/>
      <c r="D19" s="107" t="s">
        <v>333</v>
      </c>
      <c r="E19" s="107"/>
      <c r="F19" s="107"/>
      <c r="G19" s="107"/>
      <c r="H19" s="107"/>
      <c r="I19" s="107"/>
      <c r="J19" s="107" t="s">
        <v>332</v>
      </c>
      <c r="K19" s="107"/>
      <c r="L19" s="107"/>
      <c r="M19" s="107"/>
      <c r="N19" s="107"/>
      <c r="O19" s="107"/>
    </row>
    <row r="20" spans="1:15" ht="70.5" customHeight="1" outlineLevel="1">
      <c r="A20" s="102" t="s">
        <v>325</v>
      </c>
      <c r="B20" s="102"/>
      <c r="C20" s="102"/>
      <c r="D20" s="107" t="s">
        <v>330</v>
      </c>
      <c r="E20" s="107"/>
      <c r="F20" s="107"/>
      <c r="G20" s="107"/>
      <c r="H20" s="107"/>
      <c r="I20" s="107"/>
      <c r="J20" s="107" t="s">
        <v>331</v>
      </c>
      <c r="K20" s="107"/>
      <c r="L20" s="107"/>
      <c r="M20" s="107"/>
      <c r="N20" s="107"/>
      <c r="O20" s="107"/>
    </row>
    <row r="22" spans="1:15" ht="26.25">
      <c r="A22" s="13" t="s">
        <v>340</v>
      </c>
    </row>
    <row r="23" spans="1:15" ht="20.25" outlineLevel="1">
      <c r="A23" s="61" t="s">
        <v>350</v>
      </c>
    </row>
  </sheetData>
  <mergeCells count="19">
    <mergeCell ref="A20:C20"/>
    <mergeCell ref="A10:O10"/>
    <mergeCell ref="A11:O11"/>
    <mergeCell ref="A12:O12"/>
    <mergeCell ref="A13:O13"/>
    <mergeCell ref="A14:O14"/>
    <mergeCell ref="D17:I17"/>
    <mergeCell ref="J17:O17"/>
    <mergeCell ref="A4:O4"/>
    <mergeCell ref="A5:O5"/>
    <mergeCell ref="A6:O6"/>
    <mergeCell ref="A18:C18"/>
    <mergeCell ref="A19:C19"/>
    <mergeCell ref="D18:I18"/>
    <mergeCell ref="J18:O18"/>
    <mergeCell ref="D19:I19"/>
    <mergeCell ref="D20:I20"/>
    <mergeCell ref="J19:O19"/>
    <mergeCell ref="J20:O20"/>
  </mergeCells>
  <hyperlinks>
    <hyperlink ref="A23" r:id="rId1" xr:uid="{1955A324-4B35-42AE-BED6-7FB0A24AD18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2C2E6-87C4-46AD-ADA9-D44C1E8BEF56}">
  <dimension ref="A1:Y158"/>
  <sheetViews>
    <sheetView tabSelected="1" topLeftCell="A62" zoomScaleNormal="100" workbookViewId="0">
      <selection activeCell="M105" sqref="M105"/>
    </sheetView>
  </sheetViews>
  <sheetFormatPr defaultRowHeight="15" outlineLevelRow="1"/>
  <cols>
    <col min="1" max="15" width="9" style="3"/>
    <col min="16" max="16" width="9" style="3" customWidth="1"/>
    <col min="17" max="16384" width="9" style="3"/>
  </cols>
  <sheetData>
    <row r="1" spans="1:25" ht="69">
      <c r="A1" s="11" t="s">
        <v>68</v>
      </c>
    </row>
    <row r="3" spans="1:25" ht="26.25">
      <c r="A3" s="13" t="s">
        <v>27</v>
      </c>
    </row>
    <row r="4" spans="1:25" ht="20.25" outlineLevel="1">
      <c r="A4" s="109" t="s">
        <v>490</v>
      </c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</row>
    <row r="6" spans="1:25" ht="26.25">
      <c r="A6" s="13" t="s">
        <v>26</v>
      </c>
    </row>
    <row r="7" spans="1:25" ht="16.5" outlineLevel="1">
      <c r="A7" s="42"/>
    </row>
    <row r="8" spans="1:25" ht="41.25" customHeight="1" outlineLevel="1">
      <c r="A8" s="102" t="s">
        <v>25</v>
      </c>
      <c r="B8" s="102"/>
      <c r="C8" s="102"/>
      <c r="D8" s="107" t="s">
        <v>232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</row>
    <row r="9" spans="1:25" ht="85.5" customHeight="1" outlineLevel="1">
      <c r="A9" s="102" t="s">
        <v>29</v>
      </c>
      <c r="B9" s="102"/>
      <c r="C9" s="102"/>
      <c r="D9" s="107" t="s">
        <v>233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</row>
    <row r="11" spans="1:25" ht="26.25">
      <c r="A11" s="13" t="s">
        <v>28</v>
      </c>
    </row>
    <row r="12" spans="1:25" ht="20.25" outlineLevel="1">
      <c r="A12" s="100" t="s">
        <v>234</v>
      </c>
      <c r="B12" s="100"/>
      <c r="C12" s="100"/>
      <c r="D12" s="100"/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</row>
    <row r="13" spans="1:25" ht="20.25" outlineLevel="1">
      <c r="A13" s="100" t="s">
        <v>235</v>
      </c>
      <c r="B13" s="100"/>
      <c r="C13" s="100"/>
      <c r="D13" s="100"/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</row>
    <row r="14" spans="1:25" ht="20.25" outlineLevel="1">
      <c r="A14" s="7"/>
    </row>
    <row r="15" spans="1:25" ht="54" customHeight="1" outlineLevel="1">
      <c r="A15" s="105" t="s">
        <v>228</v>
      </c>
      <c r="B15" s="105"/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  <c r="Y15" s="5"/>
    </row>
    <row r="16" spans="1:25" outlineLevel="1"/>
    <row r="17" spans="1:15" ht="25.5" outlineLevel="1">
      <c r="A17" s="8" t="s">
        <v>15</v>
      </c>
      <c r="B17" s="8"/>
      <c r="C17" s="8"/>
      <c r="D17" s="8" t="s">
        <v>16</v>
      </c>
      <c r="E17" s="8"/>
      <c r="F17" s="8"/>
      <c r="G17" s="8"/>
      <c r="H17" s="8"/>
      <c r="I17" s="8"/>
      <c r="J17" s="8"/>
      <c r="K17" s="8"/>
      <c r="L17" s="8"/>
      <c r="M17" s="8"/>
    </row>
    <row r="18" spans="1:15" ht="39.75" customHeight="1" outlineLevel="1">
      <c r="A18" s="108" t="s">
        <v>13</v>
      </c>
      <c r="B18" s="108"/>
      <c r="C18" s="108"/>
      <c r="D18" s="107" t="s">
        <v>17</v>
      </c>
      <c r="E18" s="107"/>
      <c r="F18" s="107"/>
      <c r="G18" s="107"/>
      <c r="H18" s="107"/>
      <c r="I18" s="107"/>
      <c r="J18" s="107"/>
      <c r="K18" s="107"/>
      <c r="L18" s="107"/>
      <c r="M18" s="107"/>
      <c r="N18" s="107"/>
      <c r="O18" s="107"/>
    </row>
    <row r="19" spans="1:15" ht="27.75" outlineLevel="1">
      <c r="A19" s="108" t="s">
        <v>14</v>
      </c>
      <c r="B19" s="108"/>
      <c r="C19" s="108"/>
      <c r="D19" s="110" t="s">
        <v>18</v>
      </c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</row>
    <row r="20" spans="1:15" ht="27.75" outlineLevel="1">
      <c r="A20" s="112" t="s">
        <v>19</v>
      </c>
      <c r="B20" s="112"/>
      <c r="C20" s="112"/>
      <c r="D20" s="110" t="s">
        <v>22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</row>
    <row r="21" spans="1:15" ht="27.75" outlineLevel="1">
      <c r="A21" s="112" t="s">
        <v>20</v>
      </c>
      <c r="B21" s="112"/>
      <c r="C21" s="112"/>
      <c r="D21" s="110" t="s">
        <v>23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</row>
    <row r="22" spans="1:15" ht="27.75" outlineLevel="1">
      <c r="A22" s="112" t="s">
        <v>21</v>
      </c>
      <c r="B22" s="112"/>
      <c r="C22" s="112"/>
      <c r="D22" s="110" t="s">
        <v>65</v>
      </c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</row>
    <row r="23" spans="1:15" ht="42" customHeight="1" outlineLevel="1">
      <c r="A23" s="106" t="s">
        <v>24</v>
      </c>
      <c r="B23" s="106"/>
      <c r="C23" s="106"/>
      <c r="D23" s="107" t="s">
        <v>30</v>
      </c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</row>
    <row r="24" spans="1:15" ht="18" customHeight="1"/>
    <row r="25" spans="1:15" ht="26.25">
      <c r="A25" s="13" t="s">
        <v>223</v>
      </c>
    </row>
    <row r="26" spans="1:15" ht="18" customHeight="1" outlineLevel="1"/>
    <row r="27" spans="1:15" ht="18" customHeight="1" outlineLevel="1">
      <c r="B27" s="41" t="s">
        <v>201</v>
      </c>
      <c r="I27" s="2" t="s">
        <v>8</v>
      </c>
    </row>
    <row r="28" spans="1:15" s="47" customFormat="1" ht="20.25" outlineLevel="1">
      <c r="B28" s="94" t="s">
        <v>236</v>
      </c>
      <c r="C28" s="94"/>
      <c r="D28" s="94"/>
      <c r="E28" s="94"/>
      <c r="I28" s="45">
        <f>_xlfn.LET(_xlpm.a, 5, _xlpm.a)</f>
        <v>5</v>
      </c>
    </row>
    <row r="29" spans="1:15" ht="18" customHeight="1" outlineLevel="1">
      <c r="B29" s="40" t="s">
        <v>219</v>
      </c>
    </row>
    <row r="30" spans="1:15" ht="18" customHeight="1" outlineLevel="1">
      <c r="B30" s="40" t="s">
        <v>217</v>
      </c>
    </row>
    <row r="31" spans="1:15" ht="18" customHeight="1" outlineLevel="1">
      <c r="B31" s="40"/>
    </row>
    <row r="32" spans="1:15" ht="18" customHeight="1" outlineLevel="1">
      <c r="B32" s="41" t="s">
        <v>201</v>
      </c>
      <c r="G32" s="2" t="s">
        <v>224</v>
      </c>
      <c r="I32" s="2" t="s">
        <v>8</v>
      </c>
    </row>
    <row r="33" spans="1:9" s="47" customFormat="1" ht="20.25" outlineLevel="1">
      <c r="B33" s="94" t="s">
        <v>481</v>
      </c>
      <c r="C33" s="94"/>
      <c r="D33" s="94"/>
      <c r="E33" s="94"/>
      <c r="G33" s="45">
        <v>5</v>
      </c>
      <c r="I33" s="45">
        <f>_xlfn.LET(_xlpm.a, $G$33, _xlpm.a)</f>
        <v>5</v>
      </c>
    </row>
    <row r="34" spans="1:9" ht="18" customHeight="1" outlineLevel="1">
      <c r="B34" s="40" t="s">
        <v>216</v>
      </c>
    </row>
    <row r="35" spans="1:9" ht="18" customHeight="1" outlineLevel="1">
      <c r="B35" s="40" t="s">
        <v>218</v>
      </c>
    </row>
    <row r="36" spans="1:9" ht="18" customHeight="1" outlineLevel="1">
      <c r="B36" s="40" t="s">
        <v>217</v>
      </c>
    </row>
    <row r="37" spans="1:9" ht="18" customHeight="1" outlineLevel="1"/>
    <row r="38" spans="1:9" ht="18" customHeight="1" outlineLevel="1">
      <c r="B38" s="41" t="s">
        <v>201</v>
      </c>
      <c r="G38" s="2" t="s">
        <v>31</v>
      </c>
      <c r="I38" s="2" t="s">
        <v>8</v>
      </c>
    </row>
    <row r="39" spans="1:9" s="47" customFormat="1" ht="20.25" outlineLevel="1">
      <c r="B39" s="94" t="s">
        <v>166</v>
      </c>
      <c r="C39" s="94"/>
      <c r="D39" s="94"/>
      <c r="E39" s="94"/>
      <c r="G39" s="45">
        <v>3</v>
      </c>
      <c r="I39" s="45">
        <f>_xlfn.LET(
    _xlpm.a, $G$39,
    _xlpm.b, $G$40,
    SQRT(_xlpm.a^2 + _xlpm.b^2)
)</f>
        <v>5</v>
      </c>
    </row>
    <row r="40" spans="1:9" s="47" customFormat="1" ht="20.25" outlineLevel="1">
      <c r="B40" s="94" t="s">
        <v>482</v>
      </c>
      <c r="C40" s="94"/>
      <c r="D40" s="94"/>
      <c r="E40" s="94"/>
      <c r="G40" s="45">
        <v>4</v>
      </c>
    </row>
    <row r="41" spans="1:9" s="47" customFormat="1" ht="20.25" outlineLevel="1">
      <c r="B41" s="94" t="s">
        <v>483</v>
      </c>
      <c r="C41" s="94"/>
      <c r="D41" s="94"/>
      <c r="E41" s="94"/>
    </row>
    <row r="42" spans="1:9" s="47" customFormat="1" ht="20.25" outlineLevel="1">
      <c r="B42" s="93" t="s">
        <v>225</v>
      </c>
      <c r="C42" s="93"/>
      <c r="D42" s="93"/>
      <c r="E42" s="93"/>
    </row>
    <row r="43" spans="1:9" s="47" customFormat="1" ht="20.25" outlineLevel="1">
      <c r="B43" s="94" t="s">
        <v>151</v>
      </c>
      <c r="C43" s="94"/>
      <c r="D43" s="94"/>
      <c r="E43" s="94"/>
    </row>
    <row r="44" spans="1:9" ht="18" customHeight="1" outlineLevel="1">
      <c r="B44" s="40" t="s">
        <v>220</v>
      </c>
    </row>
    <row r="45" spans="1:9" ht="18" customHeight="1" outlineLevel="1">
      <c r="B45" s="40" t="s">
        <v>221</v>
      </c>
    </row>
    <row r="46" spans="1:9" ht="18" customHeight="1" outlineLevel="1">
      <c r="B46" s="40" t="s">
        <v>222</v>
      </c>
    </row>
    <row r="47" spans="1:9" ht="18" customHeight="1"/>
    <row r="48" spans="1:9" ht="26.25">
      <c r="A48" s="13" t="s">
        <v>103</v>
      </c>
    </row>
    <row r="49" spans="1:11" ht="20.25" outlineLevel="1">
      <c r="A49" s="12" t="s">
        <v>32</v>
      </c>
    </row>
    <row r="50" spans="1:11" ht="20.25" outlineLevel="1">
      <c r="A50" s="10" t="s">
        <v>69</v>
      </c>
    </row>
    <row r="51" spans="1:11" ht="20.25" outlineLevel="1">
      <c r="A51" s="10" t="s">
        <v>70</v>
      </c>
    </row>
    <row r="52" spans="1:11" ht="20.25" outlineLevel="1">
      <c r="A52" s="10" t="s">
        <v>71</v>
      </c>
    </row>
    <row r="53" spans="1:11" ht="20.25" outlineLevel="1">
      <c r="A53" s="10" t="s">
        <v>72</v>
      </c>
    </row>
    <row r="54" spans="1:11" outlineLevel="1"/>
    <row r="55" spans="1:11" ht="20.25" outlineLevel="1">
      <c r="A55" s="12" t="s">
        <v>85</v>
      </c>
    </row>
    <row r="56" spans="1:11" ht="20.25" outlineLevel="1">
      <c r="A56" s="7" t="s">
        <v>73</v>
      </c>
    </row>
    <row r="57" spans="1:11" ht="20.25" outlineLevel="1">
      <c r="A57" s="7" t="s">
        <v>74</v>
      </c>
    </row>
    <row r="58" spans="1:11" ht="20.25" outlineLevel="1">
      <c r="A58" s="7" t="s">
        <v>75</v>
      </c>
    </row>
    <row r="59" spans="1:11" ht="20.25" outlineLevel="1">
      <c r="A59" s="7" t="s">
        <v>76</v>
      </c>
    </row>
    <row r="60" spans="1:11" outlineLevel="1"/>
    <row r="61" spans="1:11" ht="20.25" outlineLevel="1">
      <c r="A61" s="12" t="s">
        <v>78</v>
      </c>
    </row>
    <row r="62" spans="1:11" ht="20.25" outlineLevel="1">
      <c r="A62" s="117" t="s">
        <v>33</v>
      </c>
      <c r="B62" s="117"/>
      <c r="C62" s="117"/>
      <c r="D62" s="117" t="s">
        <v>34</v>
      </c>
      <c r="E62" s="117"/>
      <c r="F62" s="117" t="s">
        <v>38</v>
      </c>
      <c r="G62" s="117"/>
      <c r="H62" s="117"/>
      <c r="I62" s="117"/>
      <c r="J62" s="117"/>
      <c r="K62" s="117"/>
    </row>
    <row r="63" spans="1:11" ht="20.25" outlineLevel="1">
      <c r="A63" s="113" t="s">
        <v>88</v>
      </c>
      <c r="B63" s="113"/>
      <c r="C63" s="113"/>
      <c r="D63" s="114" t="s">
        <v>39</v>
      </c>
      <c r="E63" s="114"/>
      <c r="F63" s="114" t="s">
        <v>35</v>
      </c>
      <c r="G63" s="114"/>
      <c r="H63" s="114"/>
      <c r="I63" s="114"/>
      <c r="J63" s="114"/>
      <c r="K63" s="114"/>
    </row>
    <row r="64" spans="1:11" ht="20.25" outlineLevel="1">
      <c r="A64" s="113" t="s">
        <v>87</v>
      </c>
      <c r="B64" s="113"/>
      <c r="C64" s="113"/>
      <c r="D64" s="114" t="s">
        <v>39</v>
      </c>
      <c r="E64" s="114"/>
      <c r="F64" s="114" t="s">
        <v>79</v>
      </c>
      <c r="G64" s="114"/>
      <c r="H64" s="114"/>
      <c r="I64" s="114"/>
      <c r="J64" s="114"/>
      <c r="K64" s="114"/>
    </row>
    <row r="65" spans="1:11" ht="20.25" outlineLevel="1">
      <c r="A65" s="113" t="s">
        <v>40</v>
      </c>
      <c r="B65" s="113"/>
      <c r="C65" s="113"/>
      <c r="D65" s="114" t="s">
        <v>39</v>
      </c>
      <c r="E65" s="114"/>
      <c r="F65" s="114" t="s">
        <v>36</v>
      </c>
      <c r="G65" s="114"/>
      <c r="H65" s="114"/>
      <c r="I65" s="114"/>
      <c r="J65" s="114"/>
      <c r="K65" s="114"/>
    </row>
    <row r="66" spans="1:11" ht="20.25" outlineLevel="1">
      <c r="A66" s="113" t="s">
        <v>86</v>
      </c>
      <c r="B66" s="113"/>
      <c r="C66" s="113"/>
      <c r="D66" s="114" t="s">
        <v>39</v>
      </c>
      <c r="E66" s="114"/>
      <c r="F66" s="114" t="s">
        <v>37</v>
      </c>
      <c r="G66" s="114"/>
      <c r="H66" s="114"/>
      <c r="I66" s="114"/>
      <c r="J66" s="114"/>
      <c r="K66" s="114"/>
    </row>
    <row r="67" spans="1:11" ht="20.25" outlineLevel="1">
      <c r="A67" s="113" t="s">
        <v>80</v>
      </c>
      <c r="B67" s="113"/>
      <c r="C67" s="113"/>
      <c r="D67" s="114" t="s">
        <v>39</v>
      </c>
      <c r="E67" s="114"/>
      <c r="F67" s="114" t="s">
        <v>35</v>
      </c>
      <c r="G67" s="114"/>
      <c r="H67" s="114"/>
      <c r="I67" s="114"/>
      <c r="J67" s="114"/>
      <c r="K67" s="114"/>
    </row>
    <row r="68" spans="1:11" ht="20.25" outlineLevel="1">
      <c r="A68" s="113" t="s">
        <v>41</v>
      </c>
      <c r="B68" s="113"/>
      <c r="C68" s="113"/>
      <c r="D68" s="114" t="s">
        <v>49</v>
      </c>
      <c r="E68" s="114"/>
      <c r="F68" s="114" t="s">
        <v>46</v>
      </c>
      <c r="G68" s="114"/>
      <c r="H68" s="114"/>
      <c r="I68" s="114"/>
      <c r="J68" s="114"/>
      <c r="K68" s="114"/>
    </row>
    <row r="69" spans="1:11" ht="20.25" outlineLevel="1">
      <c r="A69" s="113" t="s">
        <v>64</v>
      </c>
      <c r="B69" s="113"/>
      <c r="C69" s="113"/>
      <c r="D69" s="114" t="s">
        <v>49</v>
      </c>
      <c r="E69" s="114"/>
      <c r="F69" s="114" t="s">
        <v>46</v>
      </c>
      <c r="G69" s="114"/>
      <c r="H69" s="114"/>
      <c r="I69" s="114"/>
      <c r="J69" s="114"/>
      <c r="K69" s="114"/>
    </row>
    <row r="70" spans="1:11" ht="20.25" outlineLevel="1">
      <c r="A70" s="113" t="s">
        <v>43</v>
      </c>
      <c r="B70" s="113"/>
      <c r="C70" s="113"/>
      <c r="D70" s="114" t="s">
        <v>49</v>
      </c>
      <c r="E70" s="114"/>
      <c r="F70" s="114" t="s">
        <v>178</v>
      </c>
      <c r="G70" s="114"/>
      <c r="H70" s="114"/>
      <c r="I70" s="114"/>
      <c r="J70" s="114"/>
      <c r="K70" s="114"/>
    </row>
    <row r="71" spans="1:11" ht="20.25" outlineLevel="1">
      <c r="A71" s="113" t="s">
        <v>44</v>
      </c>
      <c r="B71" s="113"/>
      <c r="C71" s="113"/>
      <c r="D71" s="114" t="s">
        <v>49</v>
      </c>
      <c r="E71" s="114"/>
      <c r="F71" s="114" t="s">
        <v>48</v>
      </c>
      <c r="G71" s="114"/>
      <c r="H71" s="114"/>
      <c r="I71" s="114"/>
      <c r="J71" s="114"/>
      <c r="K71" s="114"/>
    </row>
    <row r="72" spans="1:11" ht="20.25" outlineLevel="1">
      <c r="A72" s="113" t="s">
        <v>81</v>
      </c>
      <c r="B72" s="113"/>
      <c r="C72" s="113"/>
      <c r="D72" s="114" t="s">
        <v>49</v>
      </c>
      <c r="E72" s="114"/>
      <c r="F72" s="114" t="s">
        <v>82</v>
      </c>
      <c r="G72" s="114"/>
      <c r="H72" s="114"/>
      <c r="I72" s="114"/>
      <c r="J72" s="114"/>
      <c r="K72" s="114"/>
    </row>
    <row r="73" spans="1:11" ht="20.25" outlineLevel="1">
      <c r="A73" s="113" t="s">
        <v>83</v>
      </c>
      <c r="B73" s="113"/>
      <c r="C73" s="113"/>
      <c r="D73" s="114" t="s">
        <v>50</v>
      </c>
      <c r="E73" s="114"/>
      <c r="F73" s="114" t="s">
        <v>84</v>
      </c>
      <c r="G73" s="114"/>
      <c r="H73" s="114"/>
      <c r="I73" s="114"/>
      <c r="J73" s="114"/>
      <c r="K73" s="114"/>
    </row>
    <row r="74" spans="1:11" ht="20.25" outlineLevel="1">
      <c r="A74" s="113" t="s">
        <v>45</v>
      </c>
      <c r="B74" s="113"/>
      <c r="C74" s="113"/>
      <c r="D74" s="114" t="s">
        <v>50</v>
      </c>
      <c r="E74" s="114"/>
      <c r="F74" s="114" t="s">
        <v>179</v>
      </c>
      <c r="G74" s="114"/>
      <c r="H74" s="114"/>
      <c r="I74" s="114"/>
      <c r="J74" s="114"/>
      <c r="K74" s="114"/>
    </row>
    <row r="75" spans="1:11" ht="20.25" outlineLevel="1">
      <c r="A75" s="113" t="s">
        <v>42</v>
      </c>
      <c r="B75" s="113"/>
      <c r="C75" s="113"/>
      <c r="D75" s="114" t="s">
        <v>50</v>
      </c>
      <c r="E75" s="114"/>
      <c r="F75" s="114" t="s">
        <v>47</v>
      </c>
      <c r="G75" s="114"/>
      <c r="H75" s="114"/>
      <c r="I75" s="114"/>
      <c r="J75" s="114"/>
      <c r="K75" s="114"/>
    </row>
    <row r="76" spans="1:11" ht="20.25" outlineLevel="1">
      <c r="A76" s="116" t="s">
        <v>51</v>
      </c>
      <c r="B76" s="116"/>
      <c r="C76" s="116"/>
      <c r="D76" s="115" t="s">
        <v>63</v>
      </c>
      <c r="E76" s="115"/>
      <c r="F76" s="115" t="s">
        <v>52</v>
      </c>
      <c r="G76" s="115"/>
      <c r="H76" s="115"/>
      <c r="I76" s="115"/>
      <c r="J76" s="115"/>
      <c r="K76" s="115"/>
    </row>
    <row r="77" spans="1:11" ht="20.25" outlineLevel="1">
      <c r="A77" s="116" t="s">
        <v>53</v>
      </c>
      <c r="B77" s="116"/>
      <c r="C77" s="116"/>
      <c r="D77" s="115" t="s">
        <v>63</v>
      </c>
      <c r="E77" s="115"/>
      <c r="F77" s="115" t="s">
        <v>54</v>
      </c>
      <c r="G77" s="115"/>
      <c r="H77" s="115"/>
      <c r="I77" s="115"/>
      <c r="J77" s="115"/>
      <c r="K77" s="115"/>
    </row>
    <row r="78" spans="1:11" ht="20.25" outlineLevel="1">
      <c r="A78" s="116" t="s">
        <v>55</v>
      </c>
      <c r="B78" s="116"/>
      <c r="C78" s="116"/>
      <c r="D78" s="115" t="s">
        <v>63</v>
      </c>
      <c r="E78" s="115"/>
      <c r="F78" s="115" t="s">
        <v>56</v>
      </c>
      <c r="G78" s="115"/>
      <c r="H78" s="115"/>
      <c r="I78" s="115"/>
      <c r="J78" s="115"/>
      <c r="K78" s="115"/>
    </row>
    <row r="79" spans="1:11" ht="20.25" outlineLevel="1">
      <c r="A79" s="116" t="s">
        <v>57</v>
      </c>
      <c r="B79" s="116"/>
      <c r="C79" s="116"/>
      <c r="D79" s="115" t="s">
        <v>63</v>
      </c>
      <c r="E79" s="115"/>
      <c r="F79" s="115" t="s">
        <v>58</v>
      </c>
      <c r="G79" s="115"/>
      <c r="H79" s="115"/>
      <c r="I79" s="115"/>
      <c r="J79" s="115"/>
      <c r="K79" s="115"/>
    </row>
    <row r="80" spans="1:11" ht="20.25" outlineLevel="1">
      <c r="A80" s="116" t="s">
        <v>59</v>
      </c>
      <c r="B80" s="116"/>
      <c r="C80" s="116"/>
      <c r="D80" s="115" t="s">
        <v>63</v>
      </c>
      <c r="E80" s="115"/>
      <c r="F80" s="115" t="s">
        <v>60</v>
      </c>
      <c r="G80" s="115"/>
      <c r="H80" s="115"/>
      <c r="I80" s="115"/>
      <c r="J80" s="115"/>
      <c r="K80" s="115"/>
    </row>
    <row r="81" spans="1:14" ht="20.25" outlineLevel="1">
      <c r="A81" s="116" t="s">
        <v>61</v>
      </c>
      <c r="B81" s="116"/>
      <c r="C81" s="116"/>
      <c r="D81" s="115" t="s">
        <v>63</v>
      </c>
      <c r="E81" s="115"/>
      <c r="F81" s="115" t="s">
        <v>62</v>
      </c>
      <c r="G81" s="115"/>
      <c r="H81" s="115"/>
      <c r="I81" s="115"/>
      <c r="J81" s="115"/>
      <c r="K81" s="115"/>
    </row>
    <row r="83" spans="1:14" ht="26.25">
      <c r="A83" s="13" t="s">
        <v>66</v>
      </c>
    </row>
    <row r="84" spans="1:14" ht="20.25" outlineLevel="1">
      <c r="A84" s="7" t="s">
        <v>77</v>
      </c>
    </row>
    <row r="85" spans="1:14" ht="20.25" outlineLevel="1">
      <c r="A85" s="7" t="s">
        <v>484</v>
      </c>
    </row>
    <row r="86" spans="1:14" ht="20.25" outlineLevel="1">
      <c r="A86" s="7" t="s">
        <v>485</v>
      </c>
    </row>
    <row r="87" spans="1:14" ht="20.25" outlineLevel="1">
      <c r="A87" s="7" t="s">
        <v>150</v>
      </c>
      <c r="N87" s="82"/>
    </row>
    <row r="88" spans="1:14" ht="16.5">
      <c r="A88" s="50"/>
    </row>
    <row r="89" spans="1:14" ht="26.25">
      <c r="A89" s="13" t="s">
        <v>67</v>
      </c>
    </row>
    <row r="90" spans="1:14" ht="20.25" outlineLevel="1">
      <c r="A90" s="61" t="s">
        <v>613</v>
      </c>
    </row>
    <row r="91" spans="1:14" ht="20.25" outlineLevel="1">
      <c r="A91" s="61" t="s">
        <v>614</v>
      </c>
    </row>
    <row r="92" spans="1:14" ht="20.25" outlineLevel="1">
      <c r="A92" s="61" t="s">
        <v>615</v>
      </c>
    </row>
    <row r="93" spans="1:14" ht="20.25" outlineLevel="1">
      <c r="A93" s="61" t="s">
        <v>625</v>
      </c>
    </row>
    <row r="94" spans="1:14" ht="20.25" outlineLevel="1">
      <c r="A94" s="61" t="s">
        <v>627</v>
      </c>
    </row>
    <row r="95" spans="1:14" ht="20.25" outlineLevel="1">
      <c r="A95" s="61"/>
    </row>
    <row r="96" spans="1:14" ht="20.25" outlineLevel="1">
      <c r="A96" s="61" t="s">
        <v>616</v>
      </c>
    </row>
    <row r="97" spans="1:1" ht="20.25" outlineLevel="1">
      <c r="A97" s="61" t="s">
        <v>617</v>
      </c>
    </row>
    <row r="98" spans="1:1" ht="20.25" outlineLevel="1">
      <c r="A98" s="61"/>
    </row>
    <row r="99" spans="1:1" ht="20.25" outlineLevel="1">
      <c r="A99" s="61" t="s">
        <v>618</v>
      </c>
    </row>
    <row r="100" spans="1:1" ht="20.25" outlineLevel="1">
      <c r="A100" s="61"/>
    </row>
    <row r="101" spans="1:1" ht="20.25" outlineLevel="1">
      <c r="A101" s="61" t="s">
        <v>624</v>
      </c>
    </row>
    <row r="102" spans="1:1" ht="20.25" outlineLevel="1">
      <c r="A102" s="155" t="s">
        <v>623</v>
      </c>
    </row>
    <row r="103" spans="1:1" ht="20.25" outlineLevel="1">
      <c r="A103" s="155" t="s">
        <v>609</v>
      </c>
    </row>
    <row r="105" spans="1:1" ht="26.25">
      <c r="A105" s="13" t="s">
        <v>31</v>
      </c>
    </row>
    <row r="106" spans="1:1" ht="20.25" outlineLevel="1">
      <c r="A106" s="61" t="s">
        <v>345</v>
      </c>
    </row>
    <row r="107" spans="1:1" ht="20.25" outlineLevel="1">
      <c r="A107" s="61" t="s">
        <v>344</v>
      </c>
    </row>
    <row r="108" spans="1:1" ht="20.25" outlineLevel="1">
      <c r="A108" s="61" t="s">
        <v>343</v>
      </c>
    </row>
    <row r="109" spans="1:1" ht="20.25">
      <c r="A109" s="7"/>
    </row>
    <row r="110" spans="1:1" ht="20.25">
      <c r="A110" s="7"/>
    </row>
    <row r="127" spans="13:13" ht="17.25">
      <c r="M127" s="9"/>
    </row>
    <row r="128" spans="13:13" ht="17.25">
      <c r="M128" s="9"/>
    </row>
    <row r="129" spans="13:13" ht="17.25">
      <c r="M129" s="9"/>
    </row>
    <row r="130" spans="13:13" ht="17.25">
      <c r="M130" s="9"/>
    </row>
    <row r="131" spans="13:13" ht="17.25">
      <c r="M131" s="9"/>
    </row>
    <row r="132" spans="13:13" ht="17.25">
      <c r="M132" s="9"/>
    </row>
    <row r="133" spans="13:13" ht="17.25">
      <c r="M133" s="9"/>
    </row>
    <row r="134" spans="13:13" ht="17.25">
      <c r="M134" s="9"/>
    </row>
    <row r="135" spans="13:13" ht="17.25">
      <c r="M135" s="9"/>
    </row>
    <row r="136" spans="13:13" ht="17.25">
      <c r="M136" s="9"/>
    </row>
    <row r="137" spans="13:13" ht="17.25">
      <c r="M137" s="9"/>
    </row>
    <row r="138" spans="13:13" ht="17.25">
      <c r="M138" s="9"/>
    </row>
    <row r="139" spans="13:13" ht="17.25">
      <c r="M139" s="9"/>
    </row>
    <row r="140" spans="13:13" ht="17.25">
      <c r="M140" s="9"/>
    </row>
    <row r="141" spans="13:13" ht="17.25">
      <c r="M141" s="9"/>
    </row>
    <row r="142" spans="13:13" ht="17.25">
      <c r="M142" s="9"/>
    </row>
    <row r="143" spans="13:13" ht="17.25">
      <c r="M143" s="9"/>
    </row>
    <row r="144" spans="13:13" ht="17.25">
      <c r="M144" s="9"/>
    </row>
    <row r="145" spans="13:13" ht="17.25">
      <c r="M145" s="9"/>
    </row>
    <row r="146" spans="13:13" ht="17.25">
      <c r="M146" s="9"/>
    </row>
    <row r="147" spans="13:13" ht="17.25">
      <c r="M147" s="9"/>
    </row>
    <row r="148" spans="13:13" ht="17.25">
      <c r="M148" s="9"/>
    </row>
    <row r="149" spans="13:13" ht="17.25">
      <c r="M149" s="9"/>
    </row>
    <row r="150" spans="13:13" ht="17.25">
      <c r="M150" s="9"/>
    </row>
    <row r="151" spans="13:13" ht="17.25">
      <c r="M151" s="9"/>
    </row>
    <row r="152" spans="13:13" ht="17.25">
      <c r="M152" s="9"/>
    </row>
    <row r="153" spans="13:13" ht="17.25">
      <c r="M153" s="9"/>
    </row>
    <row r="154" spans="13:13" ht="17.25">
      <c r="M154" s="9"/>
    </row>
    <row r="155" spans="13:13" ht="17.25">
      <c r="M155" s="9"/>
    </row>
    <row r="156" spans="13:13" ht="17.25">
      <c r="M156" s="9"/>
    </row>
    <row r="157" spans="13:13" ht="17.25">
      <c r="M157" s="9"/>
    </row>
    <row r="158" spans="13:13" ht="17.25">
      <c r="M158" s="9"/>
    </row>
  </sheetData>
  <mergeCells count="87">
    <mergeCell ref="D73:E73"/>
    <mergeCell ref="F73:K73"/>
    <mergeCell ref="A62:C62"/>
    <mergeCell ref="D62:E62"/>
    <mergeCell ref="F62:K62"/>
    <mergeCell ref="F71:K71"/>
    <mergeCell ref="A72:C72"/>
    <mergeCell ref="D72:E72"/>
    <mergeCell ref="F72:K72"/>
    <mergeCell ref="F66:K66"/>
    <mergeCell ref="A67:C67"/>
    <mergeCell ref="D67:E67"/>
    <mergeCell ref="F67:K67"/>
    <mergeCell ref="A68:C68"/>
    <mergeCell ref="D68:E68"/>
    <mergeCell ref="F68:K68"/>
    <mergeCell ref="F74:K74"/>
    <mergeCell ref="D74:E74"/>
    <mergeCell ref="A74:C74"/>
    <mergeCell ref="A73:C73"/>
    <mergeCell ref="F79:K79"/>
    <mergeCell ref="A75:C75"/>
    <mergeCell ref="D75:E75"/>
    <mergeCell ref="F75:K75"/>
    <mergeCell ref="A76:C76"/>
    <mergeCell ref="D76:E76"/>
    <mergeCell ref="F76:K76"/>
    <mergeCell ref="D78:E78"/>
    <mergeCell ref="F78:K78"/>
    <mergeCell ref="A78:C78"/>
    <mergeCell ref="A79:C79"/>
    <mergeCell ref="D79:E79"/>
    <mergeCell ref="A80:C80"/>
    <mergeCell ref="D80:E80"/>
    <mergeCell ref="F80:K80"/>
    <mergeCell ref="A81:C81"/>
    <mergeCell ref="D81:E81"/>
    <mergeCell ref="F81:K81"/>
    <mergeCell ref="A63:C63"/>
    <mergeCell ref="D63:E63"/>
    <mergeCell ref="F63:K63"/>
    <mergeCell ref="D77:E77"/>
    <mergeCell ref="F77:K77"/>
    <mergeCell ref="D69:E69"/>
    <mergeCell ref="F69:K69"/>
    <mergeCell ref="D70:E70"/>
    <mergeCell ref="F70:K70"/>
    <mergeCell ref="D64:E64"/>
    <mergeCell ref="F64:K64"/>
    <mergeCell ref="D65:E65"/>
    <mergeCell ref="F65:K65"/>
    <mergeCell ref="A77:C77"/>
    <mergeCell ref="A69:C69"/>
    <mergeCell ref="A70:C70"/>
    <mergeCell ref="A71:C71"/>
    <mergeCell ref="D71:E71"/>
    <mergeCell ref="A64:C64"/>
    <mergeCell ref="A65:C65"/>
    <mergeCell ref="A66:C66"/>
    <mergeCell ref="D66:E66"/>
    <mergeCell ref="D23:O23"/>
    <mergeCell ref="A4:O4"/>
    <mergeCell ref="A12:O12"/>
    <mergeCell ref="A13:O13"/>
    <mergeCell ref="A21:C21"/>
    <mergeCell ref="A22:C22"/>
    <mergeCell ref="A23:C23"/>
    <mergeCell ref="A18:C18"/>
    <mergeCell ref="A19:C19"/>
    <mergeCell ref="A20:C20"/>
    <mergeCell ref="D18:O18"/>
    <mergeCell ref="B43:E43"/>
    <mergeCell ref="B28:E28"/>
    <mergeCell ref="A15:O15"/>
    <mergeCell ref="A8:C8"/>
    <mergeCell ref="A9:C9"/>
    <mergeCell ref="D8:O8"/>
    <mergeCell ref="D9:O9"/>
    <mergeCell ref="B33:E33"/>
    <mergeCell ref="B39:E39"/>
    <mergeCell ref="B40:E40"/>
    <mergeCell ref="B41:E41"/>
    <mergeCell ref="B42:E42"/>
    <mergeCell ref="D19:O19"/>
    <mergeCell ref="D20:O20"/>
    <mergeCell ref="D21:O21"/>
    <mergeCell ref="D22:O22"/>
  </mergeCells>
  <hyperlinks>
    <hyperlink ref="A107" r:id="rId1" xr:uid="{EF955531-8589-4F14-B80E-54B6A55FA6A3}"/>
    <hyperlink ref="A108" r:id="rId2" xr:uid="{4B174C0D-4541-4E7B-A122-949BE5E1A909}"/>
    <hyperlink ref="A106" r:id="rId3" xr:uid="{7F579CAB-1A36-47FB-B0C1-CBC4B1EE7873}"/>
    <hyperlink ref="A90" location="Examples!J5" display="Range [Easy]" xr:uid="{09D78118-F6EE-4C05-B940-2CEE1B927337}"/>
    <hyperlink ref="A91" location="Examples!J19" display="Interquartile Range [Easy]" xr:uid="{94AF459D-9396-4EC4-B9DC-821BCDA52446}"/>
    <hyperlink ref="A92" location="Examples!J43" display="Standard Error of Mean [Easy]" xr:uid="{BCAC21C9-74F5-4CBA-ABD0-AC8F74ECEC26}"/>
    <hyperlink ref="A93" location="Examples!J67" display="Margin of Error [Easy]" xr:uid="{803E7792-0F55-4A64-B263-426E1182A67D}"/>
    <hyperlink ref="A94" location="Examples!J91" display="Relative Standard Deviation (w/ Optional Parameter) [Easy - Moderare]" xr:uid="{993F0150-0629-4D20-A9CD-FA528C79D836}"/>
    <hyperlink ref="A96" location="Examples!J144" display="Calculate Z-Score of Each Record in Dataset [East - Moderate]" xr:uid="{57EB6B09-EC14-449A-9C14-6105006AFA10}"/>
    <hyperlink ref="A97" location="Examples!I182" display="Create Warning Column for Dataset Based on Rules [Advanced]" xr:uid="{523AB15A-696D-4534-9874-0960B8DD4EAE}"/>
    <hyperlink ref="A99" location="Examples!J250" display="Dilution Equation: Solve for the Unknown [Moderate - Advanced]" xr:uid="{10B6CF72-1090-46E2-BBE3-B173964A795E}"/>
    <hyperlink ref="A102" location="Examples!J294" display="Original Status Formula [Easy - Moderate]" xr:uid="{E3A189CD-2B35-4946-91E5-78FC4B61BC1F}"/>
    <hyperlink ref="A101" location="Examples!A270" display="LET's Make This Formula Better [Easy - Advanced++]" xr:uid="{75D0616F-AC8C-4BDE-9E75-6D1EE7804577}"/>
    <hyperlink ref="A103" location="Examples!K294" display="Revision 1 [Moderate]: Add Variables and Helper LAMBDA" xr:uid="{56497395-8F3D-4836-8F65-5934A336F34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B48A-60CD-4673-B220-3EB588E5570B}">
  <dimension ref="A1:O235"/>
  <sheetViews>
    <sheetView topLeftCell="A40" zoomScaleNormal="100" workbookViewId="0">
      <selection activeCell="K198" sqref="K198"/>
    </sheetView>
  </sheetViews>
  <sheetFormatPr defaultRowHeight="15" outlineLevelRow="1"/>
  <cols>
    <col min="1" max="8" width="9" style="3"/>
    <col min="9" max="9" width="10.125" style="3" bestFit="1" customWidth="1"/>
    <col min="10" max="15" width="9" style="3"/>
    <col min="16" max="16" width="9" style="3" customWidth="1"/>
    <col min="17" max="16384" width="9" style="3"/>
  </cols>
  <sheetData>
    <row r="1" spans="1:15" ht="69">
      <c r="A1" s="11" t="s">
        <v>180</v>
      </c>
    </row>
    <row r="3" spans="1:15" ht="26.25">
      <c r="A3" s="13" t="s">
        <v>181</v>
      </c>
    </row>
    <row r="4" spans="1:15" ht="20.25" outlineLevel="1">
      <c r="A4" s="109" t="s">
        <v>182</v>
      </c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</row>
    <row r="5" spans="1:15" ht="15.75">
      <c r="A5" s="4"/>
    </row>
    <row r="6" spans="1:15" ht="26.25">
      <c r="A6" s="13" t="s">
        <v>213</v>
      </c>
    </row>
    <row r="7" spans="1:15" ht="16.5" outlineLevel="1">
      <c r="A7" s="42"/>
    </row>
    <row r="8" spans="1:15" ht="48.75" customHeight="1" outlineLevel="1">
      <c r="A8" s="102" t="s">
        <v>183</v>
      </c>
      <c r="B8" s="102"/>
      <c r="C8" s="102"/>
      <c r="D8" s="104" t="s">
        <v>184</v>
      </c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ht="48.75" customHeight="1" outlineLevel="1">
      <c r="A9" s="102" t="s">
        <v>185</v>
      </c>
      <c r="B9" s="102"/>
      <c r="C9" s="102"/>
      <c r="D9" s="104" t="s">
        <v>186</v>
      </c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ht="48.75" customHeight="1" outlineLevel="1">
      <c r="A10" s="102" t="s">
        <v>187</v>
      </c>
      <c r="B10" s="102"/>
      <c r="C10" s="102"/>
      <c r="D10" s="103" t="s">
        <v>226</v>
      </c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ht="48.75" customHeight="1" outlineLevel="1">
      <c r="A11" s="102" t="s">
        <v>189</v>
      </c>
      <c r="B11" s="102"/>
      <c r="C11" s="102"/>
      <c r="D11" s="103" t="s">
        <v>188</v>
      </c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ht="48.75" customHeight="1" outlineLevel="1">
      <c r="A12" s="102" t="s">
        <v>190</v>
      </c>
      <c r="B12" s="102"/>
      <c r="C12" s="102"/>
      <c r="D12" s="104" t="s">
        <v>191</v>
      </c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ht="15.75">
      <c r="A13" s="4"/>
    </row>
    <row r="14" spans="1:15" ht="26.25">
      <c r="A14" s="13" t="s">
        <v>28</v>
      </c>
    </row>
    <row r="15" spans="1:15" ht="20.25" outlineLevel="1">
      <c r="A15" s="100" t="s">
        <v>229</v>
      </c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</row>
    <row r="16" spans="1:15" ht="20.25" outlineLevel="1">
      <c r="A16" s="100" t="s">
        <v>192</v>
      </c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</row>
    <row r="17" spans="1:15" ht="20.25" outlineLevel="1">
      <c r="A17" s="7"/>
    </row>
    <row r="18" spans="1:15" ht="46.5" customHeight="1" outlineLevel="1">
      <c r="A18" s="105" t="s">
        <v>227</v>
      </c>
      <c r="B18" s="105"/>
      <c r="C18" s="105"/>
      <c r="D18" s="105"/>
      <c r="E18" s="105"/>
      <c r="F18" s="105"/>
      <c r="G18" s="105"/>
      <c r="H18" s="105"/>
      <c r="I18" s="105"/>
      <c r="J18" s="105"/>
      <c r="K18" s="105"/>
      <c r="L18" s="105"/>
      <c r="M18" s="105"/>
      <c r="N18" s="105"/>
      <c r="O18" s="105"/>
    </row>
    <row r="19" spans="1:15" outlineLevel="1"/>
    <row r="20" spans="1:15" ht="25.5" outlineLevel="1">
      <c r="A20" s="14" t="s">
        <v>15</v>
      </c>
      <c r="B20" s="14"/>
      <c r="C20" s="14"/>
      <c r="D20" s="14" t="s">
        <v>16</v>
      </c>
      <c r="E20" s="8"/>
      <c r="F20" s="8"/>
      <c r="G20" s="8"/>
      <c r="H20" s="8"/>
      <c r="I20" s="8"/>
      <c r="J20" s="8"/>
      <c r="K20" s="8"/>
      <c r="L20" s="8"/>
      <c r="M20" s="8"/>
    </row>
    <row r="21" spans="1:15" ht="27.75" outlineLevel="1">
      <c r="A21" s="108" t="s">
        <v>193</v>
      </c>
      <c r="B21" s="108"/>
      <c r="C21" s="108"/>
      <c r="D21" s="107" t="s">
        <v>195</v>
      </c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</row>
    <row r="22" spans="1:15" ht="27.75" outlineLevel="1">
      <c r="A22" s="108" t="s">
        <v>194</v>
      </c>
      <c r="B22" s="108"/>
      <c r="C22" s="108"/>
      <c r="D22" s="110" t="s">
        <v>196</v>
      </c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</row>
    <row r="23" spans="1:15" ht="27.75" outlineLevel="1">
      <c r="A23" s="108" t="s">
        <v>21</v>
      </c>
      <c r="B23" s="108"/>
      <c r="C23" s="108"/>
      <c r="D23" s="110" t="s">
        <v>197</v>
      </c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</row>
    <row r="24" spans="1:15" ht="27.75" outlineLevel="1">
      <c r="A24" s="106" t="s">
        <v>24</v>
      </c>
      <c r="B24" s="106"/>
      <c r="C24" s="106"/>
      <c r="D24" s="107" t="s">
        <v>198</v>
      </c>
      <c r="E24" s="107"/>
      <c r="F24" s="107"/>
      <c r="G24" s="107"/>
      <c r="H24" s="107"/>
      <c r="I24" s="107"/>
      <c r="J24" s="107"/>
      <c r="K24" s="107"/>
      <c r="L24" s="107"/>
      <c r="M24" s="107"/>
      <c r="N24" s="107"/>
      <c r="O24" s="107"/>
    </row>
    <row r="25" spans="1:15" ht="18" customHeight="1"/>
    <row r="26" spans="1:15" ht="26.25">
      <c r="A26" s="13" t="s">
        <v>199</v>
      </c>
    </row>
    <row r="27" spans="1:15" ht="20.25" outlineLevel="1">
      <c r="A27" s="100" t="s">
        <v>200</v>
      </c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</row>
    <row r="28" spans="1:15" ht="20.25" outlineLevel="1">
      <c r="A28" s="100" t="s">
        <v>491</v>
      </c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</row>
    <row r="29" spans="1:15" ht="20.25" outlineLevel="1">
      <c r="A29" s="12" t="s">
        <v>208</v>
      </c>
    </row>
    <row r="30" spans="1:15" ht="20.25" outlineLevel="1">
      <c r="A30" s="12"/>
    </row>
    <row r="31" spans="1:15" ht="18" customHeight="1" outlineLevel="1">
      <c r="B31" s="41" t="s">
        <v>201</v>
      </c>
      <c r="I31" s="2" t="s">
        <v>8</v>
      </c>
    </row>
    <row r="32" spans="1:15" s="44" customFormat="1" ht="25.5" customHeight="1" outlineLevel="1">
      <c r="B32" s="94" t="s">
        <v>230</v>
      </c>
      <c r="C32" s="94"/>
      <c r="D32" s="94"/>
      <c r="E32" s="94"/>
      <c r="F32" s="94"/>
      <c r="G32" s="94"/>
      <c r="I32" s="45">
        <f>POWER(2, 5)</f>
        <v>32</v>
      </c>
    </row>
    <row r="33" spans="1:10" ht="18" customHeight="1" outlineLevel="1">
      <c r="B33" s="51" t="s">
        <v>203</v>
      </c>
    </row>
    <row r="34" spans="1:10" ht="18" customHeight="1" outlineLevel="1">
      <c r="B34" s="51" t="s">
        <v>202</v>
      </c>
    </row>
    <row r="35" spans="1:10" ht="18" customHeight="1" outlineLevel="1"/>
    <row r="36" spans="1:10" ht="18" customHeight="1" outlineLevel="1">
      <c r="B36" s="41" t="s">
        <v>201</v>
      </c>
      <c r="I36" s="2" t="s">
        <v>8</v>
      </c>
    </row>
    <row r="37" spans="1:10" s="44" customFormat="1" ht="25.5" customHeight="1" outlineLevel="1">
      <c r="B37" s="94" t="s">
        <v>231</v>
      </c>
      <c r="C37" s="94"/>
      <c r="D37" s="94"/>
      <c r="E37" s="94"/>
      <c r="F37" s="94"/>
      <c r="G37" s="94"/>
      <c r="I37" s="52" t="e" cm="1" vm="1">
        <f t="array" ref="I37">_xlfn.LAMBDA(_xlpm.num,_xlpm.pwr, _xlpm.num^_xlpm.pwr)</f>
        <v>#VALUE!</v>
      </c>
      <c r="J37" s="53" t="s">
        <v>311</v>
      </c>
    </row>
    <row r="38" spans="1:10" ht="18" customHeight="1" outlineLevel="1">
      <c r="B38" s="51" t="s">
        <v>204</v>
      </c>
    </row>
    <row r="39" spans="1:10" ht="18" customHeight="1" outlineLevel="1">
      <c r="B39" s="51" t="s">
        <v>205</v>
      </c>
    </row>
    <row r="40" spans="1:10" ht="18" customHeight="1" outlineLevel="1">
      <c r="B40" s="51" t="s">
        <v>209</v>
      </c>
    </row>
    <row r="41" spans="1:10" ht="18" customHeight="1" outlineLevel="1"/>
    <row r="42" spans="1:10" ht="18" customHeight="1" outlineLevel="1">
      <c r="B42" s="41" t="s">
        <v>201</v>
      </c>
      <c r="I42" s="2" t="s">
        <v>8</v>
      </c>
    </row>
    <row r="43" spans="1:10" s="44" customFormat="1" ht="25.5" customHeight="1" outlineLevel="1">
      <c r="B43" s="94" t="s">
        <v>301</v>
      </c>
      <c r="C43" s="94"/>
      <c r="D43" s="94"/>
      <c r="E43" s="94"/>
      <c r="F43" s="94"/>
      <c r="G43" s="94"/>
      <c r="I43" s="45" cm="1">
        <f t="array" ref="I43">_xlfn.LAMBDA(_xlpm.num,_xlpm.pwr, _xlpm.num^_xlpm.pwr)(2, 5)</f>
        <v>32</v>
      </c>
    </row>
    <row r="44" spans="1:10" ht="18" customHeight="1" outlineLevel="1">
      <c r="B44" s="51" t="s">
        <v>206</v>
      </c>
    </row>
    <row r="45" spans="1:10" ht="18" customHeight="1" outlineLevel="1">
      <c r="B45" s="51" t="s">
        <v>207</v>
      </c>
    </row>
    <row r="46" spans="1:10" ht="18" customHeight="1" outlineLevel="1">
      <c r="B46" s="51" t="s">
        <v>214</v>
      </c>
    </row>
    <row r="47" spans="1:10" ht="18" customHeight="1"/>
    <row r="48" spans="1:10" ht="26.25">
      <c r="A48" s="13" t="s">
        <v>285</v>
      </c>
    </row>
    <row r="49" spans="1:15" ht="20.25" hidden="1" outlineLevel="1">
      <c r="A49" s="12" t="s">
        <v>286</v>
      </c>
    </row>
    <row r="50" spans="1:15" ht="20.25" hidden="1" outlineLevel="1">
      <c r="A50" s="48" t="s">
        <v>288</v>
      </c>
    </row>
    <row r="51" spans="1:15" ht="20.25" hidden="1" outlineLevel="1">
      <c r="A51" s="48" t="s">
        <v>287</v>
      </c>
    </row>
    <row r="52" spans="1:15" ht="20.25" hidden="1" outlineLevel="1">
      <c r="A52" s="48" t="s">
        <v>290</v>
      </c>
    </row>
    <row r="53" spans="1:15" ht="20.25" hidden="1" outlineLevel="1">
      <c r="A53" s="48" t="s">
        <v>291</v>
      </c>
    </row>
    <row r="54" spans="1:15" ht="20.25" hidden="1" outlineLevel="1">
      <c r="A54" s="48" t="s">
        <v>289</v>
      </c>
    </row>
    <row r="55" spans="1:15" ht="16.5" hidden="1" outlineLevel="1">
      <c r="A55" s="42"/>
    </row>
    <row r="56" spans="1:15" ht="20.25" hidden="1" outlineLevel="1">
      <c r="A56" s="12" t="s">
        <v>292</v>
      </c>
    </row>
    <row r="57" spans="1:15" ht="20.25" hidden="1" outlineLevel="1">
      <c r="A57" s="48" t="s">
        <v>293</v>
      </c>
    </row>
    <row r="58" spans="1:15" ht="18" hidden="1" customHeight="1" outlineLevel="1">
      <c r="A58" s="48" t="s">
        <v>294</v>
      </c>
    </row>
    <row r="59" spans="1:15" ht="18" hidden="1" customHeight="1" outlineLevel="1">
      <c r="A59" s="48"/>
    </row>
    <row r="60" spans="1:15" ht="35.25" hidden="1" outlineLevel="1">
      <c r="A60" s="105" t="s">
        <v>295</v>
      </c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</row>
    <row r="61" spans="1:15" ht="18" hidden="1" customHeight="1" outlineLevel="1">
      <c r="A61" s="48"/>
    </row>
    <row r="62" spans="1:15" ht="18" hidden="1" customHeight="1" outlineLevel="1">
      <c r="A62" s="12" t="s">
        <v>310</v>
      </c>
    </row>
    <row r="63" spans="1:15" ht="18" hidden="1" customHeight="1" outlineLevel="1"/>
    <row r="64" spans="1:15" ht="18" hidden="1" customHeight="1" outlineLevel="1">
      <c r="B64" s="41" t="s">
        <v>201</v>
      </c>
      <c r="N64" s="2" t="s">
        <v>8</v>
      </c>
    </row>
    <row r="65" spans="2:15" ht="20.25" hidden="1" outlineLevel="1">
      <c r="B65" s="94" t="s">
        <v>298</v>
      </c>
      <c r="C65" s="94"/>
      <c r="D65" s="94"/>
      <c r="E65" s="94"/>
      <c r="F65" s="94"/>
      <c r="G65" s="94"/>
      <c r="H65" s="94"/>
      <c r="I65" s="94"/>
      <c r="J65" s="94"/>
      <c r="K65" s="94"/>
      <c r="L65" s="94"/>
      <c r="N65" s="45" cm="1">
        <f t="array" ref="N65">_xlfn.LAMBDA(_xlpm.number,_xlop.power,
    _xlfn.LET(
        _xlpm.pwr, IF(_xlfn.ISOMITTED(_xlpm.power), 2, _xlpm.power),
        _xlpm.number ^ _xlpm.pwr
    )
)(2)</f>
        <v>4</v>
      </c>
    </row>
    <row r="66" spans="2:15" ht="18" hidden="1" customHeight="1" outlineLevel="1">
      <c r="B66" s="93" t="s">
        <v>296</v>
      </c>
      <c r="C66" s="93"/>
      <c r="D66" s="93"/>
      <c r="E66" s="93"/>
      <c r="F66" s="93"/>
      <c r="G66" s="93"/>
      <c r="H66" s="93"/>
      <c r="I66" s="93"/>
      <c r="J66" s="93"/>
      <c r="K66" s="93"/>
      <c r="L66" s="93"/>
    </row>
    <row r="67" spans="2:15" ht="18" hidden="1" customHeight="1" outlineLevel="1">
      <c r="B67" s="93" t="s">
        <v>297</v>
      </c>
      <c r="C67" s="93"/>
      <c r="D67" s="93"/>
      <c r="E67" s="93"/>
      <c r="F67" s="93"/>
      <c r="G67" s="93"/>
      <c r="H67" s="93"/>
      <c r="I67" s="93"/>
      <c r="J67" s="93"/>
      <c r="K67" s="93"/>
      <c r="L67" s="93"/>
    </row>
    <row r="68" spans="2:15" ht="18" hidden="1" customHeight="1" outlineLevel="1">
      <c r="B68" s="93" t="s">
        <v>302</v>
      </c>
      <c r="C68" s="93"/>
      <c r="D68" s="93"/>
      <c r="E68" s="93"/>
      <c r="F68" s="93"/>
      <c r="G68" s="93"/>
      <c r="H68" s="93"/>
      <c r="I68" s="93"/>
      <c r="J68" s="93"/>
      <c r="K68" s="93"/>
      <c r="L68" s="93"/>
    </row>
    <row r="69" spans="2:15" ht="18" hidden="1" customHeight="1" outlineLevel="1">
      <c r="B69" s="93" t="s">
        <v>299</v>
      </c>
      <c r="C69" s="93"/>
      <c r="D69" s="93"/>
      <c r="E69" s="93"/>
      <c r="F69" s="93"/>
      <c r="G69" s="93"/>
      <c r="H69" s="93"/>
      <c r="I69" s="93"/>
      <c r="J69" s="93"/>
      <c r="K69" s="93"/>
      <c r="L69" s="93"/>
    </row>
    <row r="70" spans="2:15" ht="18" hidden="1" customHeight="1" outlineLevel="1">
      <c r="B70" s="94" t="s">
        <v>300</v>
      </c>
      <c r="C70" s="94"/>
      <c r="D70" s="94"/>
      <c r="E70" s="94"/>
      <c r="F70" s="94"/>
      <c r="G70" s="94"/>
      <c r="H70" s="94"/>
      <c r="I70" s="94"/>
      <c r="J70" s="94"/>
      <c r="K70" s="94"/>
      <c r="L70" s="94"/>
    </row>
    <row r="71" spans="2:15" ht="18" hidden="1" customHeight="1" outlineLevel="1">
      <c r="B71" s="51" t="s">
        <v>303</v>
      </c>
    </row>
    <row r="72" spans="2:15" ht="18" hidden="1" customHeight="1" outlineLevel="1">
      <c r="B72" s="51" t="s">
        <v>304</v>
      </c>
    </row>
    <row r="73" spans="2:15" ht="18" hidden="1" customHeight="1" outlineLevel="1">
      <c r="B73" s="40"/>
    </row>
    <row r="74" spans="2:15" ht="18" hidden="1" customHeight="1" outlineLevel="1">
      <c r="B74" s="41" t="s">
        <v>201</v>
      </c>
      <c r="N74" s="2" t="s">
        <v>224</v>
      </c>
    </row>
    <row r="75" spans="2:15" ht="18" hidden="1" customHeight="1" outlineLevel="1">
      <c r="B75" s="94" t="s">
        <v>298</v>
      </c>
      <c r="C75" s="94"/>
      <c r="D75" s="94"/>
      <c r="E75" s="94"/>
      <c r="F75" s="94"/>
      <c r="G75" s="94"/>
      <c r="H75" s="94"/>
      <c r="I75" s="94"/>
      <c r="J75" s="94"/>
      <c r="K75" s="94"/>
      <c r="L75" s="94"/>
      <c r="N75" s="45">
        <v>2</v>
      </c>
    </row>
    <row r="76" spans="2:15" ht="18" hidden="1" customHeight="1" outlineLevel="1">
      <c r="B76" s="93" t="s">
        <v>296</v>
      </c>
      <c r="C76" s="93"/>
      <c r="D76" s="93"/>
      <c r="E76" s="93"/>
      <c r="F76" s="93"/>
      <c r="G76" s="93"/>
      <c r="H76" s="93"/>
      <c r="I76" s="93"/>
      <c r="J76" s="93"/>
      <c r="K76" s="93"/>
      <c r="L76" s="93"/>
      <c r="N76" s="45"/>
    </row>
    <row r="77" spans="2:15" ht="18" hidden="1" customHeight="1" outlineLevel="1">
      <c r="B77" s="93" t="s">
        <v>297</v>
      </c>
      <c r="C77" s="93"/>
      <c r="D77" s="93"/>
      <c r="E77" s="93"/>
      <c r="F77" s="93"/>
      <c r="G77" s="93"/>
      <c r="H77" s="93"/>
      <c r="I77" s="93"/>
      <c r="J77" s="93"/>
      <c r="K77" s="93"/>
      <c r="L77" s="93"/>
    </row>
    <row r="78" spans="2:15" ht="18" hidden="1" customHeight="1" outlineLevel="1">
      <c r="B78" s="93" t="s">
        <v>302</v>
      </c>
      <c r="C78" s="93"/>
      <c r="D78" s="93"/>
      <c r="E78" s="93"/>
      <c r="F78" s="93"/>
      <c r="G78" s="93"/>
      <c r="H78" s="93"/>
      <c r="I78" s="93"/>
      <c r="J78" s="93"/>
      <c r="K78" s="93"/>
      <c r="L78" s="93"/>
      <c r="N78" s="2" t="s">
        <v>8</v>
      </c>
    </row>
    <row r="79" spans="2:15" ht="18" hidden="1" customHeight="1" outlineLevel="1">
      <c r="B79" s="93" t="s">
        <v>299</v>
      </c>
      <c r="C79" s="93"/>
      <c r="D79" s="93"/>
      <c r="E79" s="93"/>
      <c r="F79" s="93"/>
      <c r="G79" s="93"/>
      <c r="H79" s="93"/>
      <c r="I79" s="93"/>
      <c r="J79" s="93"/>
      <c r="K79" s="93"/>
      <c r="L79" s="93"/>
      <c r="N79" s="52" cm="1">
        <f t="array" ref="N79">_xlfn.LAMBDA(_xlpm.number,_xlop.power,
    _xlfn.LET(
        _xlpm.pwr, IF(_xlfn.ISOMITTED(_xlpm.power), 2, _xlpm.power),
        _xlpm.number ^ _xlpm.pwr
    )
)(N75, N76)</f>
        <v>1</v>
      </c>
      <c r="O79" s="53" t="s">
        <v>312</v>
      </c>
    </row>
    <row r="80" spans="2:15" ht="18" hidden="1" customHeight="1" outlineLevel="1">
      <c r="B80" s="94" t="s">
        <v>305</v>
      </c>
      <c r="C80" s="94"/>
      <c r="D80" s="94"/>
      <c r="E80" s="94"/>
      <c r="F80" s="94"/>
      <c r="G80" s="94"/>
      <c r="H80" s="94"/>
      <c r="I80" s="94"/>
      <c r="J80" s="94"/>
      <c r="K80" s="94"/>
      <c r="L80" s="94"/>
    </row>
    <row r="81" spans="1:14" ht="18" hidden="1" customHeight="1" outlineLevel="1">
      <c r="B81" s="51" t="s">
        <v>308</v>
      </c>
    </row>
    <row r="82" spans="1:14" ht="18" hidden="1" customHeight="1" outlineLevel="1">
      <c r="B82" s="51" t="s">
        <v>335</v>
      </c>
    </row>
    <row r="83" spans="1:14" ht="18" hidden="1" customHeight="1" outlineLevel="1">
      <c r="B83" s="51" t="s">
        <v>309</v>
      </c>
    </row>
    <row r="84" spans="1:14" ht="18" hidden="1" customHeight="1" outlineLevel="1">
      <c r="B84" s="40"/>
    </row>
    <row r="85" spans="1:14" ht="18" hidden="1" customHeight="1" outlineLevel="1">
      <c r="B85" s="41" t="s">
        <v>201</v>
      </c>
      <c r="N85" s="2" t="s">
        <v>224</v>
      </c>
    </row>
    <row r="86" spans="1:14" ht="18" hidden="1" customHeight="1" outlineLevel="1">
      <c r="B86" s="94" t="s">
        <v>298</v>
      </c>
      <c r="C86" s="94"/>
      <c r="D86" s="94"/>
      <c r="E86" s="94"/>
      <c r="F86" s="94"/>
      <c r="G86" s="94"/>
      <c r="H86" s="94"/>
      <c r="I86" s="94"/>
      <c r="J86" s="94"/>
      <c r="K86" s="94"/>
      <c r="L86" s="94"/>
      <c r="N86" s="45">
        <v>2</v>
      </c>
    </row>
    <row r="87" spans="1:14" ht="18" hidden="1" customHeight="1" outlineLevel="1">
      <c r="B87" s="93" t="s">
        <v>296</v>
      </c>
      <c r="C87" s="93"/>
      <c r="D87" s="93"/>
      <c r="E87" s="93"/>
      <c r="F87" s="93"/>
      <c r="G87" s="93"/>
      <c r="H87" s="93"/>
      <c r="I87" s="93"/>
      <c r="J87" s="93"/>
      <c r="K87" s="93"/>
      <c r="L87" s="93"/>
      <c r="N87" s="45"/>
    </row>
    <row r="88" spans="1:14" ht="18" hidden="1" customHeight="1" outlineLevel="1">
      <c r="B88" s="93" t="s">
        <v>307</v>
      </c>
      <c r="C88" s="93"/>
      <c r="D88" s="93"/>
      <c r="E88" s="93"/>
      <c r="F88" s="93"/>
      <c r="G88" s="93"/>
      <c r="H88" s="93"/>
      <c r="I88" s="93"/>
      <c r="J88" s="93"/>
      <c r="K88" s="93"/>
      <c r="L88" s="93"/>
    </row>
    <row r="89" spans="1:14" ht="18" hidden="1" customHeight="1" outlineLevel="1">
      <c r="B89" s="93" t="s">
        <v>302</v>
      </c>
      <c r="C89" s="93"/>
      <c r="D89" s="93"/>
      <c r="E89" s="93"/>
      <c r="F89" s="93"/>
      <c r="G89" s="93"/>
      <c r="H89" s="93"/>
      <c r="I89" s="93"/>
      <c r="J89" s="93"/>
      <c r="K89" s="93"/>
      <c r="L89" s="93"/>
      <c r="N89" s="2" t="s">
        <v>8</v>
      </c>
    </row>
    <row r="90" spans="1:14" ht="18" hidden="1" customHeight="1" outlineLevel="1">
      <c r="B90" s="93" t="s">
        <v>299</v>
      </c>
      <c r="C90" s="93"/>
      <c r="D90" s="93"/>
      <c r="E90" s="93"/>
      <c r="F90" s="93"/>
      <c r="G90" s="93"/>
      <c r="H90" s="93"/>
      <c r="I90" s="93"/>
      <c r="J90" s="93"/>
      <c r="K90" s="93"/>
      <c r="L90" s="93"/>
      <c r="N90" s="45" cm="1">
        <f t="array" ref="N90">_xlfn.LAMBDA(_xlpm.number,_xlop.power,
    _xlfn.LET(
        _xlpm.pwr, IF(OR(_xlfn.ISOMITTED(_xlpm.power), ISBLANK(_xlpm.power)), 2, _xlpm.power),
        _xlpm.number ^ _xlpm.pwr
    )
)(N86, N87)</f>
        <v>4</v>
      </c>
    </row>
    <row r="91" spans="1:14" ht="18" hidden="1" customHeight="1" outlineLevel="1">
      <c r="B91" s="94" t="s">
        <v>306</v>
      </c>
      <c r="C91" s="94"/>
      <c r="D91" s="94"/>
      <c r="E91" s="94"/>
      <c r="F91" s="94"/>
      <c r="G91" s="94"/>
      <c r="H91" s="94"/>
      <c r="I91" s="94"/>
      <c r="J91" s="94"/>
      <c r="K91" s="94"/>
      <c r="L91" s="94"/>
    </row>
    <row r="92" spans="1:14" ht="18" hidden="1" customHeight="1" outlineLevel="1">
      <c r="B92" s="51" t="s">
        <v>313</v>
      </c>
    </row>
    <row r="93" spans="1:14" ht="18" hidden="1" customHeight="1" outlineLevel="1">
      <c r="B93" s="54" t="s">
        <v>314</v>
      </c>
    </row>
    <row r="94" spans="1:14" ht="18" hidden="1" customHeight="1" outlineLevel="1">
      <c r="B94" s="54" t="s">
        <v>315</v>
      </c>
    </row>
    <row r="95" spans="1:14" ht="18" customHeight="1" collapsed="1"/>
    <row r="96" spans="1:14" ht="26.25">
      <c r="A96" s="13" t="s">
        <v>210</v>
      </c>
    </row>
    <row r="97" spans="1:15" ht="20.25" hidden="1" outlineLevel="1">
      <c r="A97" s="43" t="s">
        <v>215</v>
      </c>
    </row>
    <row r="98" spans="1:15" ht="18" hidden="1" customHeight="1" outlineLevel="1">
      <c r="A98" s="12" t="s">
        <v>32</v>
      </c>
    </row>
    <row r="99" spans="1:15" ht="18" hidden="1" customHeight="1" outlineLevel="1">
      <c r="A99" s="43" t="s">
        <v>69</v>
      </c>
    </row>
    <row r="100" spans="1:15" ht="18" hidden="1" customHeight="1" outlineLevel="1">
      <c r="A100" s="43" t="s">
        <v>70</v>
      </c>
    </row>
    <row r="101" spans="1:15" ht="18" hidden="1" customHeight="1" outlineLevel="1">
      <c r="A101" s="43" t="s">
        <v>71</v>
      </c>
    </row>
    <row r="102" spans="1:15" ht="18" hidden="1" customHeight="1" outlineLevel="1">
      <c r="A102" s="43" t="s">
        <v>72</v>
      </c>
    </row>
    <row r="103" spans="1:15" hidden="1" outlineLevel="1"/>
    <row r="104" spans="1:15" ht="20.25" hidden="1" outlineLevel="1">
      <c r="A104" s="12" t="s">
        <v>85</v>
      </c>
    </row>
    <row r="105" spans="1:15" ht="20.25" hidden="1" outlineLevel="1">
      <c r="A105" s="43" t="s">
        <v>73</v>
      </c>
    </row>
    <row r="106" spans="1:15" ht="20.25" hidden="1" outlineLevel="1">
      <c r="A106" s="43" t="s">
        <v>211</v>
      </c>
    </row>
    <row r="107" spans="1:15" ht="20.25" hidden="1" outlineLevel="1">
      <c r="A107" s="43" t="s">
        <v>75</v>
      </c>
    </row>
    <row r="108" spans="1:15" ht="20.25" hidden="1" outlineLevel="1">
      <c r="A108" s="43" t="s">
        <v>212</v>
      </c>
    </row>
    <row r="109" spans="1:15" collapsed="1"/>
    <row r="110" spans="1:15" ht="26.25">
      <c r="A110" s="13" t="s">
        <v>284</v>
      </c>
    </row>
    <row r="111" spans="1:15" ht="20.25" hidden="1" outlineLevel="1">
      <c r="A111" s="99" t="s">
        <v>281</v>
      </c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</row>
    <row r="112" spans="1:15" ht="20.25" hidden="1" outlineLevel="1">
      <c r="A112" s="100" t="s">
        <v>237</v>
      </c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</row>
    <row r="113" spans="1:15" ht="20.25" hidden="1" outlineLevel="1">
      <c r="A113" s="100" t="s">
        <v>239</v>
      </c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</row>
    <row r="114" spans="1:15" ht="20.25" hidden="1" outlineLevel="1">
      <c r="A114" s="100" t="s">
        <v>238</v>
      </c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</row>
    <row r="115" spans="1:15" ht="20.25" hidden="1" outlineLevel="1">
      <c r="A115" s="101" t="s">
        <v>242</v>
      </c>
      <c r="B115" s="101"/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</row>
    <row r="116" spans="1:15" ht="20.25" hidden="1" outlineLevel="1">
      <c r="A116" s="101" t="s">
        <v>240</v>
      </c>
      <c r="B116" s="101"/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</row>
    <row r="117" spans="1:15" ht="20.25" hidden="1" outlineLevel="1">
      <c r="A117" s="101" t="s">
        <v>243</v>
      </c>
      <c r="B117" s="101"/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</row>
    <row r="118" spans="1:15" ht="20.25" hidden="1" outlineLevel="1">
      <c r="A118" s="100" t="s">
        <v>241</v>
      </c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</row>
    <row r="119" spans="1:15" ht="20.25" hidden="1" outlineLevel="1">
      <c r="A119" s="48"/>
      <c r="B119" s="48"/>
      <c r="C119" s="99" t="e" vm="2">
        <v>#VALUE!</v>
      </c>
      <c r="D119" s="99"/>
      <c r="E119" s="99"/>
      <c r="F119" s="99"/>
      <c r="G119" s="99"/>
      <c r="H119" s="48"/>
      <c r="I119" s="48"/>
      <c r="J119" s="48"/>
      <c r="K119" s="48"/>
      <c r="L119" s="48"/>
      <c r="M119" s="48"/>
      <c r="N119" s="48"/>
      <c r="O119" s="48"/>
    </row>
    <row r="120" spans="1:15" ht="20.25" hidden="1" outlineLevel="1">
      <c r="A120" s="48"/>
      <c r="B120" s="48"/>
      <c r="C120" s="99"/>
      <c r="D120" s="99"/>
      <c r="E120" s="99"/>
      <c r="F120" s="99"/>
      <c r="G120" s="99"/>
      <c r="H120" s="48"/>
      <c r="I120" s="48"/>
      <c r="J120" s="48"/>
      <c r="K120" s="48"/>
      <c r="L120" s="48"/>
      <c r="M120" s="48"/>
      <c r="N120" s="48"/>
      <c r="O120" s="48"/>
    </row>
    <row r="121" spans="1:15" ht="20.25" hidden="1" outlineLevel="1">
      <c r="A121" s="48"/>
      <c r="B121" s="48"/>
      <c r="C121" s="99"/>
      <c r="D121" s="99"/>
      <c r="E121" s="99"/>
      <c r="F121" s="99"/>
      <c r="G121" s="99"/>
      <c r="H121" s="48"/>
      <c r="I121" s="48"/>
      <c r="J121" s="48"/>
      <c r="K121" s="48"/>
      <c r="L121" s="48"/>
      <c r="M121" s="48"/>
      <c r="N121" s="48"/>
      <c r="O121" s="48"/>
    </row>
    <row r="122" spans="1:15" ht="20.25" hidden="1" outlineLevel="1">
      <c r="A122" s="48"/>
      <c r="B122" s="48"/>
      <c r="C122" s="99"/>
      <c r="D122" s="99"/>
      <c r="E122" s="99"/>
      <c r="F122" s="99"/>
      <c r="G122" s="99"/>
      <c r="H122" s="48"/>
      <c r="I122" s="48"/>
      <c r="J122" s="48"/>
      <c r="K122" s="48"/>
      <c r="L122" s="48"/>
      <c r="M122" s="48"/>
      <c r="N122" s="48"/>
      <c r="O122" s="48"/>
    </row>
    <row r="123" spans="1:15" ht="20.25" hidden="1" outlineLevel="1">
      <c r="A123" s="48"/>
      <c r="B123" s="48"/>
      <c r="C123" s="99"/>
      <c r="D123" s="99"/>
      <c r="E123" s="99"/>
      <c r="F123" s="99"/>
      <c r="G123" s="99"/>
      <c r="H123" s="48"/>
      <c r="I123" s="48"/>
      <c r="J123" s="48"/>
      <c r="K123" s="48"/>
      <c r="L123" s="48"/>
      <c r="M123" s="48"/>
      <c r="N123" s="48"/>
      <c r="O123" s="48"/>
    </row>
    <row r="124" spans="1:15" ht="20.25" hidden="1" outlineLevel="1">
      <c r="A124" s="48"/>
      <c r="B124" s="48"/>
      <c r="C124" s="99"/>
      <c r="D124" s="99"/>
      <c r="E124" s="99"/>
      <c r="F124" s="99"/>
      <c r="G124" s="99"/>
      <c r="H124" s="48"/>
      <c r="I124" s="48"/>
      <c r="J124" s="48"/>
      <c r="K124" s="48"/>
      <c r="L124" s="48"/>
      <c r="M124" s="48"/>
      <c r="N124" s="48"/>
      <c r="O124" s="48"/>
    </row>
    <row r="125" spans="1:15" ht="20.25" hidden="1" outlineLevel="1">
      <c r="A125" s="48"/>
      <c r="B125" s="48"/>
      <c r="C125" s="99"/>
      <c r="D125" s="99"/>
      <c r="E125" s="99"/>
      <c r="F125" s="99"/>
      <c r="G125" s="99"/>
      <c r="H125" s="48"/>
      <c r="I125" s="48"/>
      <c r="J125" s="48"/>
      <c r="K125" s="48"/>
      <c r="L125" s="48"/>
      <c r="M125" s="48"/>
      <c r="N125" s="48"/>
      <c r="O125" s="48"/>
    </row>
    <row r="126" spans="1:15" ht="20.25" collapsed="1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</row>
    <row r="127" spans="1:15" ht="26.25">
      <c r="A127" s="13" t="s">
        <v>283</v>
      </c>
    </row>
    <row r="128" spans="1:15" ht="20.25" hidden="1" outlineLevel="1">
      <c r="A128" s="7" t="s">
        <v>282</v>
      </c>
    </row>
    <row r="129" spans="1:15" ht="20.25" hidden="1" outlineLevel="1">
      <c r="A129" s="100" t="s">
        <v>251</v>
      </c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</row>
    <row r="130" spans="1:15" ht="20.25" hidden="1" outlineLevel="1">
      <c r="A130" s="100" t="s">
        <v>252</v>
      </c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</row>
    <row r="131" spans="1:15" ht="20.25" hidden="1" outlineLevel="1">
      <c r="A131" s="100" t="s">
        <v>253</v>
      </c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</row>
    <row r="132" spans="1:15" ht="20.25" hidden="1" outlineLevel="1">
      <c r="A132" s="100" t="s">
        <v>254</v>
      </c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</row>
    <row r="133" spans="1:15" ht="20.25" hidden="1" outlineLevel="1">
      <c r="A133" s="100" t="s">
        <v>255</v>
      </c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</row>
    <row r="134" spans="1:15" ht="20.25" hidden="1" outlineLevel="1">
      <c r="A134" s="101" t="s">
        <v>256</v>
      </c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</row>
    <row r="135" spans="1:15" ht="20.25" hidden="1" outlineLevel="1">
      <c r="A135" s="101" t="s">
        <v>257</v>
      </c>
      <c r="B135" s="101"/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</row>
    <row r="136" spans="1:15" ht="20.25" hidden="1" outlineLevel="1">
      <c r="A136" s="101" t="s">
        <v>258</v>
      </c>
      <c r="B136" s="101"/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  <c r="O136" s="101"/>
    </row>
    <row r="137" spans="1:15" ht="20.25" hidden="1" outlineLevel="1">
      <c r="A137" s="101" t="s">
        <v>259</v>
      </c>
      <c r="B137" s="101"/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  <c r="O137" s="101"/>
    </row>
    <row r="138" spans="1:15" ht="20.25" hidden="1" outlineLevel="1">
      <c r="A138" s="49"/>
      <c r="B138" s="49"/>
      <c r="C138" s="99" t="e" vm="3">
        <v>#VALUE!</v>
      </c>
      <c r="D138" s="99"/>
      <c r="E138" s="99"/>
      <c r="F138" s="99"/>
      <c r="G138" s="99"/>
      <c r="H138" s="99"/>
      <c r="I138" s="49"/>
      <c r="J138" s="49"/>
      <c r="K138" s="49"/>
      <c r="L138" s="49"/>
      <c r="M138" s="49"/>
      <c r="N138" s="49"/>
      <c r="O138" s="49"/>
    </row>
    <row r="139" spans="1:15" ht="20.25" hidden="1" outlineLevel="1">
      <c r="A139" s="49"/>
      <c r="B139" s="49"/>
      <c r="C139" s="99"/>
      <c r="D139" s="99"/>
      <c r="E139" s="99"/>
      <c r="F139" s="99"/>
      <c r="G139" s="99"/>
      <c r="H139" s="99"/>
      <c r="I139" s="49"/>
      <c r="J139" s="49"/>
      <c r="K139" s="49"/>
      <c r="L139" s="49"/>
      <c r="M139" s="49"/>
      <c r="N139" s="49"/>
      <c r="O139" s="49"/>
    </row>
    <row r="140" spans="1:15" ht="20.25" hidden="1" outlineLevel="1">
      <c r="A140" s="49"/>
      <c r="B140" s="49"/>
      <c r="C140" s="99"/>
      <c r="D140" s="99"/>
      <c r="E140" s="99"/>
      <c r="F140" s="99"/>
      <c r="G140" s="99"/>
      <c r="H140" s="99"/>
      <c r="I140" s="49"/>
      <c r="J140" s="49"/>
      <c r="K140" s="49"/>
      <c r="L140" s="49"/>
      <c r="M140" s="49"/>
      <c r="N140" s="49"/>
      <c r="O140" s="49"/>
    </row>
    <row r="141" spans="1:15" ht="20.25" hidden="1" outlineLevel="1">
      <c r="A141" s="49"/>
      <c r="B141" s="49"/>
      <c r="C141" s="99"/>
      <c r="D141" s="99"/>
      <c r="E141" s="99"/>
      <c r="F141" s="99"/>
      <c r="G141" s="99"/>
      <c r="H141" s="99"/>
      <c r="I141" s="49"/>
      <c r="J141" s="49"/>
      <c r="K141" s="49"/>
      <c r="L141" s="49"/>
      <c r="M141" s="49"/>
      <c r="N141" s="49"/>
      <c r="O141" s="49"/>
    </row>
    <row r="142" spans="1:15" ht="20.25" hidden="1" outlineLevel="1">
      <c r="A142" s="49"/>
      <c r="B142" s="49"/>
      <c r="C142" s="99"/>
      <c r="D142" s="99"/>
      <c r="E142" s="99"/>
      <c r="F142" s="99"/>
      <c r="G142" s="99"/>
      <c r="H142" s="99"/>
      <c r="I142" s="49"/>
      <c r="J142" s="49"/>
      <c r="K142" s="49"/>
      <c r="L142" s="49"/>
      <c r="M142" s="49"/>
      <c r="N142" s="49"/>
      <c r="O142" s="49"/>
    </row>
    <row r="143" spans="1:15" ht="20.25" hidden="1" outlineLevel="1">
      <c r="A143" s="49"/>
      <c r="B143" s="49"/>
      <c r="C143" s="99"/>
      <c r="D143" s="99"/>
      <c r="E143" s="99"/>
      <c r="F143" s="99"/>
      <c r="G143" s="99"/>
      <c r="H143" s="99"/>
      <c r="I143" s="49"/>
      <c r="J143" s="49"/>
      <c r="K143" s="49"/>
      <c r="L143" s="49"/>
      <c r="M143" s="49"/>
      <c r="N143" s="49"/>
      <c r="O143" s="49"/>
    </row>
    <row r="144" spans="1:15" ht="20.25" hidden="1" outlineLevel="1">
      <c r="A144" s="49"/>
      <c r="B144" s="49"/>
      <c r="C144" s="99"/>
      <c r="D144" s="99"/>
      <c r="E144" s="99"/>
      <c r="F144" s="99"/>
      <c r="G144" s="99"/>
      <c r="H144" s="99"/>
      <c r="I144" s="49"/>
      <c r="J144" s="49"/>
      <c r="K144" s="49"/>
      <c r="L144" s="49"/>
      <c r="M144" s="49"/>
      <c r="N144" s="49"/>
      <c r="O144" s="49"/>
    </row>
    <row r="145" spans="1:15" ht="20.25" hidden="1" outlineLevel="1">
      <c r="A145" s="49"/>
      <c r="B145" s="49"/>
      <c r="C145" s="99"/>
      <c r="D145" s="99"/>
      <c r="E145" s="99"/>
      <c r="F145" s="99"/>
      <c r="G145" s="99"/>
      <c r="H145" s="99"/>
      <c r="I145" s="49"/>
      <c r="J145" s="49"/>
      <c r="K145" s="49"/>
      <c r="L145" s="49"/>
      <c r="M145" s="49"/>
      <c r="N145" s="49"/>
      <c r="O145" s="49"/>
    </row>
    <row r="146" spans="1:15" ht="20.25" hidden="1" outlineLevel="1">
      <c r="A146" s="49"/>
      <c r="B146" s="49"/>
      <c r="C146" s="99"/>
      <c r="D146" s="99"/>
      <c r="E146" s="99"/>
      <c r="F146" s="99"/>
      <c r="G146" s="99"/>
      <c r="H146" s="99"/>
      <c r="I146" s="49"/>
      <c r="J146" s="49"/>
      <c r="K146" s="49"/>
      <c r="L146" s="49"/>
      <c r="M146" s="49"/>
      <c r="N146" s="49"/>
      <c r="O146" s="49"/>
    </row>
    <row r="147" spans="1:15" ht="20.25" hidden="1" outlineLevel="1">
      <c r="A147" s="49"/>
      <c r="B147" s="49"/>
      <c r="C147" s="99"/>
      <c r="D147" s="99"/>
      <c r="E147" s="99"/>
      <c r="F147" s="99"/>
      <c r="G147" s="99"/>
      <c r="H147" s="99"/>
      <c r="I147" s="49"/>
      <c r="J147" s="49"/>
      <c r="K147" s="49"/>
      <c r="L147" s="49"/>
      <c r="M147" s="49"/>
      <c r="N147" s="49"/>
      <c r="O147" s="49"/>
    </row>
    <row r="148" spans="1:15" ht="20.25" hidden="1" outlineLevel="1">
      <c r="A148" s="49"/>
      <c r="B148" s="49"/>
      <c r="C148" s="99"/>
      <c r="D148" s="99"/>
      <c r="E148" s="99"/>
      <c r="F148" s="99"/>
      <c r="G148" s="99"/>
      <c r="H148" s="99"/>
      <c r="I148" s="49"/>
      <c r="J148" s="49"/>
      <c r="K148" s="49"/>
      <c r="L148" s="49"/>
      <c r="M148" s="49"/>
      <c r="N148" s="49"/>
      <c r="O148" s="49"/>
    </row>
    <row r="149" spans="1:15" ht="20.25" hidden="1" outlineLevel="1">
      <c r="A149" s="49"/>
      <c r="B149" s="49"/>
      <c r="C149" s="99"/>
      <c r="D149" s="99"/>
      <c r="E149" s="99"/>
      <c r="F149" s="99"/>
      <c r="G149" s="99"/>
      <c r="H149" s="99"/>
      <c r="I149" s="49"/>
      <c r="J149" s="49"/>
      <c r="K149" s="49"/>
      <c r="L149" s="49"/>
      <c r="M149" s="49"/>
      <c r="N149" s="49"/>
      <c r="O149" s="49"/>
    </row>
    <row r="150" spans="1:15" ht="20.25" hidden="1" outlineLevel="1">
      <c r="A150" s="49"/>
      <c r="B150" s="49"/>
      <c r="C150" s="99"/>
      <c r="D150" s="99"/>
      <c r="E150" s="99"/>
      <c r="F150" s="99"/>
      <c r="G150" s="99"/>
      <c r="H150" s="99"/>
      <c r="I150" s="49"/>
      <c r="J150" s="49"/>
      <c r="K150" s="49"/>
      <c r="L150" s="49"/>
      <c r="M150" s="49"/>
      <c r="N150" s="49"/>
      <c r="O150" s="49"/>
    </row>
    <row r="151" spans="1:15" ht="20.25" hidden="1" outlineLevel="1">
      <c r="A151" s="49"/>
      <c r="B151" s="49"/>
      <c r="C151" s="99"/>
      <c r="D151" s="99"/>
      <c r="E151" s="99"/>
      <c r="F151" s="99"/>
      <c r="G151" s="99"/>
      <c r="H151" s="99"/>
      <c r="I151" s="49"/>
      <c r="J151" s="49"/>
      <c r="K151" s="49"/>
      <c r="L151" s="49"/>
      <c r="M151" s="49"/>
      <c r="N151" s="49"/>
      <c r="O151" s="49"/>
    </row>
    <row r="152" spans="1:15" ht="20.25" hidden="1" outlineLevel="1">
      <c r="A152" s="49"/>
      <c r="B152" s="49"/>
      <c r="C152" s="99"/>
      <c r="D152" s="99"/>
      <c r="E152" s="99"/>
      <c r="F152" s="99"/>
      <c r="G152" s="99"/>
      <c r="H152" s="99"/>
      <c r="I152" s="49"/>
      <c r="J152" s="49"/>
      <c r="K152" s="49"/>
      <c r="L152" s="49"/>
      <c r="M152" s="49"/>
      <c r="N152" s="49"/>
      <c r="O152" s="49"/>
    </row>
    <row r="153" spans="1:15" ht="20.25" hidden="1" outlineLevel="1">
      <c r="A153" s="49"/>
      <c r="B153" s="49"/>
      <c r="C153" s="99"/>
      <c r="D153" s="99"/>
      <c r="E153" s="99"/>
      <c r="F153" s="99"/>
      <c r="G153" s="99"/>
      <c r="H153" s="99"/>
      <c r="I153" s="49"/>
      <c r="J153" s="49"/>
      <c r="K153" s="49"/>
      <c r="L153" s="49"/>
      <c r="M153" s="49"/>
      <c r="N153" s="49"/>
      <c r="O153" s="49"/>
    </row>
    <row r="154" spans="1:15" ht="20.25" hidden="1" outlineLevel="1">
      <c r="A154" s="49"/>
      <c r="B154" s="49"/>
      <c r="C154" s="99"/>
      <c r="D154" s="99"/>
      <c r="E154" s="99"/>
      <c r="F154" s="99"/>
      <c r="G154" s="99"/>
      <c r="H154" s="99"/>
      <c r="I154" s="49"/>
      <c r="J154" s="49"/>
      <c r="K154" s="49"/>
      <c r="L154" s="49"/>
      <c r="M154" s="49"/>
      <c r="N154" s="49"/>
      <c r="O154" s="49"/>
    </row>
    <row r="155" spans="1:15" ht="20.25" hidden="1" outlineLevel="1">
      <c r="A155" s="49"/>
      <c r="B155" s="49"/>
      <c r="C155" s="99"/>
      <c r="D155" s="99"/>
      <c r="E155" s="99"/>
      <c r="F155" s="99"/>
      <c r="G155" s="99"/>
      <c r="H155" s="99"/>
      <c r="I155" s="49"/>
      <c r="J155" s="49"/>
      <c r="K155" s="49"/>
      <c r="L155" s="49"/>
      <c r="M155" s="49"/>
      <c r="N155" s="49"/>
      <c r="O155" s="49"/>
    </row>
    <row r="156" spans="1:15" ht="20.25" hidden="1" outlineLevel="1">
      <c r="A156" s="49"/>
      <c r="B156" s="49"/>
      <c r="C156" s="99"/>
      <c r="D156" s="99"/>
      <c r="E156" s="99"/>
      <c r="F156" s="99"/>
      <c r="G156" s="99"/>
      <c r="H156" s="99"/>
      <c r="I156" s="49"/>
      <c r="J156" s="49"/>
      <c r="K156" s="49"/>
      <c r="L156" s="49"/>
      <c r="M156" s="49"/>
      <c r="N156" s="49"/>
      <c r="O156" s="49"/>
    </row>
    <row r="157" spans="1:15" ht="20.25" collapsed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</row>
    <row r="158" spans="1:15" ht="26.25">
      <c r="A158" s="13" t="s">
        <v>260</v>
      </c>
    </row>
    <row r="159" spans="1:15" ht="16.5" hidden="1" outlineLevel="1">
      <c r="A159" s="50"/>
    </row>
    <row r="160" spans="1:15" ht="16.5" hidden="1" outlineLevel="1">
      <c r="A160" s="97" t="s">
        <v>271</v>
      </c>
      <c r="B160" s="97"/>
      <c r="C160" s="97"/>
      <c r="D160" s="96" t="s">
        <v>263</v>
      </c>
      <c r="E160" s="96"/>
      <c r="F160" s="96"/>
      <c r="G160" s="96"/>
      <c r="H160" s="96"/>
      <c r="I160" s="96"/>
      <c r="J160" s="96" t="s">
        <v>261</v>
      </c>
      <c r="K160" s="96"/>
      <c r="L160" s="96"/>
      <c r="M160" s="96"/>
      <c r="N160" s="96"/>
      <c r="O160" s="96"/>
    </row>
    <row r="161" spans="1:15" ht="42" hidden="1" customHeight="1" outlineLevel="1">
      <c r="A161" s="98" t="s">
        <v>264</v>
      </c>
      <c r="B161" s="98"/>
      <c r="C161" s="98"/>
      <c r="D161" s="95" t="s">
        <v>273</v>
      </c>
      <c r="E161" s="95"/>
      <c r="F161" s="95"/>
      <c r="G161" s="95"/>
      <c r="H161" s="95"/>
      <c r="I161" s="95"/>
      <c r="J161" s="95" t="s">
        <v>274</v>
      </c>
      <c r="K161" s="95"/>
      <c r="L161" s="95"/>
      <c r="M161" s="95"/>
      <c r="N161" s="95"/>
      <c r="O161" s="95"/>
    </row>
    <row r="162" spans="1:15" ht="41.25" hidden="1" customHeight="1" outlineLevel="1">
      <c r="A162" s="98" t="s">
        <v>265</v>
      </c>
      <c r="B162" s="98"/>
      <c r="C162" s="98"/>
      <c r="D162" s="95" t="s">
        <v>275</v>
      </c>
      <c r="E162" s="95"/>
      <c r="F162" s="95"/>
      <c r="G162" s="95"/>
      <c r="H162" s="95"/>
      <c r="I162" s="95"/>
      <c r="J162" s="95" t="s">
        <v>276</v>
      </c>
      <c r="K162" s="95"/>
      <c r="L162" s="95"/>
      <c r="M162" s="95"/>
      <c r="N162" s="95"/>
      <c r="O162" s="95"/>
    </row>
    <row r="163" spans="1:15" ht="20.25" hidden="1" customHeight="1" outlineLevel="1">
      <c r="A163" s="98" t="s">
        <v>270</v>
      </c>
      <c r="B163" s="98"/>
      <c r="C163" s="98"/>
      <c r="D163" s="95" t="s">
        <v>278</v>
      </c>
      <c r="E163" s="95"/>
      <c r="F163" s="95"/>
      <c r="G163" s="95"/>
      <c r="H163" s="95"/>
      <c r="I163" s="95"/>
      <c r="J163" s="95" t="s">
        <v>277</v>
      </c>
      <c r="K163" s="95"/>
      <c r="L163" s="95"/>
      <c r="M163" s="95"/>
      <c r="N163" s="95"/>
      <c r="O163" s="95"/>
    </row>
    <row r="164" spans="1:15" ht="20.25" hidden="1" customHeight="1" outlineLevel="1">
      <c r="A164" s="98" t="s">
        <v>29</v>
      </c>
      <c r="B164" s="98"/>
      <c r="C164" s="98"/>
      <c r="D164" s="95" t="s">
        <v>266</v>
      </c>
      <c r="E164" s="95"/>
      <c r="F164" s="95"/>
      <c r="G164" s="95"/>
      <c r="H164" s="95"/>
      <c r="I164" s="95"/>
      <c r="J164" s="95" t="s">
        <v>267</v>
      </c>
      <c r="K164" s="95"/>
      <c r="L164" s="95"/>
      <c r="M164" s="95"/>
      <c r="N164" s="95"/>
      <c r="O164" s="95"/>
    </row>
    <row r="165" spans="1:15" ht="20.25" hidden="1" customHeight="1" outlineLevel="1">
      <c r="A165" s="98" t="s">
        <v>268</v>
      </c>
      <c r="B165" s="98"/>
      <c r="C165" s="98"/>
      <c r="D165" s="95" t="s">
        <v>269</v>
      </c>
      <c r="E165" s="95"/>
      <c r="F165" s="95"/>
      <c r="G165" s="95"/>
      <c r="H165" s="95"/>
      <c r="I165" s="95"/>
      <c r="J165" s="95" t="s">
        <v>272</v>
      </c>
      <c r="K165" s="95"/>
      <c r="L165" s="95"/>
      <c r="M165" s="95"/>
      <c r="N165" s="95"/>
      <c r="O165" s="95"/>
    </row>
    <row r="166" spans="1:15" ht="20.25" hidden="1" customHeight="1" outlineLevel="1">
      <c r="A166" s="98" t="s">
        <v>262</v>
      </c>
      <c r="B166" s="98"/>
      <c r="C166" s="98"/>
      <c r="D166" s="95" t="s">
        <v>279</v>
      </c>
      <c r="E166" s="95"/>
      <c r="F166" s="95"/>
      <c r="G166" s="95"/>
      <c r="H166" s="95"/>
      <c r="I166" s="95"/>
      <c r="J166" s="95" t="s">
        <v>280</v>
      </c>
      <c r="K166" s="95"/>
      <c r="L166" s="95"/>
      <c r="M166" s="95"/>
      <c r="N166" s="95"/>
      <c r="O166" s="95"/>
    </row>
    <row r="167" spans="1:15" ht="16.5" collapsed="1">
      <c r="A167" s="50"/>
    </row>
    <row r="168" spans="1:15" ht="26.25">
      <c r="A168" s="13" t="s">
        <v>342</v>
      </c>
    </row>
    <row r="169" spans="1:15" ht="20.25" outlineLevel="1">
      <c r="A169" s="61" t="s">
        <v>613</v>
      </c>
    </row>
    <row r="170" spans="1:15" ht="20.25" outlineLevel="1">
      <c r="A170" s="61" t="s">
        <v>614</v>
      </c>
    </row>
    <row r="171" spans="1:15" ht="20.25" outlineLevel="1">
      <c r="A171" s="61" t="s">
        <v>615</v>
      </c>
    </row>
    <row r="172" spans="1:15" ht="20.25" outlineLevel="1">
      <c r="A172" s="61" t="s">
        <v>625</v>
      </c>
    </row>
    <row r="173" spans="1:15" outlineLevel="1">
      <c r="A173" s="1"/>
    </row>
    <row r="174" spans="1:15" ht="20.25" outlineLevel="1">
      <c r="A174" s="61" t="s">
        <v>627</v>
      </c>
    </row>
    <row r="175" spans="1:15" ht="20.25" outlineLevel="1">
      <c r="A175" s="61" t="s">
        <v>619</v>
      </c>
    </row>
    <row r="176" spans="1:15" outlineLevel="1">
      <c r="A176" s="1"/>
    </row>
    <row r="177" spans="1:1" ht="20.25" outlineLevel="1">
      <c r="A177" s="61" t="s">
        <v>616</v>
      </c>
    </row>
    <row r="178" spans="1:1" outlineLevel="1">
      <c r="A178" s="1"/>
    </row>
    <row r="179" spans="1:1" ht="20.25" outlineLevel="1">
      <c r="A179" s="61" t="s">
        <v>618</v>
      </c>
    </row>
    <row r="180" spans="1:1" outlineLevel="1">
      <c r="A180" s="1"/>
    </row>
    <row r="181" spans="1:1" ht="20.25" outlineLevel="1">
      <c r="A181" s="61" t="s">
        <v>624</v>
      </c>
    </row>
    <row r="182" spans="1:1" ht="20.25" outlineLevel="1">
      <c r="A182" s="155" t="s">
        <v>623</v>
      </c>
    </row>
    <row r="183" spans="1:1" ht="20.25" outlineLevel="1">
      <c r="A183" s="155" t="s">
        <v>608</v>
      </c>
    </row>
    <row r="184" spans="1:1" ht="20.25" outlineLevel="1">
      <c r="A184" s="155" t="s">
        <v>610</v>
      </c>
    </row>
    <row r="185" spans="1:1" ht="16.5">
      <c r="A185" s="50"/>
    </row>
    <row r="186" spans="1:1" ht="26.25">
      <c r="A186" s="13" t="s">
        <v>340</v>
      </c>
    </row>
    <row r="187" spans="1:1" ht="20.25" outlineLevel="1">
      <c r="A187" s="61" t="s">
        <v>336</v>
      </c>
    </row>
    <row r="188" spans="1:1" ht="20.25" outlineLevel="1">
      <c r="A188" s="61" t="s">
        <v>337</v>
      </c>
    </row>
    <row r="189" spans="1:1" ht="20.25" outlineLevel="1">
      <c r="A189" s="61" t="s">
        <v>338</v>
      </c>
    </row>
    <row r="190" spans="1:1" ht="20.25" outlineLevel="1">
      <c r="A190" s="61" t="s">
        <v>339</v>
      </c>
    </row>
    <row r="191" spans="1:1" ht="20.25" outlineLevel="1">
      <c r="A191" s="61" t="s">
        <v>341</v>
      </c>
    </row>
    <row r="204" spans="13:13" ht="17.25">
      <c r="M204" s="9"/>
    </row>
    <row r="205" spans="13:13" ht="17.25">
      <c r="M205" s="9"/>
    </row>
    <row r="206" spans="13:13" ht="17.25">
      <c r="M206" s="9"/>
    </row>
    <row r="207" spans="13:13" ht="17.25">
      <c r="M207" s="9"/>
    </row>
    <row r="208" spans="13:13" ht="17.25">
      <c r="M208" s="9"/>
    </row>
    <row r="209" spans="13:13" ht="17.25">
      <c r="M209" s="9"/>
    </row>
    <row r="210" spans="13:13" ht="17.25">
      <c r="M210" s="9"/>
    </row>
    <row r="211" spans="13:13" ht="17.25">
      <c r="M211" s="9"/>
    </row>
    <row r="212" spans="13:13" ht="17.25">
      <c r="M212" s="9"/>
    </row>
    <row r="213" spans="13:13" ht="17.25">
      <c r="M213" s="9"/>
    </row>
    <row r="214" spans="13:13" ht="17.25">
      <c r="M214" s="9"/>
    </row>
    <row r="215" spans="13:13" ht="17.25">
      <c r="M215" s="9"/>
    </row>
    <row r="216" spans="13:13" ht="17.25">
      <c r="M216" s="9"/>
    </row>
    <row r="217" spans="13:13" ht="17.25">
      <c r="M217" s="9"/>
    </row>
    <row r="218" spans="13:13" ht="17.25">
      <c r="M218" s="9"/>
    </row>
    <row r="219" spans="13:13" ht="17.25">
      <c r="M219" s="9"/>
    </row>
    <row r="220" spans="13:13" ht="17.25">
      <c r="M220" s="9"/>
    </row>
    <row r="221" spans="13:13" ht="17.25">
      <c r="M221" s="9"/>
    </row>
    <row r="222" spans="13:13" ht="17.25">
      <c r="M222" s="9"/>
    </row>
    <row r="223" spans="13:13" ht="17.25">
      <c r="M223" s="9"/>
    </row>
    <row r="224" spans="13:13" ht="17.25">
      <c r="M224" s="9"/>
    </row>
    <row r="225" spans="13:13" ht="17.25">
      <c r="M225" s="9"/>
    </row>
    <row r="226" spans="13:13" ht="17.25">
      <c r="M226" s="9"/>
    </row>
    <row r="227" spans="13:13" ht="17.25">
      <c r="M227" s="9"/>
    </row>
    <row r="228" spans="13:13" ht="17.25">
      <c r="M228" s="9"/>
    </row>
    <row r="229" spans="13:13" ht="17.25">
      <c r="M229" s="9"/>
    </row>
    <row r="230" spans="13:13" ht="17.25">
      <c r="M230" s="9"/>
    </row>
    <row r="231" spans="13:13" ht="17.25">
      <c r="M231" s="9"/>
    </row>
    <row r="232" spans="13:13" ht="17.25">
      <c r="M232" s="9"/>
    </row>
    <row r="233" spans="13:13" ht="17.25">
      <c r="M233" s="9"/>
    </row>
    <row r="234" spans="13:13" ht="17.25">
      <c r="M234" s="9"/>
    </row>
    <row r="235" spans="13:13" ht="17.25">
      <c r="M235" s="9"/>
    </row>
  </sheetData>
  <mergeCells count="86">
    <mergeCell ref="A4:O4"/>
    <mergeCell ref="A15:O15"/>
    <mergeCell ref="D23:O23"/>
    <mergeCell ref="A16:O16"/>
    <mergeCell ref="A21:C21"/>
    <mergeCell ref="D21:O21"/>
    <mergeCell ref="A22:C22"/>
    <mergeCell ref="D22:O22"/>
    <mergeCell ref="A8:C8"/>
    <mergeCell ref="D8:O8"/>
    <mergeCell ref="A9:C9"/>
    <mergeCell ref="D9:O9"/>
    <mergeCell ref="A10:C10"/>
    <mergeCell ref="D10:O10"/>
    <mergeCell ref="A23:C23"/>
    <mergeCell ref="A137:O137"/>
    <mergeCell ref="A135:O135"/>
    <mergeCell ref="A136:O136"/>
    <mergeCell ref="A133:O133"/>
    <mergeCell ref="A134:O134"/>
    <mergeCell ref="A131:O131"/>
    <mergeCell ref="A132:O132"/>
    <mergeCell ref="A129:O129"/>
    <mergeCell ref="A130:O130"/>
    <mergeCell ref="A118:O118"/>
    <mergeCell ref="A60:O60"/>
    <mergeCell ref="B37:G37"/>
    <mergeCell ref="B43:G43"/>
    <mergeCell ref="A27:O27"/>
    <mergeCell ref="A24:C24"/>
    <mergeCell ref="D24:O24"/>
    <mergeCell ref="A28:O28"/>
    <mergeCell ref="B32:G32"/>
    <mergeCell ref="A11:C11"/>
    <mergeCell ref="D11:O11"/>
    <mergeCell ref="A12:C12"/>
    <mergeCell ref="D12:O12"/>
    <mergeCell ref="A18:O18"/>
    <mergeCell ref="A163:C163"/>
    <mergeCell ref="A161:C161"/>
    <mergeCell ref="D162:I162"/>
    <mergeCell ref="A166:C166"/>
    <mergeCell ref="A165:C165"/>
    <mergeCell ref="C119:G125"/>
    <mergeCell ref="C138:H156"/>
    <mergeCell ref="B88:L88"/>
    <mergeCell ref="B87:L87"/>
    <mergeCell ref="B80:L80"/>
    <mergeCell ref="B86:L86"/>
    <mergeCell ref="B89:L89"/>
    <mergeCell ref="B90:L90"/>
    <mergeCell ref="B91:L91"/>
    <mergeCell ref="A112:O112"/>
    <mergeCell ref="A113:O113"/>
    <mergeCell ref="A114:O114"/>
    <mergeCell ref="A115:O115"/>
    <mergeCell ref="A116:O116"/>
    <mergeCell ref="A117:O117"/>
    <mergeCell ref="A111:O111"/>
    <mergeCell ref="J166:O166"/>
    <mergeCell ref="J165:O165"/>
    <mergeCell ref="J160:O160"/>
    <mergeCell ref="D160:I160"/>
    <mergeCell ref="A160:C160"/>
    <mergeCell ref="A164:C164"/>
    <mergeCell ref="J163:O163"/>
    <mergeCell ref="J164:O164"/>
    <mergeCell ref="J162:O162"/>
    <mergeCell ref="J161:O161"/>
    <mergeCell ref="A162:C162"/>
    <mergeCell ref="D161:I161"/>
    <mergeCell ref="D163:I163"/>
    <mergeCell ref="D164:I164"/>
    <mergeCell ref="D165:I165"/>
    <mergeCell ref="D166:I166"/>
    <mergeCell ref="B77:L77"/>
    <mergeCell ref="B78:L78"/>
    <mergeCell ref="B79:L79"/>
    <mergeCell ref="B65:L65"/>
    <mergeCell ref="B66:L66"/>
    <mergeCell ref="B67:L67"/>
    <mergeCell ref="B68:L68"/>
    <mergeCell ref="B69:L69"/>
    <mergeCell ref="B70:L70"/>
    <mergeCell ref="B75:L75"/>
    <mergeCell ref="B76:L76"/>
  </mergeCells>
  <hyperlinks>
    <hyperlink ref="A187" r:id="rId1" display="Microsoft Resources" xr:uid="{DF528194-6533-45DA-9A1D-4E226D0658B9}"/>
    <hyperlink ref="A188" r:id="rId2" xr:uid="{9451B5FB-4CCB-41F9-B2C5-E7950065D43B}"/>
    <hyperlink ref="A190" r:id="rId3" xr:uid="{0A4EFB12-7E25-43D9-829D-BF123D620054}"/>
    <hyperlink ref="A189" r:id="rId4" xr:uid="{B30A70D5-5753-4E37-A5AB-0A9C598D18B3}"/>
    <hyperlink ref="A191" r:id="rId5" xr:uid="{06A75961-B316-474C-B0BA-A8353BEE92F2}"/>
    <hyperlink ref="A169" location="Examples!L5" display="Range [Easy]" xr:uid="{206505DD-6CA0-4AB3-953E-8A1E18B117E8}"/>
    <hyperlink ref="A170" location="Examples!L19" display="Interquartile Range [Easy]" xr:uid="{2E8F58B1-98B1-49C5-B25A-5272D8293098}"/>
    <hyperlink ref="A171" location="Examples!L43" display="Standard Error of Mean [Easy]" xr:uid="{E280E565-9101-47B7-B943-3710932584E6}"/>
    <hyperlink ref="A172" location="Examples!L67" display="Margin of Error [Easy]" xr:uid="{C510EA20-9351-4E44-8FCA-F26B8C5FDB7F}"/>
    <hyperlink ref="A174" location="Examples!L91" display="Relative Standard Deviation [Easy]" xr:uid="{D978BF6E-E77D-4061-9F2B-BF620C2B5FEE}"/>
    <hyperlink ref="A175" location="Examples!E115" display="Table of Descriptive Statistics [Advanced+]" xr:uid="{0FC4920A-2E47-4DBD-8128-7D4B13B566B3}"/>
    <hyperlink ref="A177" location="Examples!P144" display="Calculate Z-Score of Each Record in Dataset [East - Moderate]" xr:uid="{A3E6763E-3FDB-4D79-8D03-8D34D3DF488C}"/>
    <hyperlink ref="A179" location="Examples!N255" display="Dilution Equation: Solve for the Unknown [Moderate - Advanced]" xr:uid="{41B748D9-BFDF-43BD-9BC5-C12209FB6BEC}"/>
    <hyperlink ref="A181" location="Examples!A270" display="LET's Make This Formula Better [Easy - Advanced++]" xr:uid="{0C466194-153B-481C-8F95-4F28EE859114}"/>
    <hyperlink ref="A182" location="Examples!J294" display="Original Status Formula [Easy - Moderate]" xr:uid="{B4299C6F-AAD1-4F12-8643-0F781CE53C40}"/>
    <hyperlink ref="A183" location="Examples!M294" display="Revision 2 [Advnaced+]: Dynamic Arrays and Re-Usable LAMBDA" xr:uid="{B8D36587-AF81-4492-863C-A6E7269AD6AD}"/>
    <hyperlink ref="A184" location="Examples!M419" display="Revision 3 [Advanced++]: Mask, Debug, Conditional Formatting (Second LAMBDA)" xr:uid="{5922CE27-7BC4-4E6B-B4BD-FC090D1E8E5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8BB26-DE54-4137-B899-3AF52569A9E3}">
  <dimension ref="A1:AJ498"/>
  <sheetViews>
    <sheetView zoomScaleNormal="100" workbookViewId="0">
      <pane ySplit="1" topLeftCell="A278" activePane="bottomLeft" state="frozen"/>
      <selection pane="bottomLeft" activeCell="M419" sqref="M419"/>
    </sheetView>
  </sheetViews>
  <sheetFormatPr defaultRowHeight="18.75" outlineLevelRow="2"/>
  <cols>
    <col min="1" max="1" width="9.375" style="6" customWidth="1"/>
    <col min="2" max="2" width="9.875" style="6" customWidth="1"/>
    <col min="3" max="10" width="9" style="6"/>
    <col min="11" max="11" width="9.25" style="6" customWidth="1"/>
    <col min="12" max="12" width="9.75" style="6" customWidth="1"/>
    <col min="13" max="15" width="10" style="6" bestFit="1" customWidth="1"/>
    <col min="16" max="16" width="9" style="6"/>
    <col min="17" max="17" width="10.125" style="6" bestFit="1" customWidth="1"/>
    <col min="18" max="16384" width="9" style="6"/>
  </cols>
  <sheetData>
    <row r="1" spans="1:15">
      <c r="A1" s="58" t="s">
        <v>318</v>
      </c>
      <c r="B1" s="46"/>
      <c r="C1" s="46"/>
      <c r="D1" s="119" t="s">
        <v>319</v>
      </c>
      <c r="E1" s="120"/>
      <c r="F1" s="59"/>
      <c r="G1" s="121" t="s">
        <v>4</v>
      </c>
      <c r="H1" s="122"/>
      <c r="I1" s="59"/>
      <c r="J1" s="123" t="s">
        <v>3</v>
      </c>
      <c r="K1" s="124"/>
      <c r="L1" s="59"/>
      <c r="M1" s="125" t="s">
        <v>317</v>
      </c>
      <c r="N1" s="126"/>
    </row>
    <row r="2" spans="1:15" ht="20.25">
      <c r="A2" s="12" t="s">
        <v>613</v>
      </c>
    </row>
    <row r="3" spans="1:15" outlineLevel="1">
      <c r="B3" s="27" t="s">
        <v>101</v>
      </c>
      <c r="J3" s="22" t="s">
        <v>4</v>
      </c>
      <c r="L3" s="24" t="s">
        <v>3</v>
      </c>
      <c r="N3" s="36" t="s">
        <v>1</v>
      </c>
    </row>
    <row r="4" spans="1:15" outlineLevel="1">
      <c r="A4" s="15" t="s">
        <v>2</v>
      </c>
      <c r="B4" s="55" t="s">
        <v>7</v>
      </c>
      <c r="D4" s="127" t="s">
        <v>104</v>
      </c>
      <c r="E4" s="127"/>
      <c r="F4" s="127"/>
      <c r="G4" s="127"/>
      <c r="H4" s="127"/>
      <c r="J4" s="23" t="s">
        <v>7</v>
      </c>
      <c r="L4" s="25" t="s">
        <v>7</v>
      </c>
      <c r="N4" s="37" t="s">
        <v>7</v>
      </c>
    </row>
    <row r="5" spans="1:15" outlineLevel="1">
      <c r="A5" s="17">
        <v>2028.0182475332299</v>
      </c>
      <c r="B5" s="32">
        <f>MAX($A$5:$A$14)-MIN($A$5:$A$14)</f>
        <v>1158.862103832884</v>
      </c>
      <c r="D5" s="128" t="s">
        <v>148</v>
      </c>
      <c r="E5" s="128"/>
      <c r="F5" s="128"/>
      <c r="G5" s="128"/>
      <c r="H5" s="128"/>
      <c r="J5" s="20">
        <f>_xlfn.LET(
    _xlpm.data, A5:A14,
    _xlpm.min_val, MIN(_xlpm.data),
    _xlpm.max_val, MAX(_xlpm.data),
    _xlpm.range, _xlpm.max_val - _xlpm.min_val,
    _xlpm.return, _xlpm.range,
    _xlpm.return
)</f>
        <v>1158.862103832884</v>
      </c>
      <c r="L5" s="89" cm="1">
        <f t="array" ref="L5">_xlfn.LAMBDA(_xlpm.data,
    _xlfn.LET(
        _xlpm.min_val, MIN(_xlpm.data),
        _xlpm.max_val, MAX(_xlpm.data),
        _xlpm.range, _xlpm.max_val - _xlpm.min_val,
        _xlpm.return, _xlpm.range,
        _xlpm.return
    )
)(A5:A14)</f>
        <v>1158.862103832884</v>
      </c>
      <c r="N5" s="35" cm="1">
        <f t="array" ref="N5">RANGE(A5:A14)</f>
        <v>1158.862103832884</v>
      </c>
    </row>
    <row r="6" spans="1:15" ht="18.75" customHeight="1" outlineLevel="1">
      <c r="A6" s="17">
        <v>1684.07512373445</v>
      </c>
      <c r="D6" s="128"/>
      <c r="E6" s="128"/>
      <c r="F6" s="128"/>
      <c r="G6" s="128"/>
      <c r="H6" s="128"/>
      <c r="J6" s="88"/>
      <c r="K6" s="69"/>
      <c r="L6" s="88"/>
      <c r="M6" s="69"/>
      <c r="N6" s="88"/>
      <c r="O6" s="83"/>
    </row>
    <row r="7" spans="1:15" ht="18.75" customHeight="1" outlineLevel="1">
      <c r="A7" s="17">
        <v>2682.192876565904</v>
      </c>
      <c r="D7" s="34"/>
      <c r="E7" s="34"/>
      <c r="F7" s="34"/>
      <c r="G7" s="34"/>
      <c r="H7" s="34"/>
      <c r="N7" s="88"/>
    </row>
    <row r="8" spans="1:15" outlineLevel="1">
      <c r="A8" s="17">
        <v>2609.2819714745278</v>
      </c>
      <c r="D8" s="129" t="s">
        <v>89</v>
      </c>
      <c r="E8" s="129"/>
      <c r="F8" s="129"/>
      <c r="G8" s="129"/>
      <c r="H8" s="129"/>
    </row>
    <row r="9" spans="1:15" outlineLevel="1">
      <c r="A9" s="17">
        <v>2396.9667916141302</v>
      </c>
      <c r="D9" s="129" t="s">
        <v>149</v>
      </c>
      <c r="E9" s="129"/>
      <c r="F9" s="129"/>
      <c r="G9" s="129"/>
      <c r="H9" s="129"/>
    </row>
    <row r="10" spans="1:15" outlineLevel="1">
      <c r="A10" s="17">
        <v>1523.33077273302</v>
      </c>
      <c r="D10" s="129" t="s">
        <v>105</v>
      </c>
      <c r="E10" s="129"/>
      <c r="F10" s="129"/>
      <c r="G10" s="129"/>
      <c r="H10" s="129"/>
    </row>
    <row r="11" spans="1:15" outlineLevel="1">
      <c r="A11" s="17">
        <v>1564.8975195861099</v>
      </c>
      <c r="D11" s="129" t="s">
        <v>106</v>
      </c>
      <c r="E11" s="129"/>
      <c r="F11" s="129"/>
      <c r="G11" s="129"/>
      <c r="H11" s="129"/>
    </row>
    <row r="12" spans="1:15" outlineLevel="1">
      <c r="A12" s="17">
        <v>1828.693274835317</v>
      </c>
    </row>
    <row r="13" spans="1:15" outlineLevel="1">
      <c r="A13" s="17">
        <v>2579.9720763798796</v>
      </c>
      <c r="D13" s="19" t="s">
        <v>107</v>
      </c>
      <c r="E13" s="17">
        <f>MIN(A5:A14)</f>
        <v>1523.33077273302</v>
      </c>
    </row>
    <row r="14" spans="1:15" outlineLevel="1">
      <c r="A14" s="17">
        <v>2184.2125647719422</v>
      </c>
      <c r="D14" s="19" t="s">
        <v>108</v>
      </c>
      <c r="E14" s="17">
        <f>MAX(A5:A14)</f>
        <v>2682.192876565904</v>
      </c>
    </row>
    <row r="15" spans="1:15" s="3" customFormat="1" ht="15"/>
    <row r="16" spans="1:15" ht="20.25">
      <c r="A16" s="12" t="s">
        <v>614</v>
      </c>
    </row>
    <row r="17" spans="1:14" outlineLevel="1">
      <c r="B17" s="27" t="s">
        <v>101</v>
      </c>
      <c r="J17" s="22" t="s">
        <v>4</v>
      </c>
      <c r="L17" s="24" t="s">
        <v>3</v>
      </c>
      <c r="N17" s="36" t="s">
        <v>119</v>
      </c>
    </row>
    <row r="18" spans="1:14" outlineLevel="1">
      <c r="A18" s="15" t="s">
        <v>2</v>
      </c>
      <c r="B18" s="55" t="s">
        <v>119</v>
      </c>
      <c r="D18" s="127" t="s">
        <v>120</v>
      </c>
      <c r="E18" s="127"/>
      <c r="F18" s="127"/>
      <c r="G18" s="127"/>
      <c r="H18" s="127"/>
      <c r="J18" s="23" t="s">
        <v>119</v>
      </c>
      <c r="L18" s="25" t="s">
        <v>119</v>
      </c>
      <c r="N18" s="37" t="s">
        <v>119</v>
      </c>
    </row>
    <row r="19" spans="1:14" outlineLevel="1">
      <c r="A19" s="17">
        <v>2028.0182475332299</v>
      </c>
      <c r="B19" s="32">
        <f>_xlfn.QUARTILE.INC($A$19:$A$38,3)-_xlfn.QUARTILE.INC($A$19:$A$38,1)</f>
        <v>700.25387639326573</v>
      </c>
      <c r="D19" s="132" t="s">
        <v>121</v>
      </c>
      <c r="E19" s="132"/>
      <c r="F19" s="132"/>
      <c r="G19" s="132"/>
      <c r="H19" s="132"/>
      <c r="J19" s="20">
        <f>_xlfn.LET(
    _xlpm.data, A19:A38,
    _xlpm.q_1, _xlfn.QUARTILE.INC(_xlpm.data, 1),
    _xlpm.q_3, _xlfn.QUARTILE.INC(_xlpm.data, 3),
    _xlpm.iqr, _xlpm.q_3 - _xlpm.q_1,
    _xlpm.return, _xlpm.iqr,
    _xlpm.return
)</f>
        <v>700.25387639326573</v>
      </c>
      <c r="L19" s="21" cm="1">
        <f t="array" ref="L19">_xlfn.LAMBDA(_xlpm.data,
    _xlfn.LET(
        _xlpm.q_1, _xlfn.QUARTILE.INC(_xlpm.data, 1),
        _xlpm.q_3, _xlfn.QUARTILE.INC(_xlpm.data, 3),
        _xlpm.iqr, _xlpm.q_3 - _xlpm.q_1,
        _xlpm.return, _xlpm.iqr,
        _xlpm.return
    )
)(A19:A38)</f>
        <v>700.25387639326573</v>
      </c>
      <c r="N19" s="35" cm="1">
        <f t="array" ref="N19">IQR(A19:A38)</f>
        <v>700.25387639326573</v>
      </c>
    </row>
    <row r="20" spans="1:14" outlineLevel="1">
      <c r="A20" s="17">
        <v>1684.07512373445</v>
      </c>
      <c r="D20" s="132" t="s">
        <v>122</v>
      </c>
      <c r="E20" s="132"/>
      <c r="F20" s="132"/>
      <c r="G20" s="132"/>
      <c r="H20" s="132"/>
      <c r="J20" s="83"/>
      <c r="L20" s="83"/>
      <c r="N20" s="83"/>
    </row>
    <row r="21" spans="1:14" outlineLevel="1">
      <c r="A21" s="17">
        <v>2682.192876565904</v>
      </c>
      <c r="D21" s="132" t="s">
        <v>123</v>
      </c>
      <c r="E21" s="132"/>
      <c r="F21" s="132"/>
      <c r="G21" s="132"/>
      <c r="H21" s="132"/>
    </row>
    <row r="22" spans="1:14" outlineLevel="1">
      <c r="A22" s="17">
        <v>2609.2819714745278</v>
      </c>
      <c r="D22" s="132" t="s">
        <v>126</v>
      </c>
      <c r="E22" s="132"/>
      <c r="F22" s="132"/>
      <c r="G22" s="132"/>
      <c r="H22" s="132"/>
    </row>
    <row r="23" spans="1:14" outlineLevel="1">
      <c r="A23" s="17">
        <v>2396.9667916141302</v>
      </c>
      <c r="D23" s="132" t="s">
        <v>127</v>
      </c>
      <c r="E23" s="132"/>
      <c r="F23" s="132"/>
      <c r="G23" s="132"/>
      <c r="H23" s="132"/>
    </row>
    <row r="24" spans="1:14" outlineLevel="1">
      <c r="A24" s="17">
        <v>1523.33077273302</v>
      </c>
      <c r="D24" s="132" t="s">
        <v>124</v>
      </c>
      <c r="E24" s="132"/>
      <c r="F24" s="132"/>
      <c r="G24" s="132"/>
      <c r="H24" s="132"/>
    </row>
    <row r="25" spans="1:14" outlineLevel="1">
      <c r="A25" s="17">
        <v>1564.8975195861099</v>
      </c>
      <c r="D25" s="132" t="s">
        <v>125</v>
      </c>
      <c r="E25" s="132"/>
      <c r="F25" s="132"/>
      <c r="G25" s="132"/>
      <c r="H25" s="132"/>
    </row>
    <row r="26" spans="1:14" outlineLevel="1">
      <c r="A26" s="17">
        <v>1828.693274835317</v>
      </c>
      <c r="D26" s="34"/>
      <c r="E26" s="34"/>
      <c r="F26" s="34"/>
      <c r="G26" s="34"/>
      <c r="H26" s="34"/>
    </row>
    <row r="27" spans="1:14" outlineLevel="1">
      <c r="A27" s="17">
        <v>2579.9720763798796</v>
      </c>
      <c r="D27" s="127" t="s">
        <v>117</v>
      </c>
      <c r="E27" s="127"/>
      <c r="F27" s="127"/>
      <c r="G27" s="127"/>
      <c r="H27" s="127"/>
    </row>
    <row r="28" spans="1:14" outlineLevel="1">
      <c r="A28" s="17">
        <v>2184.2125647719422</v>
      </c>
      <c r="D28" s="128" t="s">
        <v>128</v>
      </c>
      <c r="E28" s="128"/>
      <c r="F28" s="128"/>
      <c r="G28" s="128"/>
      <c r="H28" s="128"/>
    </row>
    <row r="29" spans="1:14" outlineLevel="1">
      <c r="A29" s="17">
        <v>2343.289913321687</v>
      </c>
      <c r="D29" s="128"/>
      <c r="E29" s="128"/>
      <c r="F29" s="128"/>
      <c r="G29" s="128"/>
      <c r="H29" s="128"/>
    </row>
    <row r="30" spans="1:14" outlineLevel="1">
      <c r="A30" s="17">
        <v>2705.91363016888</v>
      </c>
      <c r="D30" s="34"/>
      <c r="E30" s="34"/>
      <c r="F30" s="34"/>
      <c r="G30" s="34"/>
      <c r="H30" s="34"/>
    </row>
    <row r="31" spans="1:14" outlineLevel="1">
      <c r="A31" s="17">
        <v>2262.7913156237323</v>
      </c>
      <c r="D31" s="129" t="s">
        <v>89</v>
      </c>
      <c r="E31" s="129"/>
      <c r="F31" s="129"/>
      <c r="G31" s="129"/>
      <c r="H31" s="129"/>
    </row>
    <row r="32" spans="1:14" outlineLevel="1">
      <c r="A32" s="17">
        <v>2671.2431888853894</v>
      </c>
      <c r="D32" s="129" t="s">
        <v>129</v>
      </c>
      <c r="E32" s="129"/>
      <c r="F32" s="129"/>
      <c r="G32" s="129"/>
      <c r="H32" s="129"/>
    </row>
    <row r="33" spans="1:14" outlineLevel="1">
      <c r="A33" s="17">
        <v>1524.1826948845828</v>
      </c>
      <c r="D33" s="129" t="s">
        <v>130</v>
      </c>
      <c r="E33" s="129"/>
      <c r="F33" s="129"/>
      <c r="G33" s="129"/>
      <c r="H33" s="129"/>
    </row>
    <row r="34" spans="1:14" outlineLevel="1">
      <c r="A34" s="17">
        <v>1900.4440038869452</v>
      </c>
      <c r="D34" s="129" t="s">
        <v>131</v>
      </c>
      <c r="E34" s="129"/>
      <c r="F34" s="129"/>
      <c r="G34" s="129"/>
      <c r="H34" s="129"/>
    </row>
    <row r="35" spans="1:14" outlineLevel="1">
      <c r="A35" s="17">
        <v>1984.0815718042713</v>
      </c>
    </row>
    <row r="36" spans="1:14" outlineLevel="1">
      <c r="A36" s="17">
        <v>2395.8282841212472</v>
      </c>
    </row>
    <row r="37" spans="1:14" outlineLevel="1">
      <c r="A37" s="17">
        <v>2591.1245629295772</v>
      </c>
      <c r="D37" s="19" t="s">
        <v>132</v>
      </c>
      <c r="E37" s="17">
        <f>_xlfn.QUARTILE.INC(A19:A38,1)</f>
        <v>1882.5063216240383</v>
      </c>
    </row>
    <row r="38" spans="1:14" outlineLevel="1">
      <c r="A38" s="17">
        <v>2046.851317843325</v>
      </c>
      <c r="D38" s="19" t="s">
        <v>133</v>
      </c>
      <c r="E38" s="17">
        <f>_xlfn.QUARTILE.INC(A19:A38,3)</f>
        <v>2582.760198017304</v>
      </c>
    </row>
    <row r="39" spans="1:14" s="3" customFormat="1" ht="15"/>
    <row r="40" spans="1:14" ht="20.25">
      <c r="A40" s="12" t="s">
        <v>615</v>
      </c>
    </row>
    <row r="41" spans="1:14" outlineLevel="1">
      <c r="B41" s="27" t="s">
        <v>101</v>
      </c>
      <c r="J41" s="22" t="s">
        <v>4</v>
      </c>
      <c r="L41" s="24" t="s">
        <v>3</v>
      </c>
      <c r="N41" s="36" t="s">
        <v>134</v>
      </c>
    </row>
    <row r="42" spans="1:14" outlineLevel="1">
      <c r="A42" s="15" t="s">
        <v>2</v>
      </c>
      <c r="B42" s="55" t="s">
        <v>134</v>
      </c>
      <c r="D42" s="127" t="s">
        <v>135</v>
      </c>
      <c r="E42" s="127"/>
      <c r="F42" s="127"/>
      <c r="G42" s="127"/>
      <c r="H42" s="127"/>
      <c r="J42" s="23" t="s">
        <v>134</v>
      </c>
      <c r="L42" s="25" t="s">
        <v>134</v>
      </c>
      <c r="N42" s="37" t="s">
        <v>134</v>
      </c>
    </row>
    <row r="43" spans="1:14" outlineLevel="1">
      <c r="A43" s="17">
        <v>2028.0182475332299</v>
      </c>
      <c r="B43" s="32">
        <f>_xlfn.STDEV.S(A43:A62)/SQRT(COUNT(A43:A62))</f>
        <v>91.429186406542925</v>
      </c>
      <c r="D43" s="132" t="s">
        <v>139</v>
      </c>
      <c r="E43" s="132"/>
      <c r="F43" s="132"/>
      <c r="G43" s="132"/>
      <c r="H43" s="132"/>
      <c r="J43" s="20">
        <f>_xlfn.LET(
    _xlpm.data, A43:A62,
    _xlpm.std, _xlfn.STDEV.S(_xlpm.data),
    _xlpm.n, COUNT(_xlpm.data),
    _xlpm.sem, _xlpm.std / SQRT(_xlpm.n),
    _xlpm.return, _xlpm.sem,
    _xlpm.return
)</f>
        <v>91.429186406542925</v>
      </c>
      <c r="L43" s="21" cm="1">
        <f t="array" ref="L43">_xlfn.LAMBDA(_xlpm.data,
    _xlfn.LET(
        _xlpm.std, _xlfn.STDEV.S(_xlpm.data),
        _xlpm.n, COUNT(_xlpm.data),
        _xlpm.sem, _xlpm.std / SQRT(_xlpm.n),
        _xlpm.return, _xlpm.sem,
        _xlpm.return
    )
)(A43:A62)</f>
        <v>91.429186406542925</v>
      </c>
      <c r="N43" s="35" cm="1">
        <f t="array" ref="N43">SEM(A43:A62)</f>
        <v>91.429186406542925</v>
      </c>
    </row>
    <row r="44" spans="1:14" outlineLevel="1">
      <c r="A44" s="17">
        <v>1684.07512373445</v>
      </c>
      <c r="D44" s="132" t="s">
        <v>140</v>
      </c>
      <c r="E44" s="132"/>
      <c r="F44" s="132"/>
      <c r="G44" s="132"/>
      <c r="H44" s="132"/>
      <c r="J44" s="83"/>
      <c r="L44" s="83"/>
      <c r="N44" s="83"/>
    </row>
    <row r="45" spans="1:14" outlineLevel="1">
      <c r="A45" s="17">
        <v>2682.192876565904</v>
      </c>
      <c r="D45" s="132" t="s">
        <v>141</v>
      </c>
      <c r="E45" s="132"/>
      <c r="F45" s="132"/>
      <c r="G45" s="132"/>
      <c r="H45" s="132"/>
    </row>
    <row r="46" spans="1:14" outlineLevel="1">
      <c r="A46" s="17">
        <v>2609.2819714745278</v>
      </c>
      <c r="D46" s="132" t="s">
        <v>142</v>
      </c>
      <c r="E46" s="132"/>
      <c r="F46" s="132"/>
      <c r="G46" s="132"/>
      <c r="H46" s="132"/>
    </row>
    <row r="47" spans="1:14" outlineLevel="1">
      <c r="A47" s="17">
        <v>2396.9667916141302</v>
      </c>
      <c r="D47" s="132" t="s">
        <v>143</v>
      </c>
      <c r="E47" s="132"/>
      <c r="F47" s="132"/>
      <c r="G47" s="132"/>
      <c r="H47" s="132"/>
    </row>
    <row r="48" spans="1:14" outlineLevel="1">
      <c r="A48" s="17">
        <v>1523.33077273302</v>
      </c>
      <c r="D48" s="132" t="s">
        <v>144</v>
      </c>
      <c r="E48" s="132"/>
      <c r="F48" s="132"/>
      <c r="G48" s="132"/>
      <c r="H48" s="132"/>
    </row>
    <row r="49" spans="1:8" outlineLevel="1">
      <c r="A49" s="17">
        <v>1564.8975195861099</v>
      </c>
      <c r="D49" s="132"/>
      <c r="E49" s="132"/>
      <c r="F49" s="132"/>
      <c r="G49" s="132"/>
      <c r="H49" s="132"/>
    </row>
    <row r="50" spans="1:8" outlineLevel="1">
      <c r="A50" s="17">
        <v>1828.693274835317</v>
      </c>
      <c r="D50" s="34"/>
      <c r="E50" s="34"/>
      <c r="F50" s="34"/>
      <c r="G50" s="34"/>
      <c r="H50" s="34"/>
    </row>
    <row r="51" spans="1:8" outlineLevel="1">
      <c r="A51" s="17">
        <v>2579.9720763798796</v>
      </c>
      <c r="D51" s="127" t="s">
        <v>117</v>
      </c>
      <c r="E51" s="127"/>
      <c r="F51" s="127"/>
      <c r="G51" s="127"/>
      <c r="H51" s="127"/>
    </row>
    <row r="52" spans="1:8" outlineLevel="1">
      <c r="A52" s="17">
        <v>2184.2125647719422</v>
      </c>
      <c r="D52" s="128" t="s">
        <v>136</v>
      </c>
      <c r="E52" s="128"/>
      <c r="F52" s="128"/>
      <c r="G52" s="128"/>
      <c r="H52" s="128"/>
    </row>
    <row r="53" spans="1:8" outlineLevel="1">
      <c r="A53" s="17">
        <v>2343.289913321687</v>
      </c>
      <c r="D53" s="128"/>
      <c r="E53" s="128"/>
      <c r="F53" s="128"/>
      <c r="G53" s="128"/>
      <c r="H53" s="128"/>
    </row>
    <row r="54" spans="1:8" outlineLevel="1">
      <c r="A54" s="17">
        <v>2705.91363016888</v>
      </c>
      <c r="D54" s="34"/>
      <c r="E54" s="34"/>
      <c r="F54" s="34"/>
      <c r="G54" s="34"/>
      <c r="H54" s="34"/>
    </row>
    <row r="55" spans="1:8" outlineLevel="1">
      <c r="A55" s="17">
        <v>2262.7913156237323</v>
      </c>
      <c r="D55" s="129" t="s">
        <v>89</v>
      </c>
      <c r="E55" s="129"/>
      <c r="F55" s="129"/>
      <c r="G55" s="129"/>
      <c r="H55" s="129"/>
    </row>
    <row r="56" spans="1:8" outlineLevel="1">
      <c r="A56" s="17">
        <v>2671.2431888853894</v>
      </c>
      <c r="D56" s="129" t="s">
        <v>145</v>
      </c>
      <c r="E56" s="129"/>
      <c r="F56" s="129"/>
      <c r="G56" s="129"/>
      <c r="H56" s="129"/>
    </row>
    <row r="57" spans="1:8" outlineLevel="1">
      <c r="A57" s="17">
        <v>1524.1826948845828</v>
      </c>
      <c r="D57" s="129" t="s">
        <v>146</v>
      </c>
      <c r="E57" s="129"/>
      <c r="F57" s="129"/>
      <c r="G57" s="129"/>
      <c r="H57" s="129"/>
    </row>
    <row r="58" spans="1:8" outlineLevel="1">
      <c r="A58" s="17">
        <v>1900.4440038869452</v>
      </c>
      <c r="D58" s="129" t="s">
        <v>147</v>
      </c>
      <c r="E58" s="129"/>
      <c r="F58" s="129"/>
      <c r="G58" s="129"/>
      <c r="H58" s="129"/>
    </row>
    <row r="59" spans="1:8" outlineLevel="1">
      <c r="A59" s="17">
        <v>1984.0815718042713</v>
      </c>
    </row>
    <row r="60" spans="1:8" outlineLevel="1">
      <c r="A60" s="17">
        <v>2395.8282841212472</v>
      </c>
    </row>
    <row r="61" spans="1:8" outlineLevel="1">
      <c r="A61" s="17">
        <v>2591.1245629295772</v>
      </c>
      <c r="D61" s="19" t="s">
        <v>137</v>
      </c>
      <c r="E61" s="17">
        <f>_xlfn.STDEV.S(A43:A62)</f>
        <v>408.88375186505942</v>
      </c>
    </row>
    <row r="62" spans="1:8" outlineLevel="1">
      <c r="A62" s="17">
        <v>2046.851317843325</v>
      </c>
      <c r="D62" s="19" t="s">
        <v>138</v>
      </c>
      <c r="E62" s="17">
        <f>COUNT(A43:A62)</f>
        <v>20</v>
      </c>
    </row>
    <row r="63" spans="1:8" s="3" customFormat="1" ht="15" outlineLevel="1"/>
    <row r="64" spans="1:8" s="3" customFormat="1" ht="20.25">
      <c r="A64" s="12" t="s">
        <v>625</v>
      </c>
    </row>
    <row r="65" spans="1:14" s="3" customFormat="1" outlineLevel="1">
      <c r="A65" s="6"/>
      <c r="B65" s="27" t="s">
        <v>101</v>
      </c>
      <c r="J65" s="22" t="s">
        <v>4</v>
      </c>
      <c r="K65" s="6"/>
      <c r="L65" s="24" t="s">
        <v>3</v>
      </c>
      <c r="M65" s="6"/>
      <c r="N65" s="36" t="s">
        <v>591</v>
      </c>
    </row>
    <row r="66" spans="1:14" s="3" customFormat="1" outlineLevel="1">
      <c r="A66" s="15" t="s">
        <v>2</v>
      </c>
      <c r="B66" s="55" t="s">
        <v>591</v>
      </c>
      <c r="D66" s="127" t="s">
        <v>588</v>
      </c>
      <c r="E66" s="127"/>
      <c r="F66" s="127"/>
      <c r="G66" s="127"/>
      <c r="H66" s="127"/>
      <c r="J66" s="23" t="s">
        <v>591</v>
      </c>
      <c r="K66" s="6"/>
      <c r="L66" s="25" t="s">
        <v>591</v>
      </c>
      <c r="M66" s="6"/>
      <c r="N66" s="37" t="s">
        <v>591</v>
      </c>
    </row>
    <row r="67" spans="1:14" s="3" customFormat="1" outlineLevel="1">
      <c r="A67" s="17">
        <v>2028.0182475332299</v>
      </c>
      <c r="B67" s="32">
        <f>_xlfn.T.INV.2T(
    1-E86,
    COUNT(A67:A86)-1) * (_xlfn.STDEV.S(A67:A86) / SQRT(COUNT(A67:A86)))</f>
        <v>191.36348642387551</v>
      </c>
      <c r="D67" s="151" t="s">
        <v>635</v>
      </c>
      <c r="E67" s="151"/>
      <c r="F67" s="151"/>
      <c r="G67" s="151"/>
      <c r="H67" s="151"/>
      <c r="J67" s="20">
        <f>_xlfn.LET(
    _xlpm.data, A67:A86,
    _xlpm.conf, E86,
    _xlpm.alpha, 1 - _xlpm.conf,
    _xlpm.std, _xlfn.STDEV.S(_xlpm.data),
    _xlpm.n, COUNT(_xlpm.data),
    _xlpm.t, _xlfn.T.INV.2T(_xlpm.alpha, _xlpm.n - 1),
    _xlpm.moe, _xlpm.t * (_xlpm.std / SQRT(_xlpm.n)),
    _xlpm.return, _xlpm.moe,
    _xlpm.return
)</f>
        <v>191.36348642387551</v>
      </c>
      <c r="K67" s="6"/>
      <c r="L67" s="21" cm="1">
        <f t="array" ref="L67">_xlfn.LAMBDA(_xlpm.data,_xlpm.confidence_interval,
    _xlfn.LET(
        _xlpm.alpha, 1 - _xlpm.confidence_interval,
        _xlpm.df, COUNT(_xlpm.data) - 1,
        _xlpm.t_crit, _xlfn.T.INV.2T(_xlpm.alpha, _xlpm.df),
        _xlpm.moe, _xlpm.t_crit * SEM(_xlpm.data),
        _xlpm.return, _xlpm.moe,
        _xlpm.return
    )
)(A67:A86, E86)</f>
        <v>191.36348642387551</v>
      </c>
      <c r="M67" s="6"/>
      <c r="N67" s="35" cm="1">
        <f t="array" ref="N67">MOE(A67:A86, E86)</f>
        <v>191.36348642387551</v>
      </c>
    </row>
    <row r="68" spans="1:14" s="3" customFormat="1" outlineLevel="1">
      <c r="A68" s="17">
        <v>1684.07512373445</v>
      </c>
      <c r="B68" s="6"/>
      <c r="D68" s="151" t="s">
        <v>595</v>
      </c>
      <c r="E68" s="151"/>
      <c r="F68" s="151"/>
      <c r="G68" s="151"/>
      <c r="H68" s="151"/>
    </row>
    <row r="69" spans="1:14" s="3" customFormat="1" outlineLevel="1">
      <c r="A69" s="17">
        <v>2682.192876565904</v>
      </c>
      <c r="B69" s="6"/>
      <c r="D69" s="151" t="s">
        <v>636</v>
      </c>
      <c r="E69" s="151"/>
      <c r="F69" s="151"/>
      <c r="G69" s="151"/>
      <c r="H69" s="151"/>
    </row>
    <row r="70" spans="1:14" s="3" customFormat="1" outlineLevel="1">
      <c r="A70" s="17">
        <v>2609.2819714745278</v>
      </c>
      <c r="B70" s="6"/>
      <c r="D70" s="151" t="s">
        <v>596</v>
      </c>
      <c r="E70" s="151"/>
      <c r="F70" s="151"/>
      <c r="G70" s="151"/>
      <c r="H70" s="151"/>
    </row>
    <row r="71" spans="1:14" s="3" customFormat="1" outlineLevel="1">
      <c r="A71" s="17">
        <v>2396.9667916141302</v>
      </c>
      <c r="B71" s="6"/>
      <c r="D71" s="151" t="s">
        <v>597</v>
      </c>
      <c r="E71" s="151"/>
      <c r="F71" s="151"/>
      <c r="G71" s="151"/>
      <c r="H71" s="151"/>
    </row>
    <row r="72" spans="1:14" s="3" customFormat="1" outlineLevel="1">
      <c r="A72" s="17">
        <v>1523.33077273302</v>
      </c>
      <c r="B72" s="6"/>
      <c r="D72" s="150"/>
      <c r="E72" s="150"/>
      <c r="F72" s="150"/>
      <c r="G72" s="150"/>
      <c r="H72" s="150"/>
    </row>
    <row r="73" spans="1:14" s="3" customFormat="1" outlineLevel="1">
      <c r="A73" s="17">
        <v>1564.8975195861099</v>
      </c>
      <c r="B73" s="6"/>
      <c r="D73" s="150"/>
      <c r="E73" s="150"/>
      <c r="F73" s="150"/>
      <c r="G73" s="150"/>
      <c r="H73" s="150"/>
    </row>
    <row r="74" spans="1:14" s="3" customFormat="1" outlineLevel="1">
      <c r="A74" s="17">
        <v>1828.693274835317</v>
      </c>
      <c r="B74" s="6"/>
      <c r="D74" s="127" t="s">
        <v>589</v>
      </c>
      <c r="E74" s="127"/>
      <c r="F74" s="127"/>
      <c r="G74" s="127"/>
      <c r="H74" s="127"/>
    </row>
    <row r="75" spans="1:14" s="3" customFormat="1" outlineLevel="1">
      <c r="A75" s="17">
        <v>2579.9720763798796</v>
      </c>
      <c r="B75" s="6"/>
      <c r="C75" s="128" t="s">
        <v>593</v>
      </c>
      <c r="D75" s="128"/>
      <c r="E75" s="128"/>
      <c r="F75" s="128"/>
      <c r="G75" s="128"/>
      <c r="H75" s="128"/>
      <c r="I75" s="128"/>
    </row>
    <row r="76" spans="1:14" s="3" customFormat="1" ht="18.75" customHeight="1" outlineLevel="1">
      <c r="A76" s="17">
        <v>2184.2125647719422</v>
      </c>
      <c r="B76" s="6"/>
      <c r="C76" s="128"/>
      <c r="D76" s="128"/>
      <c r="E76" s="128"/>
      <c r="F76" s="128"/>
      <c r="G76" s="128"/>
      <c r="H76" s="128"/>
      <c r="I76" s="128"/>
    </row>
    <row r="77" spans="1:14" s="3" customFormat="1" ht="18.75" customHeight="1" outlineLevel="1">
      <c r="A77" s="17">
        <v>2343.289913321687</v>
      </c>
      <c r="B77" s="6"/>
      <c r="D77" s="34"/>
      <c r="E77" s="34"/>
      <c r="F77" s="34"/>
      <c r="G77" s="34"/>
      <c r="H77" s="34"/>
    </row>
    <row r="78" spans="1:14" s="3" customFormat="1" outlineLevel="1">
      <c r="A78" s="17">
        <v>2705.91363016888</v>
      </c>
      <c r="B78" s="6"/>
      <c r="D78" s="152" t="s">
        <v>89</v>
      </c>
      <c r="E78" s="152"/>
      <c r="F78" s="152"/>
      <c r="G78" s="152"/>
      <c r="H78" s="152"/>
    </row>
    <row r="79" spans="1:14" s="3" customFormat="1" outlineLevel="1">
      <c r="A79" s="17">
        <v>2262.7913156237323</v>
      </c>
      <c r="B79" s="6"/>
      <c r="D79" s="152" t="s">
        <v>590</v>
      </c>
      <c r="E79" s="152"/>
      <c r="F79" s="152"/>
      <c r="G79" s="152"/>
      <c r="H79" s="152"/>
    </row>
    <row r="80" spans="1:14" s="3" customFormat="1" ht="20.25" outlineLevel="1">
      <c r="A80" s="17">
        <v>2671.2431888853894</v>
      </c>
      <c r="B80" s="6"/>
      <c r="D80" s="152" t="s">
        <v>594</v>
      </c>
      <c r="E80" s="152"/>
      <c r="F80" s="152"/>
      <c r="G80" s="152"/>
      <c r="H80" s="152"/>
    </row>
    <row r="81" spans="1:17" s="3" customFormat="1" outlineLevel="1">
      <c r="A81" s="17">
        <v>1524.1826948845828</v>
      </c>
      <c r="B81" s="6"/>
      <c r="D81" s="152" t="s">
        <v>146</v>
      </c>
      <c r="E81" s="152"/>
      <c r="F81" s="152"/>
      <c r="G81" s="152"/>
      <c r="H81" s="152"/>
    </row>
    <row r="82" spans="1:17" s="3" customFormat="1" outlineLevel="1">
      <c r="A82" s="17">
        <v>1900.4440038869452</v>
      </c>
      <c r="B82" s="6"/>
      <c r="D82" s="34" t="s">
        <v>147</v>
      </c>
      <c r="E82" s="34"/>
      <c r="F82" s="34"/>
      <c r="G82" s="34"/>
      <c r="H82" s="34"/>
    </row>
    <row r="83" spans="1:17" s="3" customFormat="1" outlineLevel="1">
      <c r="A83" s="17">
        <v>1984.0815718042713</v>
      </c>
      <c r="B83" s="6"/>
      <c r="D83" s="6"/>
      <c r="E83" s="6"/>
      <c r="F83" s="6"/>
      <c r="G83" s="6"/>
      <c r="H83" s="6"/>
    </row>
    <row r="84" spans="1:17" s="3" customFormat="1" outlineLevel="1">
      <c r="A84" s="17">
        <v>2395.8282841212472</v>
      </c>
      <c r="B84" s="6"/>
      <c r="D84" s="19" t="s">
        <v>137</v>
      </c>
      <c r="E84" s="17">
        <f>_xlfn.STDEV.S(A67:A86)</f>
        <v>408.88375186505942</v>
      </c>
      <c r="F84" s="6"/>
      <c r="G84" s="6"/>
      <c r="H84" s="6"/>
    </row>
    <row r="85" spans="1:17" s="3" customFormat="1" outlineLevel="1">
      <c r="A85" s="17">
        <v>2591.1245629295772</v>
      </c>
      <c r="B85" s="6"/>
      <c r="D85" s="19" t="s">
        <v>138</v>
      </c>
      <c r="E85" s="17">
        <f>COUNT(A67:A86)</f>
        <v>20</v>
      </c>
      <c r="F85" s="6"/>
      <c r="G85" s="6"/>
      <c r="H85" s="6"/>
    </row>
    <row r="86" spans="1:17" s="3" customFormat="1" outlineLevel="1">
      <c r="A86" s="17">
        <v>2046.851317843325</v>
      </c>
      <c r="B86" s="6"/>
      <c r="D86" s="19" t="s">
        <v>592</v>
      </c>
      <c r="E86" s="17">
        <v>0.95</v>
      </c>
    </row>
    <row r="87" spans="1:17" s="3" customFormat="1" ht="15"/>
    <row r="88" spans="1:17" ht="18.75" customHeight="1">
      <c r="A88" s="12" t="s">
        <v>633</v>
      </c>
    </row>
    <row r="89" spans="1:17" ht="18.75" customHeight="1" outlineLevel="1">
      <c r="B89" s="27" t="s">
        <v>101</v>
      </c>
      <c r="J89" s="22" t="s">
        <v>4</v>
      </c>
      <c r="L89" s="24" t="s">
        <v>3</v>
      </c>
      <c r="N89" s="36" t="s">
        <v>0</v>
      </c>
      <c r="O89" s="38"/>
      <c r="P89" s="36" t="s">
        <v>152</v>
      </c>
    </row>
    <row r="90" spans="1:17" outlineLevel="1">
      <c r="A90" s="15" t="s">
        <v>2</v>
      </c>
      <c r="B90" s="55" t="s">
        <v>0</v>
      </c>
      <c r="D90" s="133" t="s">
        <v>116</v>
      </c>
      <c r="E90" s="133"/>
      <c r="F90" s="133"/>
      <c r="G90" s="133"/>
      <c r="H90" s="133"/>
      <c r="J90" s="23" t="s">
        <v>0</v>
      </c>
      <c r="L90" s="25" t="s">
        <v>0</v>
      </c>
      <c r="N90" s="37" t="s">
        <v>0</v>
      </c>
      <c r="O90" s="38"/>
      <c r="P90" s="62" t="s">
        <v>348</v>
      </c>
    </row>
    <row r="91" spans="1:17" outlineLevel="1">
      <c r="A91" s="17">
        <v>2028.0182475332299</v>
      </c>
      <c r="B91" s="32">
        <f>_xlfn.STDEV.S($A$91:$A$110)/AVERAGE($A$91:$A$110)</f>
        <v>0.18796059054015965</v>
      </c>
      <c r="D91" s="132" t="s">
        <v>109</v>
      </c>
      <c r="E91" s="132"/>
      <c r="F91" s="132"/>
      <c r="G91" s="132"/>
      <c r="H91" s="132"/>
      <c r="J91" s="20">
        <f>_xlfn.LET(
    _xlpm.data, A91:A110,
    _xlpm.avg, AVERAGE(_xlpm.data),
    _xlpm.std_dev, _xlfn.STDEV.S(_xlpm.data),
    _xlpm.rsd, _xlpm.std_dev / _xlpm.avg,
    _xlpm.return, _xlpm.rsd,
    _xlpm.return
)</f>
        <v>0.18796059054015965</v>
      </c>
      <c r="L91" s="21" cm="1">
        <f t="array" ref="L91">_xlfn.LAMBDA(_xlpm.data,
    _xlfn.LET(
        _xlpm.avg, AVERAGE(_xlpm.data),
        _xlpm.std_dev, _xlfn.STDEV.S(_xlpm.data),
        _xlpm.rsd, _xlpm.std_dev / _xlpm.avg,
        _xlpm.return, _xlpm.rsd,
        _xlpm.return
    )
)(A91:A110)</f>
        <v>0.18796059054015965</v>
      </c>
      <c r="N91" s="35" cm="1">
        <f t="array" ref="N91">RSD(A91:A110)</f>
        <v>0.18796059054015965</v>
      </c>
      <c r="P91" s="39" t="str" cm="1">
        <f t="array" ref="P91:Q93">RSD_ADV(A91:A110, TRUE)</f>
        <v>Avg</v>
      </c>
      <c r="Q91" s="17">
        <v>2175.369585134908</v>
      </c>
    </row>
    <row r="92" spans="1:17" ht="18.75" customHeight="1" outlineLevel="1">
      <c r="A92" s="17">
        <v>1684.07512373445</v>
      </c>
      <c r="D92" s="132" t="s">
        <v>110</v>
      </c>
      <c r="E92" s="132"/>
      <c r="F92" s="132"/>
      <c r="G92" s="132"/>
      <c r="H92" s="132"/>
      <c r="J92" s="83"/>
      <c r="L92" s="83"/>
      <c r="N92" s="83"/>
      <c r="P92" s="67" t="str">
        <v>Std</v>
      </c>
      <c r="Q92" s="17">
        <v>408.88375186505942</v>
      </c>
    </row>
    <row r="93" spans="1:17" outlineLevel="1">
      <c r="A93" s="17">
        <v>2682.192876565904</v>
      </c>
      <c r="D93" s="132" t="s">
        <v>111</v>
      </c>
      <c r="E93" s="132"/>
      <c r="F93" s="132"/>
      <c r="G93" s="132"/>
      <c r="H93" s="132"/>
      <c r="P93" s="67" t="str">
        <v>RSD</v>
      </c>
      <c r="Q93" s="17">
        <v>0.18796059054015965</v>
      </c>
    </row>
    <row r="94" spans="1:17" outlineLevel="1">
      <c r="A94" s="17">
        <v>2609.2819714745278</v>
      </c>
      <c r="D94" s="132" t="s">
        <v>112</v>
      </c>
      <c r="E94" s="132"/>
      <c r="F94" s="132"/>
      <c r="G94" s="132"/>
      <c r="H94" s="132"/>
    </row>
    <row r="95" spans="1:17" outlineLevel="1">
      <c r="A95" s="17">
        <v>2396.9667916141302</v>
      </c>
      <c r="D95" s="132" t="s">
        <v>113</v>
      </c>
      <c r="E95" s="132"/>
      <c r="F95" s="132"/>
      <c r="G95" s="132"/>
      <c r="H95" s="132"/>
    </row>
    <row r="96" spans="1:17" outlineLevel="1">
      <c r="A96" s="17">
        <v>1523.33077273302</v>
      </c>
      <c r="D96" s="132" t="s">
        <v>114</v>
      </c>
      <c r="E96" s="132"/>
      <c r="F96" s="132"/>
      <c r="G96" s="132"/>
      <c r="H96" s="132"/>
    </row>
    <row r="97" spans="1:17" outlineLevel="1">
      <c r="A97" s="17">
        <v>1564.8975195861099</v>
      </c>
      <c r="D97" s="132" t="s">
        <v>115</v>
      </c>
      <c r="E97" s="132"/>
      <c r="F97" s="132"/>
      <c r="G97" s="132"/>
      <c r="H97" s="132"/>
    </row>
    <row r="98" spans="1:17" outlineLevel="1">
      <c r="A98" s="17">
        <v>1828.693274835317</v>
      </c>
      <c r="D98" s="34"/>
      <c r="E98" s="34"/>
      <c r="F98" s="34"/>
      <c r="G98" s="34"/>
      <c r="H98" s="34"/>
    </row>
    <row r="99" spans="1:17" outlineLevel="1">
      <c r="A99" s="17">
        <v>2579.9720763798796</v>
      </c>
      <c r="D99" s="127" t="s">
        <v>117</v>
      </c>
      <c r="E99" s="127"/>
      <c r="F99" s="127"/>
      <c r="G99" s="127"/>
      <c r="H99" s="127"/>
      <c r="P99" s="27" t="s">
        <v>316</v>
      </c>
    </row>
    <row r="100" spans="1:17" ht="18.75" customHeight="1" outlineLevel="1">
      <c r="A100" s="17">
        <v>2184.2125647719422</v>
      </c>
      <c r="D100" s="128" t="s">
        <v>156</v>
      </c>
      <c r="E100" s="128"/>
      <c r="F100" s="128"/>
      <c r="G100" s="128"/>
      <c r="H100" s="128"/>
      <c r="P100" s="28" t="s">
        <v>165</v>
      </c>
    </row>
    <row r="101" spans="1:17" ht="18.75" customHeight="1" outlineLevel="1">
      <c r="A101" s="17">
        <v>2343.289913321687</v>
      </c>
      <c r="D101" s="128"/>
      <c r="E101" s="128"/>
      <c r="F101" s="128"/>
      <c r="G101" s="128"/>
      <c r="H101" s="128"/>
      <c r="O101" s="26" t="s">
        <v>164</v>
      </c>
      <c r="P101" s="68" t="b">
        <v>1</v>
      </c>
    </row>
    <row r="102" spans="1:17" outlineLevel="1">
      <c r="A102" s="17">
        <v>2705.91363016888</v>
      </c>
      <c r="D102" s="34"/>
      <c r="E102" s="34"/>
      <c r="F102" s="34"/>
      <c r="G102" s="34"/>
      <c r="H102" s="34"/>
      <c r="P102" s="33" t="str" cm="1">
        <f t="array" ref="P102:Q104">IF($P$101,
    _xlfn.HSTACK({"Avg";"Std";"RSD"},
           _xlfn.VSTACK(AVERAGE($A$91:$A$110),
                  _xlfn.STDEV.S($A$91:$A$110),
                  _xlfn.STDEV.S($A$91:$A$110)/AVERAGE($A$91:$A$110)
           )
    ),
    _xlfn.STDEV.S($A$91:$A$110)/AVERAGE($A$91:$A$110)
)</f>
        <v>Avg</v>
      </c>
      <c r="Q102" s="17">
        <v>2175.369585134908</v>
      </c>
    </row>
    <row r="103" spans="1:17" outlineLevel="1">
      <c r="A103" s="17">
        <v>2262.7913156237323</v>
      </c>
      <c r="D103" s="129" t="s">
        <v>89</v>
      </c>
      <c r="E103" s="129"/>
      <c r="F103" s="129"/>
      <c r="G103" s="129"/>
      <c r="H103" s="129"/>
      <c r="P103" s="17" t="str">
        <v>Std</v>
      </c>
      <c r="Q103" s="17">
        <v>408.88375186505942</v>
      </c>
    </row>
    <row r="104" spans="1:17" outlineLevel="1">
      <c r="A104" s="17">
        <v>2671.2431888853894</v>
      </c>
      <c r="D104" s="129" t="s">
        <v>118</v>
      </c>
      <c r="E104" s="129"/>
      <c r="F104" s="129"/>
      <c r="G104" s="129"/>
      <c r="H104" s="129"/>
      <c r="P104" s="17" t="str">
        <v>RSD</v>
      </c>
      <c r="Q104" s="17">
        <v>0.18796059054015965</v>
      </c>
    </row>
    <row r="105" spans="1:17" outlineLevel="1">
      <c r="A105" s="17">
        <v>1524.1826948845828</v>
      </c>
      <c r="D105" s="129" t="s">
        <v>157</v>
      </c>
      <c r="E105" s="129"/>
      <c r="F105" s="129"/>
      <c r="G105" s="129"/>
      <c r="H105" s="129"/>
    </row>
    <row r="106" spans="1:17" outlineLevel="1">
      <c r="A106" s="17">
        <v>1900.4440038869452</v>
      </c>
      <c r="D106" s="129" t="s">
        <v>158</v>
      </c>
      <c r="E106" s="129"/>
      <c r="F106" s="129"/>
      <c r="G106" s="129"/>
      <c r="H106" s="129"/>
    </row>
    <row r="107" spans="1:17" outlineLevel="1">
      <c r="A107" s="17">
        <v>1984.0815718042713</v>
      </c>
    </row>
    <row r="108" spans="1:17" outlineLevel="1">
      <c r="A108" s="17">
        <v>2395.8282841212472</v>
      </c>
    </row>
    <row r="109" spans="1:17" outlineLevel="1">
      <c r="A109" s="17">
        <v>2591.1245629295772</v>
      </c>
      <c r="D109" s="19" t="s">
        <v>5</v>
      </c>
      <c r="E109" s="17">
        <f>AVERAGE(A91:A110)</f>
        <v>2175.369585134908</v>
      </c>
    </row>
    <row r="110" spans="1:17" outlineLevel="1">
      <c r="A110" s="17">
        <v>2046.851317843325</v>
      </c>
      <c r="D110" s="19" t="s">
        <v>6</v>
      </c>
      <c r="E110" s="17">
        <f>_xlfn.STDEV.S(A91:A110)</f>
        <v>408.88375186505942</v>
      </c>
    </row>
    <row r="111" spans="1:17" s="3" customFormat="1" ht="15"/>
    <row r="112" spans="1:17" ht="20.25">
      <c r="A112" s="12" t="s">
        <v>626</v>
      </c>
    </row>
    <row r="113" spans="1:14" outlineLevel="1">
      <c r="C113" s="36"/>
      <c r="E113" s="135" t="s">
        <v>351</v>
      </c>
      <c r="F113" s="135"/>
      <c r="H113" s="135" t="s">
        <v>351</v>
      </c>
      <c r="I113" s="135"/>
    </row>
    <row r="114" spans="1:14" outlineLevel="1">
      <c r="A114" s="15" t="s">
        <v>2</v>
      </c>
      <c r="C114" s="37"/>
      <c r="E114" s="134" t="s">
        <v>352</v>
      </c>
      <c r="F114" s="134"/>
      <c r="H114" s="134" t="s">
        <v>353</v>
      </c>
      <c r="I114" s="134"/>
      <c r="N114" s="27"/>
    </row>
    <row r="115" spans="1:14" outlineLevel="1">
      <c r="A115" s="17">
        <v>2028.0182475332299</v>
      </c>
      <c r="E115" s="65" t="str" cm="1">
        <f t="array" ref="E115:F139">DESC_STATS(A115:A134)</f>
        <v>sum</v>
      </c>
      <c r="F115" s="17">
        <v>43507.391702698158</v>
      </c>
      <c r="H115" s="65" t="str" cm="1">
        <f t="array" ref="H115">DESC_STATS(A115:A134, {"mean","std","rsd","iqr","foo","bar"})</f>
        <v>#FUNC! [foo, bar]</v>
      </c>
      <c r="I115" s="17"/>
      <c r="N115" s="28"/>
    </row>
    <row r="116" spans="1:14" outlineLevel="1">
      <c r="A116" s="17">
        <v>1684.07512373445</v>
      </c>
      <c r="E116" s="66" t="str">
        <v>mean</v>
      </c>
      <c r="F116" s="17">
        <v>2175.369585134908</v>
      </c>
      <c r="H116" s="66"/>
      <c r="I116" s="17"/>
    </row>
    <row r="117" spans="1:14" outlineLevel="1">
      <c r="A117" s="17">
        <v>2682.192876565904</v>
      </c>
      <c r="E117" s="66" t="str">
        <v>med</v>
      </c>
      <c r="F117" s="17">
        <v>2223.501940197837</v>
      </c>
      <c r="H117" s="66"/>
      <c r="I117" s="17"/>
    </row>
    <row r="118" spans="1:14" outlineLevel="1">
      <c r="A118" s="17">
        <v>2609.2819714745278</v>
      </c>
      <c r="E118" s="66" t="str">
        <v>mode</v>
      </c>
      <c r="F118" s="17" t="e">
        <v>#N/A</v>
      </c>
      <c r="H118" s="66"/>
      <c r="I118" s="17"/>
    </row>
    <row r="119" spans="1:14" outlineLevel="1">
      <c r="A119" s="17">
        <v>2396.9667916141302</v>
      </c>
      <c r="E119" s="66" t="str">
        <v>mad</v>
      </c>
      <c r="F119" s="17">
        <v>349.37517393729149</v>
      </c>
      <c r="H119" s="66"/>
      <c r="I119" s="17"/>
    </row>
    <row r="120" spans="1:14" outlineLevel="1">
      <c r="A120" s="17">
        <v>1523.33077273302</v>
      </c>
      <c r="E120" s="66" t="str">
        <v>sem</v>
      </c>
      <c r="F120" s="17">
        <v>91.429186406542925</v>
      </c>
      <c r="H120" s="66"/>
      <c r="I120" s="17"/>
    </row>
    <row r="121" spans="1:14" outlineLevel="1">
      <c r="A121" s="17">
        <v>1564.8975195861099</v>
      </c>
      <c r="E121" s="66" t="str">
        <v>std</v>
      </c>
      <c r="F121" s="17">
        <v>408.88375186505942</v>
      </c>
      <c r="H121" s="66"/>
      <c r="I121" s="17"/>
    </row>
    <row r="122" spans="1:14" outlineLevel="1">
      <c r="A122" s="17">
        <v>1828.693274835317</v>
      </c>
      <c r="E122" s="66" t="str">
        <v>var</v>
      </c>
      <c r="F122" s="17">
        <v>167185.92253924749</v>
      </c>
      <c r="H122" s="66"/>
      <c r="I122" s="17"/>
    </row>
    <row r="123" spans="1:14" outlineLevel="1">
      <c r="A123" s="17">
        <v>2579.9720763798796</v>
      </c>
      <c r="E123" s="66" t="str">
        <v>rsd</v>
      </c>
      <c r="F123" s="17">
        <v>0.18796059054015965</v>
      </c>
      <c r="H123" s="66"/>
      <c r="I123" s="17"/>
    </row>
    <row r="124" spans="1:14" outlineLevel="1">
      <c r="A124" s="17">
        <v>2184.2125647719422</v>
      </c>
      <c r="E124" s="66" t="str">
        <v>iqr</v>
      </c>
      <c r="F124" s="17">
        <v>700.25387639326573</v>
      </c>
      <c r="H124" s="66"/>
      <c r="I124" s="17"/>
    </row>
    <row r="125" spans="1:14" outlineLevel="1">
      <c r="A125" s="17">
        <v>2343.289913321687</v>
      </c>
      <c r="E125" s="66" t="str">
        <v>p02</v>
      </c>
      <c r="F125" s="17">
        <v>1523.3631457747795</v>
      </c>
      <c r="H125" s="66"/>
      <c r="I125" s="17"/>
    </row>
    <row r="126" spans="1:14" outlineLevel="1">
      <c r="A126" s="17">
        <v>2705.91363016888</v>
      </c>
      <c r="E126" s="66" t="str">
        <v>p2</v>
      </c>
      <c r="F126" s="17">
        <v>1523.7030627132528</v>
      </c>
      <c r="H126" s="66"/>
      <c r="I126" s="17"/>
    </row>
    <row r="127" spans="1:14" outlineLevel="1">
      <c r="A127" s="17">
        <v>2262.7913156237323</v>
      </c>
      <c r="E127" s="66" t="str">
        <v>p16</v>
      </c>
      <c r="F127" s="17">
        <v>1687.1121049075682</v>
      </c>
      <c r="H127" s="66"/>
      <c r="I127" s="17"/>
    </row>
    <row r="128" spans="1:14" outlineLevel="1">
      <c r="A128" s="17">
        <v>2671.2431888853894</v>
      </c>
      <c r="E128" s="66" t="str">
        <v>p25</v>
      </c>
      <c r="F128" s="17">
        <v>1882.5063216240383</v>
      </c>
      <c r="H128" s="66"/>
      <c r="I128" s="17"/>
    </row>
    <row r="129" spans="1:18" outlineLevel="1">
      <c r="A129" s="17">
        <v>1524.1826948845828</v>
      </c>
      <c r="E129" s="66" t="str">
        <v>p75</v>
      </c>
      <c r="F129" s="17">
        <v>2582.760198017304</v>
      </c>
      <c r="H129" s="66"/>
      <c r="I129" s="17"/>
      <c r="K129" s="63"/>
      <c r="L129" s="64"/>
    </row>
    <row r="130" spans="1:18" outlineLevel="1">
      <c r="A130" s="17">
        <v>1900.4440038869452</v>
      </c>
      <c r="E130" s="66" t="str">
        <v>p84</v>
      </c>
      <c r="F130" s="17">
        <v>2608.9006658950839</v>
      </c>
      <c r="H130" s="66"/>
      <c r="I130" s="17"/>
      <c r="K130" s="63"/>
      <c r="L130" s="64"/>
    </row>
    <row r="131" spans="1:18" outlineLevel="1">
      <c r="A131" s="17">
        <v>1984.0815718042713</v>
      </c>
      <c r="E131" s="66" t="str">
        <v>p98</v>
      </c>
      <c r="F131" s="17">
        <v>2695.5476608443796</v>
      </c>
      <c r="H131" s="66"/>
      <c r="I131" s="17"/>
      <c r="K131" s="63"/>
      <c r="L131" s="64"/>
    </row>
    <row r="132" spans="1:18" outlineLevel="1">
      <c r="A132" s="17">
        <v>2395.8282841212472</v>
      </c>
      <c r="E132" s="66" t="str">
        <v>p99</v>
      </c>
      <c r="F132" s="17">
        <v>2705.012241531967</v>
      </c>
      <c r="H132" s="66"/>
      <c r="I132" s="17"/>
      <c r="K132" s="63"/>
      <c r="L132" s="64"/>
    </row>
    <row r="133" spans="1:18" outlineLevel="1">
      <c r="A133" s="17">
        <v>2591.1245629295772</v>
      </c>
      <c r="E133" s="66" t="str">
        <v>min</v>
      </c>
      <c r="F133" s="17">
        <v>1523.33077273302</v>
      </c>
      <c r="H133" s="66"/>
      <c r="I133" s="17"/>
      <c r="K133" s="63"/>
      <c r="L133" s="64"/>
    </row>
    <row r="134" spans="1:18" outlineLevel="1">
      <c r="A134" s="17">
        <v>2046.851317843325</v>
      </c>
      <c r="E134" s="66" t="str">
        <v>max</v>
      </c>
      <c r="F134" s="17">
        <v>2705.91363016888</v>
      </c>
      <c r="H134" s="66"/>
      <c r="I134" s="17"/>
      <c r="K134" s="63"/>
      <c r="L134" s="64"/>
    </row>
    <row r="135" spans="1:18" outlineLevel="1">
      <c r="E135" s="66" t="str">
        <v>rng</v>
      </c>
      <c r="F135" s="17">
        <v>1182.58285743586</v>
      </c>
      <c r="H135" s="66"/>
      <c r="I135" s="17"/>
      <c r="K135" s="63"/>
      <c r="L135" s="64"/>
    </row>
    <row r="136" spans="1:18" outlineLevel="1">
      <c r="E136" s="66" t="str">
        <v>kurt</v>
      </c>
      <c r="F136" s="17">
        <v>-1.2561182414371426</v>
      </c>
      <c r="H136" s="66"/>
      <c r="I136" s="17"/>
    </row>
    <row r="137" spans="1:18" outlineLevel="1">
      <c r="E137" s="66" t="str">
        <v>skew</v>
      </c>
      <c r="F137" s="17">
        <v>-0.27884711906788689</v>
      </c>
      <c r="H137" s="66"/>
      <c r="I137" s="17"/>
    </row>
    <row r="138" spans="1:18" outlineLevel="1">
      <c r="E138" s="66" t="str">
        <v>vmr</v>
      </c>
      <c r="F138" s="17">
        <v>76.85403146283268</v>
      </c>
      <c r="H138" s="66"/>
      <c r="I138" s="17"/>
    </row>
    <row r="139" spans="1:18" outlineLevel="1">
      <c r="E139" s="66" t="str">
        <v>moe</v>
      </c>
      <c r="F139" s="17">
        <v>191.36348642387557</v>
      </c>
      <c r="H139" s="66"/>
      <c r="I139" s="17"/>
    </row>
    <row r="140" spans="1:18" s="3" customFormat="1" ht="15"/>
    <row r="141" spans="1:18" ht="20.25">
      <c r="A141" s="12" t="s">
        <v>616</v>
      </c>
      <c r="L141" s="18"/>
    </row>
    <row r="142" spans="1:18" outlineLevel="1">
      <c r="B142" s="27" t="s">
        <v>101</v>
      </c>
      <c r="J142" s="22" t="s">
        <v>4</v>
      </c>
      <c r="L142" s="22" t="s">
        <v>320</v>
      </c>
      <c r="N142" s="22" t="s">
        <v>102</v>
      </c>
      <c r="P142" s="24" t="s">
        <v>3</v>
      </c>
      <c r="R142" s="36" t="s">
        <v>488</v>
      </c>
    </row>
    <row r="143" spans="1:18" outlineLevel="1">
      <c r="A143" s="15" t="s">
        <v>2</v>
      </c>
      <c r="B143" s="55" t="s">
        <v>92</v>
      </c>
      <c r="D143" s="127" t="s">
        <v>99</v>
      </c>
      <c r="E143" s="127"/>
      <c r="F143" s="127"/>
      <c r="G143" s="127"/>
      <c r="H143" s="127"/>
      <c r="J143" s="23" t="s">
        <v>92</v>
      </c>
      <c r="L143" s="23" t="s">
        <v>92</v>
      </c>
      <c r="N143" s="23" t="s">
        <v>92</v>
      </c>
      <c r="P143" s="25" t="s">
        <v>92</v>
      </c>
      <c r="R143" s="37" t="s">
        <v>92</v>
      </c>
    </row>
    <row r="144" spans="1:18" outlineLevel="1">
      <c r="A144" s="17">
        <v>2028.0182475332299</v>
      </c>
      <c r="B144" s="32">
        <f>($A144-AVERAGE($A$144:$A$163))/_xlfn.STDEV.S($A$144:$A$163)</f>
        <v>-0.36037464665582325</v>
      </c>
      <c r="D144" s="131" t="s">
        <v>93</v>
      </c>
      <c r="E144" s="131"/>
      <c r="F144" s="131"/>
      <c r="G144" s="131"/>
      <c r="H144" s="131"/>
      <c r="J144" s="20">
        <f>_xlfn.LET(
    _xlpm.data, $A$144:$A$163,
    _xlpm.x, $A144,
    _xlpm.avg, AVERAGE(_xlpm.data),
    _xlpm.std, _xlfn.STDEV.S(_xlpm.data),
    _xlpm.zscore, (_xlpm.x - _xlpm.avg) / _xlpm.std,
    _xlpm.return, _xlpm.zscore,
    _xlpm.return
)</f>
        <v>-0.36037464665582325</v>
      </c>
      <c r="K144" s="73"/>
      <c r="L144" s="20">
        <f>_xlfn.LET(
    _xlpm.x, $A144,
    _xlpm.avg, $E$162,
    _xlpm.std, $E$163,
    _xlpm.zscore, (_xlpm.x - _xlpm.avg) / _xlpm.std,
    _xlpm.return, _xlpm.zscore,
    _xlpm.return
)</f>
        <v>-0.36037464665582325</v>
      </c>
      <c r="M144" s="73"/>
      <c r="N144" s="20" cm="1">
        <f t="array" ref="N144:N163">_xlfn.LET(
    _xlpm.data, $A$144:$A$163,
    _xlpm.avg, AVERAGE(_xlpm.data),
    _xlpm.std, _xlfn.STDEV.S(_xlpm.data),
    _xlpm.zscore, (_xlpm.data - _xlpm.avg) / _xlpm.std,
    _xlpm.return, _xlpm.zscore,
    _xlpm.return
)</f>
        <v>-0.36037464665582325</v>
      </c>
      <c r="O144" s="73"/>
      <c r="P144" s="21" cm="1">
        <f t="array" ref="P144:P163">_xlfn.LAMBDA(_xlpm.data,
    _xlfn.LET(_xlpm.avg, AVERAGE(_xlpm.data),
        _xlpm.std, _xlfn.STDEV.S(_xlpm.data),
        _xlpm.zscore, (_xlpm.data - _xlpm.avg) / _xlpm.std,
        _xlpm.return, _xlpm.zscore,
        _xlpm.return
    )
)(A144:A163)</f>
        <v>-0.36037464665582325</v>
      </c>
      <c r="Q144" s="73"/>
      <c r="R144" s="35" cm="1">
        <f t="array" ref="R144:R163">ZSCORE(A144:A163)</f>
        <v>-0.36037464665582325</v>
      </c>
    </row>
    <row r="145" spans="1:18" outlineLevel="1">
      <c r="A145" s="17">
        <v>1684.07512373445</v>
      </c>
      <c r="B145" s="32">
        <f>($A145-AVERAGE($A$144:$A$163))/_xlfn.STDEV.S($A$144:$A$163)</f>
        <v>-1.2015504630827099</v>
      </c>
      <c r="D145" s="131" t="s">
        <v>486</v>
      </c>
      <c r="E145" s="131"/>
      <c r="F145" s="131"/>
      <c r="G145" s="131"/>
      <c r="H145" s="131"/>
      <c r="J145" s="20">
        <f>_xlfn.LET(
    _xlpm.data, $A$144:$A$163,
    _xlpm.x, $A145,
    _xlpm.avg, AVERAGE(_xlpm.data),
    _xlpm.std, _xlfn.STDEV.S(_xlpm.data),
    _xlpm.zscore, (_xlpm.x - _xlpm.avg) / _xlpm.std,
    _xlpm.return, _xlpm.zscore,
    _xlpm.return
)</f>
        <v>-1.2015504630827099</v>
      </c>
      <c r="K145" s="73"/>
      <c r="L145" s="20">
        <f>_xlfn.LET(
    _xlpm.x, $A145,
    _xlpm.avg, $E$162,
    _xlpm.std, $E$163,
    _xlpm.zscore, (_xlpm.x - _xlpm.avg) / _xlpm.std,
    _xlpm.return, _xlpm.zscore,
    _xlpm.return
)</f>
        <v>-1.2015504630827099</v>
      </c>
      <c r="M145" s="73"/>
      <c r="N145" s="17">
        <v>-1.2015504630827099</v>
      </c>
      <c r="O145" s="73"/>
      <c r="P145" s="17">
        <v>-1.2015504630827099</v>
      </c>
      <c r="Q145" s="73"/>
      <c r="R145" s="17">
        <v>-1.2015504630827099</v>
      </c>
    </row>
    <row r="146" spans="1:18" outlineLevel="1">
      <c r="A146" s="17">
        <v>2682.192876565904</v>
      </c>
      <c r="B146" s="32">
        <f>($A146-AVERAGE($A$144:$A$163))/_xlfn.STDEV.S($A$144:$A$163)</f>
        <v>1.2395290571444835</v>
      </c>
      <c r="D146" s="131" t="s">
        <v>94</v>
      </c>
      <c r="E146" s="131"/>
      <c r="F146" s="131"/>
      <c r="G146" s="131"/>
      <c r="H146" s="131"/>
      <c r="J146" s="20">
        <f>_xlfn.LET(
    _xlpm.data, $A$144:$A$163,
    _xlpm.x, $A146,
    _xlpm.avg, AVERAGE(_xlpm.data),
    _xlpm.std, _xlfn.STDEV.S(_xlpm.data),
    _xlpm.zscore, (_xlpm.x - _xlpm.avg) / _xlpm.std,
    _xlpm.return, _xlpm.zscore,
    _xlpm.return
)</f>
        <v>1.2395290571444835</v>
      </c>
      <c r="K146" s="73"/>
      <c r="L146" s="20">
        <f>_xlfn.LET(
    _xlpm.x, $A146,
    _xlpm.avg, $E$162,
    _xlpm.std, $E$163,
    _xlpm.zscore, (_xlpm.x - _xlpm.avg) / _xlpm.std,
    _xlpm.return, _xlpm.zscore,
    _xlpm.return
)</f>
        <v>1.2395290571444835</v>
      </c>
      <c r="M146" s="73"/>
      <c r="N146" s="17">
        <v>1.2395290571444835</v>
      </c>
      <c r="O146" s="73"/>
      <c r="P146" s="17">
        <v>1.2395290571444835</v>
      </c>
      <c r="Q146" s="73"/>
      <c r="R146" s="17">
        <v>1.2395290571444835</v>
      </c>
    </row>
    <row r="147" spans="1:18" outlineLevel="1">
      <c r="A147" s="17">
        <v>2609.2819714745278</v>
      </c>
      <c r="B147" s="32">
        <f>($A147-AVERAGE($A$144:$A$163))/_xlfn.STDEV.S($A$144:$A$163)</f>
        <v>1.0612121033433004</v>
      </c>
      <c r="D147" s="131" t="s">
        <v>95</v>
      </c>
      <c r="E147" s="131"/>
      <c r="F147" s="131"/>
      <c r="G147" s="131"/>
      <c r="H147" s="131"/>
      <c r="J147" s="20">
        <f>_xlfn.LET(
    _xlpm.data, $A$144:$A$163,
    _xlpm.x, $A147,
    _xlpm.avg, AVERAGE(_xlpm.data),
    _xlpm.std, _xlfn.STDEV.S(_xlpm.data),
    _xlpm.zscore, (_xlpm.x - _xlpm.avg) / _xlpm.std,
    _xlpm.return, _xlpm.zscore,
    _xlpm.return
)</f>
        <v>1.0612121033433004</v>
      </c>
      <c r="K147" s="73"/>
      <c r="L147" s="20">
        <f>_xlfn.LET(
    _xlpm.x, $A147,
    _xlpm.avg, $E$162,
    _xlpm.std, $E$163,
    _xlpm.zscore, (_xlpm.x - _xlpm.avg) / _xlpm.std,
    _xlpm.return, _xlpm.zscore,
    _xlpm.return
)</f>
        <v>1.0612121033433004</v>
      </c>
      <c r="M147" s="73"/>
      <c r="N147" s="17">
        <v>1.0612121033433004</v>
      </c>
      <c r="O147" s="73"/>
      <c r="P147" s="17">
        <v>1.0612121033433004</v>
      </c>
      <c r="Q147" s="73"/>
      <c r="R147" s="17">
        <v>1.0612121033433004</v>
      </c>
    </row>
    <row r="148" spans="1:18" outlineLevel="1">
      <c r="A148" s="17">
        <v>2396.9667916141302</v>
      </c>
      <c r="B148" s="32">
        <f>($A148-AVERAGE($A$144:$A$163))/_xlfn.STDEV.S($A$144:$A$163)</f>
        <v>0.54195649856087735</v>
      </c>
      <c r="D148" s="131" t="s">
        <v>96</v>
      </c>
      <c r="E148" s="131"/>
      <c r="F148" s="131"/>
      <c r="G148" s="131"/>
      <c r="H148" s="131"/>
      <c r="J148" s="20">
        <f>_xlfn.LET(
    _xlpm.data, $A$144:$A$163,
    _xlpm.x, $A148,
    _xlpm.avg, AVERAGE(_xlpm.data),
    _xlpm.std, _xlfn.STDEV.S(_xlpm.data),
    _xlpm.zscore, (_xlpm.x - _xlpm.avg) / _xlpm.std,
    _xlpm.return, _xlpm.zscore,
    _xlpm.return
)</f>
        <v>0.54195649856087735</v>
      </c>
      <c r="K148" s="73"/>
      <c r="L148" s="20">
        <f>_xlfn.LET(
    _xlpm.x, $A148,
    _xlpm.avg, $E$162,
    _xlpm.std, $E$163,
    _xlpm.zscore, (_xlpm.x - _xlpm.avg) / _xlpm.std,
    _xlpm.return, _xlpm.zscore,
    _xlpm.return
)</f>
        <v>0.54195649856087735</v>
      </c>
      <c r="M148" s="73"/>
      <c r="N148" s="17">
        <v>0.54195649856087735</v>
      </c>
      <c r="O148" s="73"/>
      <c r="P148" s="17">
        <v>0.54195649856087735</v>
      </c>
      <c r="Q148" s="73"/>
      <c r="R148" s="17">
        <v>0.54195649856087735</v>
      </c>
    </row>
    <row r="149" spans="1:18" outlineLevel="1">
      <c r="A149" s="17">
        <v>1523.33077273302</v>
      </c>
      <c r="B149" s="32">
        <f>($A149-AVERAGE($A$144:$A$163))/_xlfn.STDEV.S($A$144:$A$163)</f>
        <v>-1.594680173588984</v>
      </c>
      <c r="D149" s="131" t="s">
        <v>97</v>
      </c>
      <c r="E149" s="131"/>
      <c r="F149" s="131"/>
      <c r="G149" s="131"/>
      <c r="H149" s="131"/>
      <c r="J149" s="20">
        <f>_xlfn.LET(
    _xlpm.data, $A$144:$A$163,
    _xlpm.x, $A149,
    _xlpm.avg, AVERAGE(_xlpm.data),
    _xlpm.std, _xlfn.STDEV.S(_xlpm.data),
    _xlpm.zscore, (_xlpm.x - _xlpm.avg) / _xlpm.std,
    _xlpm.return, _xlpm.zscore,
    _xlpm.return
)</f>
        <v>-1.594680173588984</v>
      </c>
      <c r="K149" s="73"/>
      <c r="L149" s="20">
        <f>_xlfn.LET(
    _xlpm.x, $A149,
    _xlpm.avg, $E$162,
    _xlpm.std, $E$163,
    _xlpm.zscore, (_xlpm.x - _xlpm.avg) / _xlpm.std,
    _xlpm.return, _xlpm.zscore,
    _xlpm.return
)</f>
        <v>-1.594680173588984</v>
      </c>
      <c r="M149" s="73"/>
      <c r="N149" s="17">
        <v>-1.594680173588984</v>
      </c>
      <c r="O149" s="73"/>
      <c r="P149" s="17">
        <v>-1.594680173588984</v>
      </c>
      <c r="Q149" s="73"/>
      <c r="R149" s="17">
        <v>-1.594680173588984</v>
      </c>
    </row>
    <row r="150" spans="1:18" outlineLevel="1">
      <c r="A150" s="17">
        <v>1564.8975195861099</v>
      </c>
      <c r="B150" s="32">
        <f>($A150-AVERAGE($A$144:$A$163))/_xlfn.STDEV.S($A$144:$A$163)</f>
        <v>-1.4930210916042153</v>
      </c>
      <c r="D150" s="131" t="s">
        <v>98</v>
      </c>
      <c r="E150" s="131"/>
      <c r="F150" s="131"/>
      <c r="G150" s="131"/>
      <c r="H150" s="131"/>
      <c r="J150" s="20">
        <f>_xlfn.LET(
    _xlpm.data, $A$144:$A$163,
    _xlpm.x, $A150,
    _xlpm.avg, AVERAGE(_xlpm.data),
    _xlpm.std, _xlfn.STDEV.S(_xlpm.data),
    _xlpm.zscore, (_xlpm.x - _xlpm.avg) / _xlpm.std,
    _xlpm.return, _xlpm.zscore,
    _xlpm.return
)</f>
        <v>-1.4930210916042153</v>
      </c>
      <c r="K150" s="73"/>
      <c r="L150" s="20">
        <f>_xlfn.LET(
    _xlpm.x, $A150,
    _xlpm.avg, $E$162,
    _xlpm.std, $E$163,
    _xlpm.zscore, (_xlpm.x - _xlpm.avg) / _xlpm.std,
    _xlpm.return, _xlpm.zscore,
    _xlpm.return
)</f>
        <v>-1.4930210916042153</v>
      </c>
      <c r="M150" s="73"/>
      <c r="N150" s="17">
        <v>-1.4930210916042153</v>
      </c>
      <c r="O150" s="73"/>
      <c r="P150" s="17">
        <v>-1.4930210916042153</v>
      </c>
      <c r="Q150" s="73"/>
      <c r="R150" s="17">
        <v>-1.4930210916042153</v>
      </c>
    </row>
    <row r="151" spans="1:18" outlineLevel="1">
      <c r="A151" s="17">
        <v>1828.693274835317</v>
      </c>
      <c r="B151" s="32">
        <f>($A151-AVERAGE($A$144:$A$163))/_xlfn.STDEV.S($A$144:$A$163)</f>
        <v>-0.84786032391426935</v>
      </c>
      <c r="D151" s="34"/>
      <c r="E151" s="34"/>
      <c r="F151" s="34"/>
      <c r="G151" s="34"/>
      <c r="H151" s="34"/>
      <c r="J151" s="20">
        <f>_xlfn.LET(
    _xlpm.data, $A$144:$A$163,
    _xlpm.x, $A151,
    _xlpm.avg, AVERAGE(_xlpm.data),
    _xlpm.std, _xlfn.STDEV.S(_xlpm.data),
    _xlpm.zscore, (_xlpm.x - _xlpm.avg) / _xlpm.std,
    _xlpm.return, _xlpm.zscore,
    _xlpm.return
)</f>
        <v>-0.84786032391426935</v>
      </c>
      <c r="K151" s="73"/>
      <c r="L151" s="20">
        <f>_xlfn.LET(
    _xlpm.x, $A151,
    _xlpm.avg, $E$162,
    _xlpm.std, $E$163,
    _xlpm.zscore, (_xlpm.x - _xlpm.avg) / _xlpm.std,
    _xlpm.return, _xlpm.zscore,
    _xlpm.return
)</f>
        <v>-0.84786032391426935</v>
      </c>
      <c r="M151" s="73"/>
      <c r="N151" s="17">
        <v>-0.84786032391426935</v>
      </c>
      <c r="O151" s="73"/>
      <c r="P151" s="17">
        <v>-0.84786032391426935</v>
      </c>
      <c r="Q151" s="73"/>
      <c r="R151" s="17">
        <v>-0.84786032391426935</v>
      </c>
    </row>
    <row r="152" spans="1:18" outlineLevel="1">
      <c r="A152" s="17">
        <v>2579.9720763798796</v>
      </c>
      <c r="B152" s="32">
        <f>($A152-AVERAGE($A$144:$A$163))/_xlfn.STDEV.S($A$144:$A$163)</f>
        <v>0.9895293941112614</v>
      </c>
      <c r="D152" s="127" t="s">
        <v>100</v>
      </c>
      <c r="E152" s="127"/>
      <c r="F152" s="127"/>
      <c r="G152" s="127"/>
      <c r="H152" s="127"/>
      <c r="J152" s="20">
        <f>_xlfn.LET(
    _xlpm.data, $A$144:$A$163,
    _xlpm.x, $A152,
    _xlpm.avg, AVERAGE(_xlpm.data),
    _xlpm.std, _xlfn.STDEV.S(_xlpm.data),
    _xlpm.zscore, (_xlpm.x - _xlpm.avg) / _xlpm.std,
    _xlpm.return, _xlpm.zscore,
    _xlpm.return
)</f>
        <v>0.9895293941112614</v>
      </c>
      <c r="K152" s="73"/>
      <c r="L152" s="20">
        <f>_xlfn.LET(
    _xlpm.x, $A152,
    _xlpm.avg, $E$162,
    _xlpm.std, $E$163,
    _xlpm.zscore, (_xlpm.x - _xlpm.avg) / _xlpm.std,
    _xlpm.return, _xlpm.zscore,
    _xlpm.return
)</f>
        <v>0.9895293941112614</v>
      </c>
      <c r="M152" s="73"/>
      <c r="N152" s="17">
        <v>0.9895293941112614</v>
      </c>
      <c r="O152" s="73"/>
      <c r="P152" s="17">
        <v>0.9895293941112614</v>
      </c>
      <c r="Q152" s="73"/>
      <c r="R152" s="17">
        <v>0.9895293941112614</v>
      </c>
    </row>
    <row r="153" spans="1:18" outlineLevel="1">
      <c r="A153" s="17">
        <v>2184.2125647719422</v>
      </c>
      <c r="B153" s="32">
        <f>($A153-AVERAGE($A$144:$A$163))/_xlfn.STDEV.S($A$144:$A$163)</f>
        <v>2.1627124082818975E-2</v>
      </c>
      <c r="D153" s="130" t="s">
        <v>153</v>
      </c>
      <c r="E153" s="130"/>
      <c r="F153" s="130"/>
      <c r="G153" s="130"/>
      <c r="H153" s="130"/>
      <c r="J153" s="20">
        <f>_xlfn.LET(
    _xlpm.data, $A$144:$A$163,
    _xlpm.x, $A153,
    _xlpm.avg, AVERAGE(_xlpm.data),
    _xlpm.std, _xlfn.STDEV.S(_xlpm.data),
    _xlpm.zscore, (_xlpm.x - _xlpm.avg) / _xlpm.std,
    _xlpm.return, _xlpm.zscore,
    _xlpm.return
)</f>
        <v>2.1627124082818975E-2</v>
      </c>
      <c r="K153" s="73"/>
      <c r="L153" s="20">
        <f>_xlfn.LET(
    _xlpm.x, $A153,
    _xlpm.avg, $E$162,
    _xlpm.std, $E$163,
    _xlpm.zscore, (_xlpm.x - _xlpm.avg) / _xlpm.std,
    _xlpm.return, _xlpm.zscore,
    _xlpm.return
)</f>
        <v>2.1627124082818975E-2</v>
      </c>
      <c r="M153" s="73"/>
      <c r="N153" s="17">
        <v>2.1627124082818975E-2</v>
      </c>
      <c r="O153" s="73"/>
      <c r="P153" s="17">
        <v>2.1627124082818975E-2</v>
      </c>
      <c r="Q153" s="73"/>
      <c r="R153" s="17">
        <v>2.1627124082818975E-2</v>
      </c>
    </row>
    <row r="154" spans="1:18" outlineLevel="1">
      <c r="A154" s="17">
        <v>2343.289913321687</v>
      </c>
      <c r="B154" s="32">
        <f>($A154-AVERAGE($A$144:$A$163))/_xlfn.STDEV.S($A$144:$A$163)</f>
        <v>0.41067987519884713</v>
      </c>
      <c r="D154" s="130"/>
      <c r="E154" s="130"/>
      <c r="F154" s="130"/>
      <c r="G154" s="130"/>
      <c r="H154" s="130"/>
      <c r="J154" s="20">
        <f>_xlfn.LET(
    _xlpm.data, $A$144:$A$163,
    _xlpm.x, $A154,
    _xlpm.avg, AVERAGE(_xlpm.data),
    _xlpm.std, _xlfn.STDEV.S(_xlpm.data),
    _xlpm.zscore, (_xlpm.x - _xlpm.avg) / _xlpm.std,
    _xlpm.return, _xlpm.zscore,
    _xlpm.return
)</f>
        <v>0.41067987519884713</v>
      </c>
      <c r="K154" s="73"/>
      <c r="L154" s="20">
        <f>_xlfn.LET(
    _xlpm.x, $A154,
    _xlpm.avg, $E$162,
    _xlpm.std, $E$163,
    _xlpm.zscore, (_xlpm.x - _xlpm.avg) / _xlpm.std,
    _xlpm.return, _xlpm.zscore,
    _xlpm.return
)</f>
        <v>0.41067987519884713</v>
      </c>
      <c r="M154" s="73"/>
      <c r="N154" s="17">
        <v>0.41067987519884713</v>
      </c>
      <c r="O154" s="73"/>
      <c r="P154" s="17">
        <v>0.41067987519884713</v>
      </c>
      <c r="Q154" s="73"/>
      <c r="R154" s="17">
        <v>0.41067987519884713</v>
      </c>
    </row>
    <row r="155" spans="1:18" outlineLevel="1">
      <c r="A155" s="17">
        <v>2705.91363016888</v>
      </c>
      <c r="B155" s="32">
        <f>($A155-AVERAGE($A$144:$A$163))/_xlfn.STDEV.S($A$144:$A$163)</f>
        <v>1.2975424986049902</v>
      </c>
      <c r="D155" s="34"/>
      <c r="E155" s="34"/>
      <c r="F155" s="34"/>
      <c r="G155" s="34"/>
      <c r="H155" s="34"/>
      <c r="J155" s="20">
        <f>_xlfn.LET(
    _xlpm.data, $A$144:$A$163,
    _xlpm.x, $A155,
    _xlpm.avg, AVERAGE(_xlpm.data),
    _xlpm.std, _xlfn.STDEV.S(_xlpm.data),
    _xlpm.zscore, (_xlpm.x - _xlpm.avg) / _xlpm.std,
    _xlpm.return, _xlpm.zscore,
    _xlpm.return
)</f>
        <v>1.2975424986049902</v>
      </c>
      <c r="K155" s="73"/>
      <c r="L155" s="20">
        <f>_xlfn.LET(
    _xlpm.x, $A155,
    _xlpm.avg, $E$162,
    _xlpm.std, $E$163,
    _xlpm.zscore, (_xlpm.x - _xlpm.avg) / _xlpm.std,
    _xlpm.return, _xlpm.zscore,
    _xlpm.return
)</f>
        <v>1.2975424986049902</v>
      </c>
      <c r="M155" s="73"/>
      <c r="N155" s="17">
        <v>1.2975424986049902</v>
      </c>
      <c r="O155" s="73"/>
      <c r="P155" s="17">
        <v>1.2975424986049902</v>
      </c>
      <c r="Q155" s="73"/>
      <c r="R155" s="17">
        <v>1.2975424986049902</v>
      </c>
    </row>
    <row r="156" spans="1:18" outlineLevel="1">
      <c r="A156" s="17">
        <v>2262.7913156237323</v>
      </c>
      <c r="B156" s="32">
        <f>($A156-AVERAGE($A$144:$A$163))/_xlfn.STDEV.S($A$144:$A$163)</f>
        <v>0.21380583133974815</v>
      </c>
      <c r="D156" s="129" t="s">
        <v>89</v>
      </c>
      <c r="E156" s="129"/>
      <c r="F156" s="129"/>
      <c r="G156" s="129"/>
      <c r="H156" s="129"/>
      <c r="J156" s="20">
        <f>_xlfn.LET(
    _xlpm.data, $A$144:$A$163,
    _xlpm.x, $A156,
    _xlpm.avg, AVERAGE(_xlpm.data),
    _xlpm.std, _xlfn.STDEV.S(_xlpm.data),
    _xlpm.zscore, (_xlpm.x - _xlpm.avg) / _xlpm.std,
    _xlpm.return, _xlpm.zscore,
    _xlpm.return
)</f>
        <v>0.21380583133974815</v>
      </c>
      <c r="K156" s="73"/>
      <c r="L156" s="20">
        <f>_xlfn.LET(
    _xlpm.x, $A156,
    _xlpm.avg, $E$162,
    _xlpm.std, $E$163,
    _xlpm.zscore, (_xlpm.x - _xlpm.avg) / _xlpm.std,
    _xlpm.return, _xlpm.zscore,
    _xlpm.return
)</f>
        <v>0.21380583133974815</v>
      </c>
      <c r="M156" s="73"/>
      <c r="N156" s="17">
        <v>0.21380583133974815</v>
      </c>
      <c r="O156" s="73"/>
      <c r="P156" s="17">
        <v>0.21380583133974815</v>
      </c>
      <c r="Q156" s="73"/>
      <c r="R156" s="17">
        <v>0.21380583133974815</v>
      </c>
    </row>
    <row r="157" spans="1:18" outlineLevel="1">
      <c r="A157" s="17">
        <v>2671.2431888853894</v>
      </c>
      <c r="B157" s="32">
        <f>($A157-AVERAGE($A$144:$A$163))/_xlfn.STDEV.S($A$144:$A$163)</f>
        <v>1.2127495932245567</v>
      </c>
      <c r="D157" s="129" t="s">
        <v>90</v>
      </c>
      <c r="E157" s="129"/>
      <c r="F157" s="129"/>
      <c r="G157" s="129"/>
      <c r="H157" s="129"/>
      <c r="J157" s="20">
        <f>_xlfn.LET(
    _xlpm.data, $A$144:$A$163,
    _xlpm.x, $A157,
    _xlpm.avg, AVERAGE(_xlpm.data),
    _xlpm.std, _xlfn.STDEV.S(_xlpm.data),
    _xlpm.zscore, (_xlpm.x - _xlpm.avg) / _xlpm.std,
    _xlpm.return, _xlpm.zscore,
    _xlpm.return
)</f>
        <v>1.2127495932245567</v>
      </c>
      <c r="K157" s="73"/>
      <c r="L157" s="20">
        <f>_xlfn.LET(
    _xlpm.x, $A157,
    _xlpm.avg, $E$162,
    _xlpm.std, $E$163,
    _xlpm.zscore, (_xlpm.x - _xlpm.avg) / _xlpm.std,
    _xlpm.return, _xlpm.zscore,
    _xlpm.return
)</f>
        <v>1.2127495932245567</v>
      </c>
      <c r="M157" s="73"/>
      <c r="N157" s="17">
        <v>1.2127495932245567</v>
      </c>
      <c r="O157" s="73"/>
      <c r="P157" s="17">
        <v>1.2127495932245567</v>
      </c>
      <c r="Q157" s="73"/>
      <c r="R157" s="17">
        <v>1.2127495932245567</v>
      </c>
    </row>
    <row r="158" spans="1:18" outlineLevel="1">
      <c r="A158" s="17">
        <v>1524.1826948845828</v>
      </c>
      <c r="B158" s="32">
        <f>($A158-AVERAGE($A$144:$A$163))/_xlfn.STDEV.S($A$144:$A$163)</f>
        <v>-1.592596642150826</v>
      </c>
      <c r="D158" s="129" t="s">
        <v>91</v>
      </c>
      <c r="E158" s="129"/>
      <c r="F158" s="129"/>
      <c r="G158" s="129"/>
      <c r="H158" s="129"/>
      <c r="J158" s="20">
        <f>_xlfn.LET(
    _xlpm.data, $A$144:$A$163,
    _xlpm.x, $A158,
    _xlpm.avg, AVERAGE(_xlpm.data),
    _xlpm.std, _xlfn.STDEV.S(_xlpm.data),
    _xlpm.zscore, (_xlpm.x - _xlpm.avg) / _xlpm.std,
    _xlpm.return, _xlpm.zscore,
    _xlpm.return
)</f>
        <v>-1.592596642150826</v>
      </c>
      <c r="K158" s="73"/>
      <c r="L158" s="20">
        <f>_xlfn.LET(
    _xlpm.x, $A158,
    _xlpm.avg, $E$162,
    _xlpm.std, $E$163,
    _xlpm.zscore, (_xlpm.x - _xlpm.avg) / _xlpm.std,
    _xlpm.return, _xlpm.zscore,
    _xlpm.return
)</f>
        <v>-1.592596642150826</v>
      </c>
      <c r="M158" s="73"/>
      <c r="N158" s="17">
        <v>-1.592596642150826</v>
      </c>
      <c r="O158" s="73"/>
      <c r="P158" s="17">
        <v>-1.592596642150826</v>
      </c>
      <c r="Q158" s="73"/>
      <c r="R158" s="17">
        <v>-1.592596642150826</v>
      </c>
    </row>
    <row r="159" spans="1:18" outlineLevel="1">
      <c r="A159" s="17">
        <v>1900.4440038869452</v>
      </c>
      <c r="B159" s="32">
        <f>($A159-AVERAGE($A$144:$A$163))/_xlfn.STDEV.S($A$144:$A$163)</f>
        <v>-0.67238079281441887</v>
      </c>
      <c r="D159" s="129" t="s">
        <v>154</v>
      </c>
      <c r="E159" s="129"/>
      <c r="F159" s="129"/>
      <c r="G159" s="129"/>
      <c r="H159" s="129"/>
      <c r="J159" s="20">
        <f>_xlfn.LET(
    _xlpm.data, $A$144:$A$163,
    _xlpm.x, $A159,
    _xlpm.avg, AVERAGE(_xlpm.data),
    _xlpm.std, _xlfn.STDEV.S(_xlpm.data),
    _xlpm.zscore, (_xlpm.x - _xlpm.avg) / _xlpm.std,
    _xlpm.return, _xlpm.zscore,
    _xlpm.return
)</f>
        <v>-0.67238079281441887</v>
      </c>
      <c r="K159" s="73"/>
      <c r="L159" s="20">
        <f>_xlfn.LET(
    _xlpm.x, $A159,
    _xlpm.avg, $E$162,
    _xlpm.std, $E$163,
    _xlpm.zscore, (_xlpm.x - _xlpm.avg) / _xlpm.std,
    _xlpm.return, _xlpm.zscore,
    _xlpm.return
)</f>
        <v>-0.67238079281441887</v>
      </c>
      <c r="M159" s="73"/>
      <c r="N159" s="17">
        <v>-0.67238079281441887</v>
      </c>
      <c r="O159" s="73"/>
      <c r="P159" s="17">
        <v>-0.67238079281441887</v>
      </c>
      <c r="Q159" s="73"/>
      <c r="R159" s="17">
        <v>-0.67238079281441887</v>
      </c>
    </row>
    <row r="160" spans="1:18" outlineLevel="1">
      <c r="A160" s="17">
        <v>1984.0815718042713</v>
      </c>
      <c r="B160" s="32">
        <f>($A160-AVERAGE($A$144:$A$163))/_xlfn.STDEV.S($A$144:$A$163)</f>
        <v>-0.46782982316637978</v>
      </c>
      <c r="D160" s="129" t="s">
        <v>155</v>
      </c>
      <c r="E160" s="129"/>
      <c r="F160" s="129"/>
      <c r="G160" s="129"/>
      <c r="H160" s="129"/>
      <c r="J160" s="20">
        <f>_xlfn.LET(
    _xlpm.data, $A$144:$A$163,
    _xlpm.x, $A160,
    _xlpm.avg, AVERAGE(_xlpm.data),
    _xlpm.std, _xlfn.STDEV.S(_xlpm.data),
    _xlpm.zscore, (_xlpm.x - _xlpm.avg) / _xlpm.std,
    _xlpm.return, _xlpm.zscore,
    _xlpm.return
)</f>
        <v>-0.46782982316637978</v>
      </c>
      <c r="K160" s="73"/>
      <c r="L160" s="20">
        <f>_xlfn.LET(
    _xlpm.x, $A160,
    _xlpm.avg, $E$162,
    _xlpm.std, $E$163,
    _xlpm.zscore, (_xlpm.x - _xlpm.avg) / _xlpm.std,
    _xlpm.return, _xlpm.zscore,
    _xlpm.return
)</f>
        <v>-0.46782982316637978</v>
      </c>
      <c r="M160" s="73"/>
      <c r="N160" s="17">
        <v>-0.46782982316637978</v>
      </c>
      <c r="O160" s="73"/>
      <c r="P160" s="17">
        <v>-0.46782982316637978</v>
      </c>
      <c r="Q160" s="73"/>
      <c r="R160" s="17">
        <v>-0.46782982316637978</v>
      </c>
    </row>
    <row r="161" spans="1:18" outlineLevel="1">
      <c r="A161" s="17">
        <v>2395.8282841212472</v>
      </c>
      <c r="B161" s="32">
        <f>($A161-AVERAGE($A$144:$A$163))/_xlfn.STDEV.S($A$144:$A$163)</f>
        <v>0.53917207025407887</v>
      </c>
      <c r="J161" s="20">
        <f>_xlfn.LET(
    _xlpm.data, $A$144:$A$163,
    _xlpm.x, $A161,
    _xlpm.avg, AVERAGE(_xlpm.data),
    _xlpm.std, _xlfn.STDEV.S(_xlpm.data),
    _xlpm.zscore, (_xlpm.x - _xlpm.avg) / _xlpm.std,
    _xlpm.return, _xlpm.zscore,
    _xlpm.return
)</f>
        <v>0.53917207025407887</v>
      </c>
      <c r="K161" s="73"/>
      <c r="L161" s="20">
        <f>_xlfn.LET(
    _xlpm.x, $A161,
    _xlpm.avg, $E$162,
    _xlpm.std, $E$163,
    _xlpm.zscore, (_xlpm.x - _xlpm.avg) / _xlpm.std,
    _xlpm.return, _xlpm.zscore,
    _xlpm.return
)</f>
        <v>0.53917207025407887</v>
      </c>
      <c r="M161" s="73"/>
      <c r="N161" s="17">
        <v>0.53917207025407887</v>
      </c>
      <c r="O161" s="73"/>
      <c r="P161" s="17">
        <v>0.53917207025407887</v>
      </c>
      <c r="Q161" s="73"/>
      <c r="R161" s="17">
        <v>0.53917207025407887</v>
      </c>
    </row>
    <row r="162" spans="1:18" outlineLevel="1">
      <c r="A162" s="17">
        <v>2591.1245629295772</v>
      </c>
      <c r="B162" s="32">
        <f>($A162-AVERAGE($A$144:$A$163))/_xlfn.STDEV.S($A$144:$A$163)</f>
        <v>1.0168048397576763</v>
      </c>
      <c r="D162" s="19" t="s">
        <v>5</v>
      </c>
      <c r="E162" s="17">
        <f>AVERAGE(A144:A163)</f>
        <v>2175.369585134908</v>
      </c>
      <c r="J162" s="20">
        <f>_xlfn.LET(
    _xlpm.data, $A$144:$A$163,
    _xlpm.x, $A162,
    _xlpm.avg, AVERAGE(_xlpm.data),
    _xlpm.std, _xlfn.STDEV.S(_xlpm.data),
    _xlpm.zscore, (_xlpm.x - _xlpm.avg) / _xlpm.std,
    _xlpm.return, _xlpm.zscore,
    _xlpm.return
)</f>
        <v>1.0168048397576763</v>
      </c>
      <c r="K162" s="73"/>
      <c r="L162" s="20">
        <f>_xlfn.LET(
    _xlpm.x, $A162,
    _xlpm.avg, $E$162,
    _xlpm.std, $E$163,
    _xlpm.zscore, (_xlpm.x - _xlpm.avg) / _xlpm.std,
    _xlpm.return, _xlpm.zscore,
    _xlpm.return
)</f>
        <v>1.0168048397576763</v>
      </c>
      <c r="M162" s="73"/>
      <c r="N162" s="17">
        <v>1.0168048397576763</v>
      </c>
      <c r="O162" s="73"/>
      <c r="P162" s="17">
        <v>1.0168048397576763</v>
      </c>
      <c r="Q162" s="73"/>
      <c r="R162" s="17">
        <v>1.0168048397576763</v>
      </c>
    </row>
    <row r="163" spans="1:18" outlineLevel="1">
      <c r="A163" s="17">
        <v>2046.851317843325</v>
      </c>
      <c r="B163" s="32">
        <f>($A163-AVERAGE($A$144:$A$163))/_xlfn.STDEV.S($A$144:$A$163)</f>
        <v>-0.31431492864504151</v>
      </c>
      <c r="D163" s="19" t="s">
        <v>6</v>
      </c>
      <c r="E163" s="17">
        <f>_xlfn.STDEV.S(A144:A163)</f>
        <v>408.88375186505942</v>
      </c>
      <c r="J163" s="20">
        <f>_xlfn.LET(
    _xlpm.data, $A$144:$A$163,
    _xlpm.x, $A163,
    _xlpm.avg, AVERAGE(_xlpm.data),
    _xlpm.std, _xlfn.STDEV.S(_xlpm.data),
    _xlpm.zscore, (_xlpm.x - _xlpm.avg) / _xlpm.std,
    _xlpm.return, _xlpm.zscore,
    _xlpm.return
)</f>
        <v>-0.31431492864504151</v>
      </c>
      <c r="K163" s="73"/>
      <c r="L163" s="20">
        <f>_xlfn.LET(
    _xlpm.x, $A163,
    _xlpm.avg, $E$162,
    _xlpm.std, $E$163,
    _xlpm.zscore, (_xlpm.x - _xlpm.avg) / _xlpm.std,
    _xlpm.return, _xlpm.zscore,
    _xlpm.return
)</f>
        <v>-0.31431492864504151</v>
      </c>
      <c r="M163" s="73"/>
      <c r="N163" s="17">
        <v>-0.31431492864504151</v>
      </c>
      <c r="O163" s="73"/>
      <c r="P163" s="17">
        <v>-0.31431492864504151</v>
      </c>
      <c r="Q163" s="73"/>
      <c r="R163" s="17">
        <v>-0.31431492864504151</v>
      </c>
    </row>
    <row r="164" spans="1:18" s="3" customFormat="1" ht="15"/>
    <row r="165" spans="1:18" ht="20.25">
      <c r="A165" s="12" t="s">
        <v>617</v>
      </c>
    </row>
    <row r="166" spans="1:18" outlineLevel="1">
      <c r="A166" s="74" t="s">
        <v>460</v>
      </c>
    </row>
    <row r="167" spans="1:18" outlineLevel="2">
      <c r="A167" s="51" t="s">
        <v>604</v>
      </c>
    </row>
    <row r="168" spans="1:18" outlineLevel="2">
      <c r="A168" s="51" t="s">
        <v>620</v>
      </c>
    </row>
    <row r="169" spans="1:18" outlineLevel="2">
      <c r="A169" s="54" t="s">
        <v>622</v>
      </c>
    </row>
    <row r="170" spans="1:18" outlineLevel="2">
      <c r="A170" s="54" t="s">
        <v>621</v>
      </c>
    </row>
    <row r="171" spans="1:18" ht="20.25" outlineLevel="1">
      <c r="A171" s="12"/>
    </row>
    <row r="172" spans="1:18" outlineLevel="1">
      <c r="A172" s="74" t="s">
        <v>607</v>
      </c>
    </row>
    <row r="173" spans="1:18" outlineLevel="2">
      <c r="A173" s="74" t="s">
        <v>605</v>
      </c>
      <c r="B173" s="74"/>
    </row>
    <row r="174" spans="1:18" outlineLevel="2">
      <c r="A174" s="15" t="s">
        <v>489</v>
      </c>
      <c r="B174" s="15" t="s">
        <v>606</v>
      </c>
    </row>
    <row r="175" spans="1:18" outlineLevel="2">
      <c r="A175" s="85" t="str">
        <f>"|x|&gt;" &amp; B175</f>
        <v>|x|&gt;1</v>
      </c>
      <c r="B175" s="71">
        <v>1</v>
      </c>
    </row>
    <row r="176" spans="1:18" outlineLevel="2">
      <c r="A176" s="85" t="str">
        <f>"|x|&gt;" &amp; B176</f>
        <v>|x|&gt;2</v>
      </c>
      <c r="B176" s="71">
        <v>2</v>
      </c>
    </row>
    <row r="177" spans="1:9" outlineLevel="2">
      <c r="A177" s="85" t="str">
        <f>"|x|&gt;" &amp; B177</f>
        <v>|x|&gt;3</v>
      </c>
      <c r="B177" s="71">
        <v>3</v>
      </c>
    </row>
    <row r="178" spans="1:9" outlineLevel="2"/>
    <row r="179" spans="1:9" outlineLevel="2"/>
    <row r="180" spans="1:9" outlineLevel="2">
      <c r="B180" s="27" t="s">
        <v>101</v>
      </c>
      <c r="I180" s="22" t="s">
        <v>102</v>
      </c>
    </row>
    <row r="181" spans="1:9" outlineLevel="2">
      <c r="A181" s="15" t="s">
        <v>2</v>
      </c>
      <c r="B181" s="55" t="s">
        <v>487</v>
      </c>
      <c r="F181" s="84"/>
      <c r="H181" s="84"/>
      <c r="I181" s="23" t="s">
        <v>487</v>
      </c>
    </row>
    <row r="182" spans="1:9" outlineLevel="2">
      <c r="A182" s="17">
        <v>2028.0182475332299</v>
      </c>
      <c r="B182" s="32" t="str">
        <f>_xlfn.XLOOKUP(
    ABS((A182-AVERAGE($A$182:$A$201))/_xlfn.STDEV.S($A$182:$A$201)),
    $B$175:$B$177,
    $A$175:$A$177,
    "",
    -1
)</f>
        <v/>
      </c>
      <c r="I182" s="86" t="str" cm="1">
        <f t="array" ref="I182:I201">_xlfn.LET(
    _xlpm.data, $A$182:$A$201,
    _xlpm.rules, A175:B177,
    _xlpm.z, ZSCORE(_xlpm.data),
    _xlpm.z_abs, ABS(_xlpm.z),
    _xlpm.lbl, _xlfn.BYROW(_xlpm.z_abs, _xlfn.LAMBDA(_xlpm.r, _xlfn.LET(
        _xlpm.r_std, INDEX(_xlpm.rules, , 2),
        _xlpm.r_lbl, INDEX(_xlpm.rules, , 1),
        _xlpm.return, _xlfn.XLOOKUP(_xlpm.r, _xlpm.r_std, _xlpm.r_lbl, "", -1),
        _xlpm.return
    ))),
    _xlpm.return, _xlpm.lbl,
    _xlpm.return
)</f>
        <v/>
      </c>
    </row>
    <row r="183" spans="1:9" outlineLevel="2">
      <c r="A183" s="17">
        <v>1684.07512373445</v>
      </c>
      <c r="B183" s="32" t="str">
        <f>_xlfn.XLOOKUP(
    ABS((A183-AVERAGE($A$182:$A$201))/_xlfn.STDEV.S($A$182:$A$201)),
    $B$175:$B$177,
    $A$175:$A$177,
    "",
    -1
)</f>
        <v>|x|&gt;1</v>
      </c>
      <c r="I183" s="87" t="str">
        <v>|x|&gt;1</v>
      </c>
    </row>
    <row r="184" spans="1:9" outlineLevel="2">
      <c r="A184" s="17">
        <v>2682.192876565904</v>
      </c>
      <c r="B184" s="32" t="str">
        <f>_xlfn.XLOOKUP(
    ABS((A184-AVERAGE($A$182:$A$201))/_xlfn.STDEV.S($A$182:$A$201)),
    $B$175:$B$177,
    $A$175:$A$177,
    "",
    -1
)</f>
        <v>|x|&gt;1</v>
      </c>
      <c r="I184" s="87" t="str">
        <v>|x|&gt;1</v>
      </c>
    </row>
    <row r="185" spans="1:9" outlineLevel="2">
      <c r="A185" s="17">
        <v>2609.2819714745278</v>
      </c>
      <c r="B185" s="32" t="str">
        <f>_xlfn.XLOOKUP(
    ABS((A185-AVERAGE($A$182:$A$201))/_xlfn.STDEV.S($A$182:$A$201)),
    $B$175:$B$177,
    $A$175:$A$177,
    "",
    -1
)</f>
        <v>|x|&gt;1</v>
      </c>
      <c r="I185" s="87" t="str">
        <v>|x|&gt;1</v>
      </c>
    </row>
    <row r="186" spans="1:9" outlineLevel="2">
      <c r="A186" s="17">
        <v>2396.9667916141302</v>
      </c>
      <c r="B186" s="32" t="str">
        <f>_xlfn.XLOOKUP(
    ABS((A186-AVERAGE($A$182:$A$201))/_xlfn.STDEV.S($A$182:$A$201)),
    $B$175:$B$177,
    $A$175:$A$177,
    "",
    -1
)</f>
        <v/>
      </c>
      <c r="I186" s="87" t="str">
        <v/>
      </c>
    </row>
    <row r="187" spans="1:9" outlineLevel="2">
      <c r="A187" s="17">
        <v>1523.33077273302</v>
      </c>
      <c r="B187" s="32" t="str">
        <f>_xlfn.XLOOKUP(
    ABS((A187-AVERAGE($A$182:$A$201))/_xlfn.STDEV.S($A$182:$A$201)),
    $B$175:$B$177,
    $A$175:$A$177,
    "",
    -1
)</f>
        <v>|x|&gt;1</v>
      </c>
      <c r="I187" s="87" t="str">
        <v>|x|&gt;1</v>
      </c>
    </row>
    <row r="188" spans="1:9" outlineLevel="2">
      <c r="A188" s="17">
        <v>1564.8975195861099</v>
      </c>
      <c r="B188" s="32" t="str">
        <f>_xlfn.XLOOKUP(
    ABS((A188-AVERAGE($A$182:$A$201))/_xlfn.STDEV.S($A$182:$A$201)),
    $B$175:$B$177,
    $A$175:$A$177,
    "",
    -1
)</f>
        <v>|x|&gt;1</v>
      </c>
      <c r="I188" s="87" t="str">
        <v>|x|&gt;1</v>
      </c>
    </row>
    <row r="189" spans="1:9" outlineLevel="2">
      <c r="A189" s="17">
        <v>1828.693274835317</v>
      </c>
      <c r="B189" s="32" t="str">
        <f>_xlfn.XLOOKUP(
    ABS((A189-AVERAGE($A$182:$A$201))/_xlfn.STDEV.S($A$182:$A$201)),
    $B$175:$B$177,
    $A$175:$A$177,
    "",
    -1
)</f>
        <v/>
      </c>
      <c r="I189" s="87" t="str">
        <v/>
      </c>
    </row>
    <row r="190" spans="1:9" outlineLevel="2">
      <c r="A190" s="17">
        <v>2579.9720763798796</v>
      </c>
      <c r="B190" s="32" t="str">
        <f>_xlfn.XLOOKUP(
    ABS((A190-AVERAGE($A$182:$A$201))/_xlfn.STDEV.S($A$182:$A$201)),
    $B$175:$B$177,
    $A$175:$A$177,
    "",
    -1
)</f>
        <v/>
      </c>
      <c r="I190" s="87" t="str">
        <v/>
      </c>
    </row>
    <row r="191" spans="1:9" outlineLevel="2">
      <c r="A191" s="17">
        <v>2184.2125647719422</v>
      </c>
      <c r="B191" s="32" t="str">
        <f>_xlfn.XLOOKUP(
    ABS((A191-AVERAGE($A$182:$A$201))/_xlfn.STDEV.S($A$182:$A$201)),
    $B$175:$B$177,
    $A$175:$A$177,
    "",
    -1
)</f>
        <v/>
      </c>
      <c r="I191" s="87" t="str">
        <v/>
      </c>
    </row>
    <row r="192" spans="1:9" outlineLevel="2">
      <c r="A192" s="17">
        <v>2343.289913321687</v>
      </c>
      <c r="B192" s="32" t="str">
        <f>_xlfn.XLOOKUP(
    ABS((A192-AVERAGE($A$182:$A$201))/_xlfn.STDEV.S($A$182:$A$201)),
    $B$175:$B$177,
    $A$175:$A$177,
    "",
    -1
)</f>
        <v/>
      </c>
      <c r="I192" s="87" t="str">
        <v/>
      </c>
    </row>
    <row r="193" spans="1:14" outlineLevel="2">
      <c r="A193" s="17">
        <v>2705.91363016888</v>
      </c>
      <c r="B193" s="32" t="str">
        <f>_xlfn.XLOOKUP(
    ABS((A193-AVERAGE($A$182:$A$201))/_xlfn.STDEV.S($A$182:$A$201)),
    $B$175:$B$177,
    $A$175:$A$177,
    "",
    -1
)</f>
        <v>|x|&gt;1</v>
      </c>
      <c r="I193" s="87" t="str">
        <v>|x|&gt;1</v>
      </c>
    </row>
    <row r="194" spans="1:14" outlineLevel="2">
      <c r="A194" s="17">
        <v>2262.7913156237323</v>
      </c>
      <c r="B194" s="32" t="str">
        <f>_xlfn.XLOOKUP(
    ABS((A194-AVERAGE($A$182:$A$201))/_xlfn.STDEV.S($A$182:$A$201)),
    $B$175:$B$177,
    $A$175:$A$177,
    "",
    -1
)</f>
        <v/>
      </c>
      <c r="I194" s="87" t="str">
        <v/>
      </c>
    </row>
    <row r="195" spans="1:14" outlineLevel="2">
      <c r="A195" s="17">
        <v>2671.2431888853894</v>
      </c>
      <c r="B195" s="32" t="str">
        <f>_xlfn.XLOOKUP(
    ABS((A195-AVERAGE($A$182:$A$201))/_xlfn.STDEV.S($A$182:$A$201)),
    $B$175:$B$177,
    $A$175:$A$177,
    "",
    -1
)</f>
        <v>|x|&gt;1</v>
      </c>
      <c r="I195" s="87" t="str">
        <v>|x|&gt;1</v>
      </c>
    </row>
    <row r="196" spans="1:14" outlineLevel="2">
      <c r="A196" s="17">
        <v>1524.1826948845828</v>
      </c>
      <c r="B196" s="32" t="str">
        <f>_xlfn.XLOOKUP(
    ABS((A196-AVERAGE($A$182:$A$201))/_xlfn.STDEV.S($A$182:$A$201)),
    $B$175:$B$177,
    $A$175:$A$177,
    "",
    -1
)</f>
        <v>|x|&gt;1</v>
      </c>
      <c r="I196" s="87" t="str">
        <v>|x|&gt;1</v>
      </c>
    </row>
    <row r="197" spans="1:14" outlineLevel="2">
      <c r="A197" s="17">
        <v>1900.4440038869452</v>
      </c>
      <c r="B197" s="32" t="str">
        <f>_xlfn.XLOOKUP(
    ABS((A197-AVERAGE($A$182:$A$201))/_xlfn.STDEV.S($A$182:$A$201)),
    $B$175:$B$177,
    $A$175:$A$177,
    "",
    -1
)</f>
        <v/>
      </c>
      <c r="I197" s="87" t="str">
        <v/>
      </c>
    </row>
    <row r="198" spans="1:14" outlineLevel="2">
      <c r="A198" s="17">
        <v>1984.0815718042713</v>
      </c>
      <c r="B198" s="32" t="str">
        <f>_xlfn.XLOOKUP(
    ABS((A198-AVERAGE($A$182:$A$201))/_xlfn.STDEV.S($A$182:$A$201)),
    $B$175:$B$177,
    $A$175:$A$177,
    "",
    -1
)</f>
        <v/>
      </c>
      <c r="I198" s="87" t="str">
        <v/>
      </c>
    </row>
    <row r="199" spans="1:14" outlineLevel="2">
      <c r="A199" s="17">
        <v>2395.8282841212472</v>
      </c>
      <c r="B199" s="32" t="str">
        <f>_xlfn.XLOOKUP(
    ABS((A199-AVERAGE($A$182:$A$201))/_xlfn.STDEV.S($A$182:$A$201)),
    $B$175:$B$177,
    $A$175:$A$177,
    "",
    -1
)</f>
        <v/>
      </c>
      <c r="I199" s="87" t="str">
        <v/>
      </c>
    </row>
    <row r="200" spans="1:14" outlineLevel="2">
      <c r="A200" s="17">
        <v>2591.1245629295772</v>
      </c>
      <c r="B200" s="32" t="str">
        <f>_xlfn.XLOOKUP(
    ABS((A200-AVERAGE($A$182:$A$201))/_xlfn.STDEV.S($A$182:$A$201)),
    $B$175:$B$177,
    $A$175:$A$177,
    "",
    -1
)</f>
        <v>|x|&gt;1</v>
      </c>
      <c r="I200" s="87" t="str">
        <v>|x|&gt;1</v>
      </c>
    </row>
    <row r="201" spans="1:14" outlineLevel="2">
      <c r="A201" s="17">
        <v>2046.851317843325</v>
      </c>
      <c r="B201" s="32" t="str">
        <f>_xlfn.XLOOKUP(
    ABS((A201-AVERAGE($A$182:$A$201))/_xlfn.STDEV.S($A$182:$A$201)),
    $B$175:$B$177,
    $A$175:$A$177,
    "",
    -1
)</f>
        <v/>
      </c>
      <c r="I201" s="87" t="str">
        <v/>
      </c>
    </row>
    <row r="202" spans="1:14" s="4" customFormat="1" ht="15.75" outlineLevel="1"/>
    <row r="203" spans="1:14" s="4" customFormat="1" ht="15.75" outlineLevel="1">
      <c r="A203" s="74" t="s">
        <v>515</v>
      </c>
    </row>
    <row r="204" spans="1:14" s="4" customFormat="1" ht="15.75" outlineLevel="2">
      <c r="A204" s="80" t="s">
        <v>504</v>
      </c>
      <c r="B204" s="80"/>
      <c r="C204" s="80"/>
      <c r="D204" s="80"/>
      <c r="E204" s="80"/>
      <c r="F204" s="80"/>
      <c r="G204" s="80"/>
      <c r="H204" s="80"/>
      <c r="I204" s="80" t="s">
        <v>505</v>
      </c>
    </row>
    <row r="205" spans="1:14" s="4" customFormat="1" ht="15.75" outlineLevel="2">
      <c r="A205" s="118" t="s">
        <v>492</v>
      </c>
      <c r="B205" s="118"/>
      <c r="C205" s="118"/>
      <c r="D205" s="118"/>
      <c r="E205" s="118"/>
      <c r="F205" s="118"/>
      <c r="G205" s="118"/>
      <c r="I205" s="118" t="s">
        <v>367</v>
      </c>
      <c r="J205" s="118"/>
      <c r="K205" s="118"/>
      <c r="L205" s="118"/>
      <c r="M205" s="118"/>
      <c r="N205" s="118"/>
    </row>
    <row r="206" spans="1:14" s="4" customFormat="1" ht="15.75" outlineLevel="2">
      <c r="A206" s="118" t="s">
        <v>493</v>
      </c>
      <c r="B206" s="118"/>
      <c r="C206" s="118"/>
      <c r="D206" s="118"/>
      <c r="E206" s="118"/>
      <c r="F206" s="118"/>
      <c r="G206" s="118"/>
      <c r="I206" s="118" t="s">
        <v>599</v>
      </c>
      <c r="J206" s="118"/>
      <c r="K206" s="118"/>
      <c r="L206" s="118"/>
      <c r="M206" s="118"/>
      <c r="N206" s="118"/>
    </row>
    <row r="207" spans="1:14" s="4" customFormat="1" ht="15.75" outlineLevel="2">
      <c r="A207" s="118" t="s">
        <v>494</v>
      </c>
      <c r="B207" s="118"/>
      <c r="C207" s="118"/>
      <c r="D207" s="118"/>
      <c r="E207" s="118"/>
      <c r="F207" s="118"/>
      <c r="G207" s="118"/>
      <c r="I207" s="118" t="s">
        <v>600</v>
      </c>
      <c r="J207" s="118"/>
      <c r="K207" s="118"/>
      <c r="L207" s="118"/>
      <c r="M207" s="118"/>
      <c r="N207" s="118"/>
    </row>
    <row r="208" spans="1:14" s="4" customFormat="1" ht="15.75" outlineLevel="2">
      <c r="A208" s="118" t="s">
        <v>495</v>
      </c>
      <c r="B208" s="118"/>
      <c r="C208" s="118"/>
      <c r="D208" s="118"/>
      <c r="E208" s="118"/>
      <c r="F208" s="118"/>
      <c r="G208" s="118"/>
      <c r="I208" s="118" t="s">
        <v>601</v>
      </c>
      <c r="J208" s="118"/>
      <c r="K208" s="118"/>
      <c r="L208" s="118"/>
      <c r="M208" s="118"/>
      <c r="N208" s="118"/>
    </row>
    <row r="209" spans="1:14" s="4" customFormat="1" ht="15.75" outlineLevel="2">
      <c r="A209" s="118" t="s">
        <v>496</v>
      </c>
      <c r="B209" s="118"/>
      <c r="C209" s="118"/>
      <c r="D209" s="118"/>
      <c r="E209" s="118"/>
      <c r="F209" s="118"/>
      <c r="G209" s="118"/>
      <c r="I209" s="118" t="s">
        <v>498</v>
      </c>
      <c r="J209" s="118"/>
      <c r="K209" s="118"/>
      <c r="L209" s="118"/>
      <c r="M209" s="118"/>
      <c r="N209" s="118"/>
    </row>
    <row r="210" spans="1:14" s="4" customFormat="1" ht="15.75" outlineLevel="2">
      <c r="A210" s="118" t="s">
        <v>497</v>
      </c>
      <c r="B210" s="118"/>
      <c r="C210" s="118"/>
      <c r="D210" s="118"/>
      <c r="E210" s="118"/>
      <c r="F210" s="118"/>
      <c r="G210" s="118"/>
      <c r="I210" s="118" t="s">
        <v>499</v>
      </c>
      <c r="J210" s="118"/>
      <c r="K210" s="118"/>
      <c r="L210" s="118"/>
      <c r="M210" s="118"/>
      <c r="N210" s="118"/>
    </row>
    <row r="211" spans="1:14" s="4" customFormat="1" ht="15.75" outlineLevel="2">
      <c r="A211" s="118" t="s">
        <v>151</v>
      </c>
      <c r="B211" s="118"/>
      <c r="C211" s="118"/>
      <c r="D211" s="118"/>
      <c r="E211" s="118"/>
      <c r="F211" s="118"/>
      <c r="G211" s="118"/>
      <c r="I211" s="118" t="s">
        <v>500</v>
      </c>
      <c r="J211" s="118"/>
      <c r="K211" s="118"/>
      <c r="L211" s="118"/>
      <c r="M211" s="118"/>
      <c r="N211" s="118"/>
    </row>
    <row r="212" spans="1:14" s="4" customFormat="1" ht="15.75" outlineLevel="2">
      <c r="I212" s="118" t="s">
        <v>501</v>
      </c>
      <c r="J212" s="118"/>
      <c r="K212" s="118"/>
      <c r="L212" s="118"/>
      <c r="M212" s="118"/>
      <c r="N212" s="118"/>
    </row>
    <row r="213" spans="1:14" s="4" customFormat="1" ht="15.75" outlineLevel="2">
      <c r="I213" s="118" t="s">
        <v>502</v>
      </c>
      <c r="J213" s="118"/>
      <c r="K213" s="118"/>
      <c r="L213" s="118"/>
      <c r="M213" s="118"/>
      <c r="N213" s="118"/>
    </row>
    <row r="214" spans="1:14" s="4" customFormat="1" ht="15.75" outlineLevel="2">
      <c r="I214" s="118" t="s">
        <v>452</v>
      </c>
      <c r="J214" s="118"/>
      <c r="K214" s="118"/>
      <c r="L214" s="118"/>
      <c r="M214" s="118"/>
      <c r="N214" s="118"/>
    </row>
    <row r="215" spans="1:14" s="4" customFormat="1" ht="15.75" outlineLevel="2">
      <c r="I215" s="118" t="s">
        <v>503</v>
      </c>
      <c r="J215" s="118"/>
      <c r="K215" s="118"/>
      <c r="L215" s="118"/>
      <c r="M215" s="118"/>
      <c r="N215" s="118"/>
    </row>
    <row r="216" spans="1:14" s="4" customFormat="1" ht="15.75" outlineLevel="2">
      <c r="I216" s="118" t="s">
        <v>602</v>
      </c>
      <c r="J216" s="118"/>
      <c r="K216" s="118"/>
      <c r="L216" s="118"/>
      <c r="M216" s="118"/>
      <c r="N216" s="118"/>
    </row>
    <row r="217" spans="1:14" s="4" customFormat="1" ht="15.75" outlineLevel="2">
      <c r="I217" s="118" t="s">
        <v>400</v>
      </c>
      <c r="J217" s="118"/>
      <c r="K217" s="118"/>
      <c r="L217" s="118"/>
      <c r="M217" s="118"/>
      <c r="N217" s="118"/>
    </row>
    <row r="218" spans="1:14" s="4" customFormat="1" ht="15.75" outlineLevel="2">
      <c r="I218" s="118" t="s">
        <v>151</v>
      </c>
      <c r="J218" s="118"/>
      <c r="K218" s="118"/>
      <c r="L218" s="118"/>
      <c r="M218" s="118"/>
      <c r="N218" s="118"/>
    </row>
    <row r="219" spans="1:14" s="4" customFormat="1" ht="15.75" outlineLevel="1">
      <c r="B219" s="3"/>
      <c r="C219" s="3"/>
      <c r="D219" s="3"/>
      <c r="E219" s="3"/>
      <c r="F219" s="3"/>
      <c r="G219" s="3"/>
      <c r="H219" s="3"/>
      <c r="I219" s="3"/>
      <c r="J219" s="3"/>
    </row>
    <row r="220" spans="1:14" s="4" customFormat="1" ht="15.75" outlineLevel="1">
      <c r="A220" s="74" t="s">
        <v>516</v>
      </c>
      <c r="B220" s="3"/>
      <c r="C220" s="3"/>
      <c r="D220" s="3"/>
      <c r="E220" s="3"/>
      <c r="F220" s="3"/>
      <c r="G220" s="3"/>
      <c r="H220" s="3"/>
      <c r="I220" s="3"/>
      <c r="J220" s="3"/>
    </row>
    <row r="221" spans="1:14" s="4" customFormat="1" ht="15.75" outlineLevel="2">
      <c r="A221" s="76" t="s">
        <v>511</v>
      </c>
      <c r="B221" s="3"/>
      <c r="C221" s="3"/>
      <c r="D221" s="3"/>
      <c r="E221" s="3"/>
      <c r="F221" s="3"/>
      <c r="G221" s="3"/>
      <c r="H221" s="3"/>
      <c r="I221" s="3"/>
      <c r="J221" s="3"/>
    </row>
    <row r="222" spans="1:14" s="4" customFormat="1" ht="15.75" outlineLevel="2"/>
    <row r="223" spans="1:14" s="4" customFormat="1" ht="15.75" outlineLevel="2">
      <c r="D223" s="2" t="s">
        <v>507</v>
      </c>
      <c r="E223" s="2" t="s">
        <v>508</v>
      </c>
      <c r="F223" s="2" t="s">
        <v>506</v>
      </c>
    </row>
    <row r="224" spans="1:14" s="4" customFormat="1" ht="15.75" outlineLevel="2">
      <c r="D224" s="85" t="str" cm="1">
        <f t="array" ref="D224:F226">_xlfn.LET(
    _xlpm.trad, $A$205:$G$211,
    _xlpm.let_dyn, $I$205:$N$218,
    _xlpm.style, {"Trad";"LET";"diff"},
    _xlpm.r_trad, ROWS(_xlpm.trad),
    _xlpm.r_let, ROWS(_xlpm.let_dyn),
    _xlpm.lines, _xlfn.VSTACK(_xlpm.r_trad, _xlpm.r_let, _xlpm.r_trad - _xlpm.r_let),
    _xlpm.get_chars, _xlfn.LAMBDA(_xlpm.x, SUM(LEN(_xlpm.x))),
    _xlpm.c_trad, _xlpm.get_chars(_xlpm.trad),
    _xlpm.c_let, _xlpm.get_chars(_xlpm.let_dyn),
    _xlpm.chars, _xlfn.VSTACK(_xlpm.c_trad, _xlpm.c_let, _xlpm.c_trad - _xlpm.c_let),
    _xlpm.return, _xlfn.HSTACK(_xlpm.style, _xlpm.lines, _xlpm.chars),
    _xlpm.return
)</f>
        <v>Trad</v>
      </c>
      <c r="E224" s="17">
        <v>7</v>
      </c>
      <c r="F224" s="17">
        <v>121</v>
      </c>
    </row>
    <row r="225" spans="1:8" s="4" customFormat="1" ht="15.75" outlineLevel="2">
      <c r="D225" s="85" t="str">
        <v>LET</v>
      </c>
      <c r="E225" s="17">
        <v>14</v>
      </c>
      <c r="F225" s="17">
        <v>288</v>
      </c>
    </row>
    <row r="226" spans="1:8" s="4" customFormat="1" ht="15.75" outlineLevel="2">
      <c r="D226" s="91" t="str">
        <v>diff</v>
      </c>
      <c r="E226" s="91">
        <v>-7</v>
      </c>
      <c r="F226" s="91">
        <v>-167</v>
      </c>
    </row>
    <row r="227" spans="1:8" s="4" customFormat="1" ht="15.75" outlineLevel="1"/>
    <row r="228" spans="1:8" s="4" customFormat="1" ht="15.75" outlineLevel="1">
      <c r="A228" s="74" t="s">
        <v>603</v>
      </c>
    </row>
    <row r="229" spans="1:8" s="4" customFormat="1" ht="15.75" outlineLevel="2">
      <c r="A229" s="76" t="s">
        <v>509</v>
      </c>
    </row>
    <row r="230" spans="1:8" s="4" customFormat="1" ht="15.75" outlineLevel="2">
      <c r="A230" s="76" t="s">
        <v>514</v>
      </c>
    </row>
    <row r="231" spans="1:8" s="4" customFormat="1" ht="15.75" outlineLevel="2"/>
    <row r="232" spans="1:8" s="4" customFormat="1" ht="15.75" outlineLevel="2">
      <c r="D232" s="2" t="s">
        <v>507</v>
      </c>
      <c r="E232" s="2" t="s">
        <v>508</v>
      </c>
      <c r="F232" s="2" t="s">
        <v>506</v>
      </c>
      <c r="G232" s="2" t="s">
        <v>512</v>
      </c>
      <c r="H232" s="2" t="s">
        <v>513</v>
      </c>
    </row>
    <row r="233" spans="1:8" s="4" customFormat="1" ht="15.75" outlineLevel="2">
      <c r="A233" s="80" t="s">
        <v>510</v>
      </c>
      <c r="B233" s="17">
        <v>20</v>
      </c>
      <c r="D233" s="85" t="str" cm="1">
        <f t="array" ref="D233:H235">_xlfn.LET(
    _xlpm.trad, $A$205:$G$211,
    _xlpm.let_dyn, $I$205:$N$218,
    _xlpm.data_n, $B$233,
    _xlpm.style, {"Trad";"LET";"diff"},
    _xlpm.stack, _xlfn.LAMBDA(_xlpm.t,_xlpm.r, _xlfn.VSTACK(_xlpm.t, _xlpm.r, _xlpm.t -_xlpm.r)),
    _xlpm.lines, _xlfn.LET(
        _xlpm.r_trad, ROWS(_xlpm.trad) * _xlpm.data_n,
        _xlpm.r_let, ROWS(_xlpm.let_dyn),
        _xlpm.stack(_xlpm.r_trad, _xlpm.r_let)
    ),
    _xlpm.chars, _xlfn.LET(
        _xlpm.get_chars, _xlfn.LAMBDA(_xlpm.x, SUM(LEN(_xlpm.x))),
        _xlpm.c_trad, _xlpm.get_chars(_xlpm.trad) * _xlpm.data_n,
        _xlpm.c_let, _xlpm.get_chars(_xlpm.let_dyn),
        _xlpm.stack(_xlpm.c_trad, _xlpm.c_let)
    ),
    _xlpm.ref_data, _xlfn.LET(
        _xlpm.rd_trad, 3 * _xlpm.data_n,
        _xlpm.rd_let, 1,
        _xlpm.stack(_xlpm.rd_trad, _xlpm.rd_let)
    ),
    _xlpm.ref_rules, _xlfn.LET(
        _xlpm.rr_trad, 2 * _xlpm.data_n,
        _xlpm.rr_let, 1,
        _xlpm.stack(_xlpm.rr_trad, _xlpm.rr_let)
    ),
    _xlpm.return, _xlfn.HSTACK(_xlpm.style, _xlpm.lines, _xlpm.chars, _xlpm.ref_data, _xlpm.ref_rules),
    _xlpm.return
)</f>
        <v>Trad</v>
      </c>
      <c r="E233" s="17">
        <v>140</v>
      </c>
      <c r="F233" s="17">
        <v>2420</v>
      </c>
      <c r="G233" s="17">
        <v>60</v>
      </c>
      <c r="H233" s="17">
        <v>40</v>
      </c>
    </row>
    <row r="234" spans="1:8" s="4" customFormat="1" ht="15.75" outlineLevel="2">
      <c r="D234" s="85" t="str">
        <v>LET</v>
      </c>
      <c r="E234" s="17">
        <v>14</v>
      </c>
      <c r="F234" s="17">
        <v>288</v>
      </c>
      <c r="G234" s="17">
        <v>1</v>
      </c>
      <c r="H234" s="17">
        <v>1</v>
      </c>
    </row>
    <row r="235" spans="1:8" s="4" customFormat="1" ht="15.75" outlineLevel="2">
      <c r="D235" s="91" t="str">
        <v>diff</v>
      </c>
      <c r="E235" s="91">
        <v>126</v>
      </c>
      <c r="F235" s="91">
        <v>2132</v>
      </c>
      <c r="G235" s="91">
        <v>59</v>
      </c>
      <c r="H235" s="92">
        <v>39</v>
      </c>
    </row>
    <row r="236" spans="1:8" s="4" customFormat="1" ht="15.75" outlineLevel="1">
      <c r="H236" s="90"/>
    </row>
    <row r="237" spans="1:8" s="4" customFormat="1" ht="15.75">
      <c r="H237" s="90"/>
    </row>
    <row r="238" spans="1:8" ht="20.25">
      <c r="A238" s="12" t="s">
        <v>632</v>
      </c>
    </row>
    <row r="239" spans="1:8" outlineLevel="1"/>
    <row r="240" spans="1:8" outlineLevel="1">
      <c r="D240" s="127" t="s">
        <v>159</v>
      </c>
      <c r="E240" s="127"/>
      <c r="F240" s="127"/>
      <c r="G240" s="127"/>
      <c r="H240" s="127"/>
    </row>
    <row r="241" spans="1:19" outlineLevel="1">
      <c r="D241" s="128" t="s">
        <v>169</v>
      </c>
      <c r="E241" s="128"/>
      <c r="F241" s="128"/>
      <c r="G241" s="128"/>
      <c r="H241" s="128"/>
    </row>
    <row r="242" spans="1:19" outlineLevel="1">
      <c r="D242" s="128"/>
      <c r="E242" s="128"/>
      <c r="F242" s="128"/>
      <c r="G242" s="128"/>
      <c r="H242" s="128"/>
    </row>
    <row r="243" spans="1:19" outlineLevel="1">
      <c r="D243" s="34"/>
      <c r="E243" s="34"/>
      <c r="F243" s="34"/>
      <c r="G243" s="34"/>
      <c r="H243" s="34"/>
    </row>
    <row r="244" spans="1:19" outlineLevel="1">
      <c r="D244" s="129" t="s">
        <v>89</v>
      </c>
      <c r="E244" s="129"/>
      <c r="F244" s="129"/>
      <c r="G244" s="129"/>
      <c r="H244" s="129"/>
    </row>
    <row r="245" spans="1:19" outlineLevel="1">
      <c r="D245" s="129" t="s">
        <v>160</v>
      </c>
      <c r="E245" s="129"/>
      <c r="F245" s="129"/>
      <c r="G245" s="129"/>
      <c r="H245" s="129"/>
    </row>
    <row r="246" spans="1:19" outlineLevel="1">
      <c r="D246" s="129" t="s">
        <v>161</v>
      </c>
      <c r="E246" s="129"/>
      <c r="F246" s="129"/>
      <c r="G246" s="129"/>
      <c r="H246" s="129"/>
    </row>
    <row r="247" spans="1:19" outlineLevel="1">
      <c r="D247" s="129" t="s">
        <v>162</v>
      </c>
      <c r="E247" s="129"/>
      <c r="F247" s="129"/>
      <c r="G247" s="129"/>
      <c r="H247" s="129"/>
    </row>
    <row r="248" spans="1:19" outlineLevel="1">
      <c r="D248" s="129" t="s">
        <v>163</v>
      </c>
      <c r="E248" s="129"/>
      <c r="F248" s="129"/>
      <c r="G248" s="129"/>
      <c r="H248" s="129"/>
      <c r="R248" s="153"/>
    </row>
    <row r="249" spans="1:19" outlineLevel="1">
      <c r="B249" s="27" t="s">
        <v>101</v>
      </c>
      <c r="D249" s="34"/>
      <c r="E249" s="34"/>
      <c r="F249" s="34"/>
      <c r="G249" s="34"/>
      <c r="H249" s="34"/>
      <c r="J249" s="22" t="s">
        <v>4</v>
      </c>
      <c r="N249" s="36" t="s">
        <v>346</v>
      </c>
      <c r="R249" s="36" t="s">
        <v>598</v>
      </c>
    </row>
    <row r="250" spans="1:19" ht="20.25" customHeight="1" outlineLevel="1">
      <c r="A250" s="56" t="s">
        <v>9</v>
      </c>
      <c r="B250" s="32">
        <f>($B$252*$B$253)/$B$251</f>
        <v>2000</v>
      </c>
      <c r="C250" s="57" t="s">
        <v>167</v>
      </c>
      <c r="D250" s="127" t="s">
        <v>170</v>
      </c>
      <c r="E250" s="127"/>
      <c r="F250" s="127"/>
      <c r="G250" s="127"/>
      <c r="H250" s="127"/>
      <c r="I250" s="30" t="s">
        <v>9</v>
      </c>
      <c r="J250" s="20">
        <f>_xlfn.LET(
    _xlpm.v_1, $B$251,
    _xlpm.c_2, $B$252,
    _xlpm.v_2, $B$253,
    _xlpm.c_1, (_xlpm.c_2 * _xlpm.v_2) / _xlpm.v_1,
    _xlpm.return, _xlpm.c_1,
    _xlpm.return
)</f>
        <v>2000</v>
      </c>
      <c r="K250" s="31" t="s">
        <v>167</v>
      </c>
      <c r="M250" s="19" t="s">
        <v>9</v>
      </c>
      <c r="N250" s="35">
        <v>2000</v>
      </c>
      <c r="O250" s="29" t="s">
        <v>167</v>
      </c>
      <c r="Q250" s="19" t="s">
        <v>9</v>
      </c>
      <c r="R250" s="35">
        <v>2000</v>
      </c>
      <c r="S250" s="29" t="s">
        <v>167</v>
      </c>
    </row>
    <row r="251" spans="1:19" outlineLevel="1">
      <c r="A251" s="19" t="s">
        <v>12</v>
      </c>
      <c r="B251" s="17">
        <v>5</v>
      </c>
      <c r="C251" s="29" t="s">
        <v>168</v>
      </c>
      <c r="D251" s="128" t="s">
        <v>171</v>
      </c>
      <c r="E251" s="128"/>
      <c r="F251" s="128"/>
      <c r="G251" s="128"/>
      <c r="H251" s="128"/>
      <c r="I251" s="19" t="s">
        <v>12</v>
      </c>
      <c r="J251" s="17">
        <v>5</v>
      </c>
      <c r="K251" s="29" t="s">
        <v>168</v>
      </c>
      <c r="M251" s="19" t="s">
        <v>12</v>
      </c>
      <c r="N251" s="35">
        <v>5</v>
      </c>
      <c r="O251" s="29" t="s">
        <v>168</v>
      </c>
      <c r="Q251" s="19" t="s">
        <v>12</v>
      </c>
      <c r="R251" s="35">
        <v>5</v>
      </c>
      <c r="S251" s="29" t="s">
        <v>168</v>
      </c>
    </row>
    <row r="252" spans="1:19" outlineLevel="1">
      <c r="A252" s="19" t="s">
        <v>11</v>
      </c>
      <c r="B252" s="17">
        <v>500</v>
      </c>
      <c r="C252" s="29" t="s">
        <v>167</v>
      </c>
      <c r="D252" s="128"/>
      <c r="E252" s="128"/>
      <c r="F252" s="128"/>
      <c r="G252" s="128"/>
      <c r="H252" s="128"/>
      <c r="I252" s="19" t="s">
        <v>11</v>
      </c>
      <c r="J252" s="17">
        <v>500</v>
      </c>
      <c r="K252" s="29" t="s">
        <v>167</v>
      </c>
      <c r="M252" s="19" t="s">
        <v>11</v>
      </c>
      <c r="N252" s="35">
        <v>500</v>
      </c>
      <c r="O252" s="29" t="s">
        <v>167</v>
      </c>
      <c r="Q252" s="19" t="s">
        <v>11</v>
      </c>
      <c r="R252" s="35">
        <v>500</v>
      </c>
      <c r="S252" s="29" t="s">
        <v>167</v>
      </c>
    </row>
    <row r="253" spans="1:19" outlineLevel="1">
      <c r="A253" s="19" t="s">
        <v>10</v>
      </c>
      <c r="B253" s="17">
        <v>20</v>
      </c>
      <c r="C253" s="29" t="s">
        <v>168</v>
      </c>
      <c r="D253" s="34"/>
      <c r="E253" s="34"/>
      <c r="F253" s="34"/>
      <c r="G253" s="34"/>
      <c r="H253" s="34"/>
      <c r="I253" s="19" t="s">
        <v>10</v>
      </c>
      <c r="J253" s="17">
        <v>20</v>
      </c>
      <c r="K253" s="29" t="s">
        <v>168</v>
      </c>
      <c r="M253" s="19" t="s">
        <v>10</v>
      </c>
      <c r="N253" s="35"/>
      <c r="O253" s="29" t="s">
        <v>168</v>
      </c>
      <c r="Q253" s="19" t="s">
        <v>10</v>
      </c>
      <c r="R253" s="35"/>
      <c r="S253" s="29" t="s">
        <v>168</v>
      </c>
    </row>
    <row r="254" spans="1:19" outlineLevel="1">
      <c r="D254" s="34"/>
      <c r="E254" s="34"/>
      <c r="F254" s="34"/>
      <c r="G254" s="34"/>
      <c r="H254" s="34"/>
    </row>
    <row r="255" spans="1:19" ht="20.25" outlineLevel="1">
      <c r="A255" s="19" t="s">
        <v>9</v>
      </c>
      <c r="B255" s="17">
        <v>2000</v>
      </c>
      <c r="C255" s="29" t="s">
        <v>167</v>
      </c>
      <c r="D255" s="127" t="s">
        <v>172</v>
      </c>
      <c r="E255" s="127"/>
      <c r="F255" s="127"/>
      <c r="G255" s="127"/>
      <c r="H255" s="127"/>
      <c r="I255" s="19" t="s">
        <v>9</v>
      </c>
      <c r="J255" s="17">
        <v>2000</v>
      </c>
      <c r="K255" s="29" t="s">
        <v>167</v>
      </c>
      <c r="N255" s="35" cm="1">
        <f t="array" ref="N255">DILUTIONEQ(N250,N251,N252,N253)</f>
        <v>20</v>
      </c>
      <c r="R255" s="35" cm="1">
        <f t="array" ref="R255">DILUTIONEQ_V2(R250,R251,R252,R253)</f>
        <v>20</v>
      </c>
    </row>
    <row r="256" spans="1:19" outlineLevel="1">
      <c r="A256" s="56" t="s">
        <v>12</v>
      </c>
      <c r="B256" s="32">
        <f>($B$257*$B$258)/$B$255</f>
        <v>5</v>
      </c>
      <c r="C256" s="57" t="s">
        <v>168</v>
      </c>
      <c r="D256" s="128" t="s">
        <v>173</v>
      </c>
      <c r="E256" s="128"/>
      <c r="F256" s="128"/>
      <c r="G256" s="128"/>
      <c r="H256" s="128"/>
      <c r="I256" s="30" t="s">
        <v>12</v>
      </c>
      <c r="J256" s="20">
        <f>_xlfn.LET(
    _xlpm.c_1, $B$255,
    _xlpm.c_2, $B$257,
    _xlpm.v_2, $B$258,
    _xlpm.v_1, (_xlpm.c_2 * _xlpm.v_2) / _xlpm.c_1,
    _xlpm.return, _xlpm.v_1,
    _xlpm.return
)</f>
        <v>5</v>
      </c>
      <c r="K256" s="31" t="s">
        <v>168</v>
      </c>
    </row>
    <row r="257" spans="1:36" outlineLevel="1">
      <c r="A257" s="19" t="s">
        <v>11</v>
      </c>
      <c r="B257" s="17">
        <v>500</v>
      </c>
      <c r="C257" s="29" t="s">
        <v>167</v>
      </c>
      <c r="D257" s="128"/>
      <c r="E257" s="128"/>
      <c r="F257" s="128"/>
      <c r="G257" s="128"/>
      <c r="H257" s="128"/>
      <c r="I257" s="19" t="s">
        <v>11</v>
      </c>
      <c r="J257" s="17">
        <v>500</v>
      </c>
      <c r="K257" s="29" t="s">
        <v>167</v>
      </c>
    </row>
    <row r="258" spans="1:36" outlineLevel="1">
      <c r="A258" s="19" t="s">
        <v>10</v>
      </c>
      <c r="B258" s="17">
        <v>20</v>
      </c>
      <c r="C258" s="29" t="s">
        <v>168</v>
      </c>
      <c r="D258" s="34"/>
      <c r="E258" s="34"/>
      <c r="F258" s="34"/>
      <c r="G258" s="34"/>
      <c r="H258" s="34"/>
      <c r="I258" s="19" t="s">
        <v>10</v>
      </c>
      <c r="J258" s="17">
        <v>20</v>
      </c>
      <c r="K258" s="29" t="s">
        <v>168</v>
      </c>
    </row>
    <row r="259" spans="1:36" outlineLevel="1">
      <c r="D259" s="34"/>
      <c r="E259" s="34"/>
      <c r="F259" s="34"/>
      <c r="G259" s="34"/>
      <c r="H259" s="34"/>
    </row>
    <row r="260" spans="1:36" ht="20.25" outlineLevel="1">
      <c r="A260" s="19" t="s">
        <v>9</v>
      </c>
      <c r="B260" s="17">
        <v>2000</v>
      </c>
      <c r="C260" s="29" t="s">
        <v>167</v>
      </c>
      <c r="D260" s="127" t="s">
        <v>174</v>
      </c>
      <c r="E260" s="127"/>
      <c r="F260" s="127"/>
      <c r="G260" s="127"/>
      <c r="H260" s="127"/>
      <c r="I260" s="19" t="s">
        <v>9</v>
      </c>
      <c r="J260" s="17">
        <v>2000</v>
      </c>
      <c r="K260" s="29" t="s">
        <v>167</v>
      </c>
    </row>
    <row r="261" spans="1:36" outlineLevel="1">
      <c r="A261" s="19" t="s">
        <v>12</v>
      </c>
      <c r="B261" s="17">
        <v>5</v>
      </c>
      <c r="C261" s="29" t="s">
        <v>168</v>
      </c>
      <c r="D261" s="128" t="s">
        <v>175</v>
      </c>
      <c r="E261" s="128"/>
      <c r="F261" s="128"/>
      <c r="G261" s="128"/>
      <c r="H261" s="128"/>
      <c r="I261" s="19" t="s">
        <v>12</v>
      </c>
      <c r="J261" s="17">
        <v>5</v>
      </c>
      <c r="K261" s="29" t="s">
        <v>168</v>
      </c>
    </row>
    <row r="262" spans="1:36" outlineLevel="1">
      <c r="A262" s="56" t="s">
        <v>11</v>
      </c>
      <c r="B262" s="32">
        <f>($B$260*$B$261)/$B$263</f>
        <v>500</v>
      </c>
      <c r="C262" s="57" t="s">
        <v>167</v>
      </c>
      <c r="D262" s="128"/>
      <c r="E262" s="128"/>
      <c r="F262" s="128"/>
      <c r="G262" s="128"/>
      <c r="H262" s="128"/>
      <c r="I262" s="30" t="s">
        <v>11</v>
      </c>
      <c r="J262" s="20">
        <f>_xlfn.LET(
    _xlpm.c_1, $B$260,
    _xlpm.v_1, $B$261,
    _xlpm.v_2, $B$263,
    _xlpm.c_2, (_xlpm.c_1 * _xlpm.v_1) / _xlpm.v_2,
    _xlpm.return, _xlpm.c_2,
    _xlpm.return
)</f>
        <v>500</v>
      </c>
      <c r="K262" s="31" t="s">
        <v>167</v>
      </c>
      <c r="N262" s="27" t="s">
        <v>347</v>
      </c>
    </row>
    <row r="263" spans="1:36" outlineLevel="1">
      <c r="A263" s="19" t="s">
        <v>10</v>
      </c>
      <c r="B263" s="17">
        <v>20</v>
      </c>
      <c r="C263" s="29" t="s">
        <v>168</v>
      </c>
      <c r="D263" s="34"/>
      <c r="E263" s="34"/>
      <c r="F263" s="34"/>
      <c r="G263" s="34"/>
      <c r="H263" s="34"/>
      <c r="I263" s="19" t="s">
        <v>10</v>
      </c>
      <c r="J263" s="17">
        <v>20</v>
      </c>
      <c r="K263" s="29" t="s">
        <v>168</v>
      </c>
      <c r="M263" s="19" t="s">
        <v>9</v>
      </c>
      <c r="N263" s="32">
        <v>2000</v>
      </c>
      <c r="O263" s="29" t="s">
        <v>167</v>
      </c>
    </row>
    <row r="264" spans="1:36" outlineLevel="1">
      <c r="D264" s="34"/>
      <c r="E264" s="34"/>
      <c r="F264" s="34"/>
      <c r="G264" s="34"/>
      <c r="H264" s="34"/>
      <c r="M264" s="19" t="s">
        <v>12</v>
      </c>
      <c r="N264" s="32">
        <v>5</v>
      </c>
      <c r="O264" s="29" t="s">
        <v>168</v>
      </c>
    </row>
    <row r="265" spans="1:36" ht="20.25" outlineLevel="1">
      <c r="A265" s="19" t="s">
        <v>9</v>
      </c>
      <c r="B265" s="17">
        <v>2000</v>
      </c>
      <c r="C265" s="29" t="s">
        <v>167</v>
      </c>
      <c r="D265" s="127" t="s">
        <v>176</v>
      </c>
      <c r="E265" s="127"/>
      <c r="F265" s="127"/>
      <c r="G265" s="127"/>
      <c r="H265" s="127"/>
      <c r="I265" s="19" t="s">
        <v>9</v>
      </c>
      <c r="J265" s="17">
        <v>2000</v>
      </c>
      <c r="K265" s="29" t="s">
        <v>167</v>
      </c>
      <c r="M265" s="19" t="s">
        <v>11</v>
      </c>
      <c r="N265" s="32"/>
      <c r="O265" s="29" t="s">
        <v>167</v>
      </c>
    </row>
    <row r="266" spans="1:36" ht="18.75" customHeight="1" outlineLevel="1">
      <c r="A266" s="19" t="s">
        <v>12</v>
      </c>
      <c r="B266" s="17">
        <v>5</v>
      </c>
      <c r="C266" s="29" t="s">
        <v>168</v>
      </c>
      <c r="D266" s="128" t="s">
        <v>177</v>
      </c>
      <c r="E266" s="128"/>
      <c r="F266" s="128"/>
      <c r="G266" s="128"/>
      <c r="H266" s="128"/>
      <c r="I266" s="19" t="s">
        <v>12</v>
      </c>
      <c r="J266" s="17">
        <v>5</v>
      </c>
      <c r="K266" s="29" t="s">
        <v>168</v>
      </c>
      <c r="M266" s="19" t="s">
        <v>10</v>
      </c>
      <c r="N266" s="32">
        <v>20</v>
      </c>
      <c r="O266" s="29" t="s">
        <v>168</v>
      </c>
    </row>
    <row r="267" spans="1:36" ht="18.75" customHeight="1" outlineLevel="1">
      <c r="A267" s="19" t="s">
        <v>11</v>
      </c>
      <c r="B267" s="17">
        <v>500</v>
      </c>
      <c r="C267" s="29" t="s">
        <v>167</v>
      </c>
      <c r="D267" s="128"/>
      <c r="E267" s="128"/>
      <c r="F267" s="128"/>
      <c r="G267" s="128"/>
      <c r="H267" s="128"/>
      <c r="I267" s="19" t="s">
        <v>11</v>
      </c>
      <c r="J267" s="17">
        <v>500</v>
      </c>
      <c r="K267" s="29" t="s">
        <v>167</v>
      </c>
    </row>
    <row r="268" spans="1:36" outlineLevel="1">
      <c r="A268" s="56" t="s">
        <v>10</v>
      </c>
      <c r="B268" s="32">
        <f>($B$265*$B$266)/$B$267</f>
        <v>20</v>
      </c>
      <c r="C268" s="57" t="s">
        <v>168</v>
      </c>
      <c r="I268" s="30" t="s">
        <v>10</v>
      </c>
      <c r="J268" s="20">
        <f>_xlfn.LET(
    _xlpm.c_1, $B$265,
    _xlpm.v_1, $B$266,
    _xlpm.c_2, $B$267,
    _xlpm.v_2, (_xlpm.c_1 * _xlpm.v_1) / _xlpm.c_2,
    _xlpm.return, _xlpm.v_2,
    _xlpm.return
)</f>
        <v>20</v>
      </c>
      <c r="K268" s="31" t="s">
        <v>168</v>
      </c>
      <c r="N268" s="32" cm="1">
        <f t="array" ref="N268">_xlfn.IFS(
(--(OR($N$263="",ISBLANK($N$263)))+
--(OR($N$264="",ISBLANK($N$264)))+
--(OR($N$265="",ISBLANK($N$265)))+
--(OR($N$266="",ISBLANK($N$266))))&lt;&gt;1,
"#UNKs!",
OR($N$263="",ISBLANK($N$263)),
($N$265*$N$266)/$N$264,
OR($N$264="",ISBLANK($N$264)),
($N$265*$N$266)/$N$263,
OR($N$265="",ISBLANK($N$265)),
($N$263*$N$264)/$N$266,
OR($N$266="",ISBLANK($N$266)),
($N$263*$N$264)/$N$265,
TRUE,"#OMITs!"
)</f>
        <v>500</v>
      </c>
    </row>
    <row r="269" spans="1:36" s="3" customFormat="1" ht="15"/>
    <row r="270" spans="1:36" ht="20.25">
      <c r="A270" s="12" t="s">
        <v>624</v>
      </c>
    </row>
    <row r="271" spans="1:36" outlineLevel="1">
      <c r="A271" s="74" t="s">
        <v>460</v>
      </c>
    </row>
    <row r="272" spans="1:36" s="3" customFormat="1" outlineLevel="2">
      <c r="A272" s="51" t="s">
        <v>461</v>
      </c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</row>
    <row r="273" spans="1:36" s="3" customFormat="1" outlineLevel="2">
      <c r="A273" s="51" t="s">
        <v>465</v>
      </c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</row>
    <row r="274" spans="1:36" s="3" customFormat="1" outlineLevel="2">
      <c r="A274" s="54" t="s">
        <v>463</v>
      </c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</row>
    <row r="275" spans="1:36" s="3" customFormat="1" outlineLevel="2">
      <c r="A275" s="54" t="s">
        <v>464</v>
      </c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</row>
    <row r="276" spans="1:36" s="3" customFormat="1" outlineLevel="2">
      <c r="A276" s="51" t="s">
        <v>468</v>
      </c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</row>
    <row r="277" spans="1:36" s="3" customFormat="1" outlineLevel="2">
      <c r="A277" s="54" t="s">
        <v>467</v>
      </c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</row>
    <row r="278" spans="1:36" s="3" customFormat="1" outlineLevel="2">
      <c r="A278" s="54" t="s">
        <v>466</v>
      </c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</row>
    <row r="279" spans="1:36" s="3" customFormat="1" outlineLevel="2">
      <c r="A279" s="54" t="s">
        <v>469</v>
      </c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</row>
    <row r="280" spans="1:36" s="3" customFormat="1" outlineLevel="2">
      <c r="A280" s="54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</row>
    <row r="281" spans="1:36" s="3" customFormat="1" outlineLevel="2">
      <c r="A281" s="76" t="str">
        <f>"What improvements can be made to the LET formulas in cells " &amp; ADDRESS(ROW(J294),COLUMN(J294),4) &amp; ":" &amp; ADDRESS(ROW(J303),COLUMN(J303),4) &amp; "?"</f>
        <v>What improvements can be made to the LET formulas in cells J294:J303?</v>
      </c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</row>
    <row r="282" spans="1:36" s="3" customFormat="1" outlineLevel="2">
      <c r="A282" s="76" t="s">
        <v>462</v>
      </c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</row>
    <row r="283" spans="1:36" s="3" customFormat="1" outlineLevel="2">
      <c r="A283" s="76" t="s">
        <v>470</v>
      </c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</row>
    <row r="284" spans="1:36" s="3" customFormat="1" outlineLevel="1">
      <c r="A284" s="7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</row>
    <row r="285" spans="1:36" s="3" customFormat="1" outlineLevel="1">
      <c r="A285" s="74" t="s">
        <v>607</v>
      </c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</row>
    <row r="286" spans="1:36" outlineLevel="2">
      <c r="C286" s="136" t="s">
        <v>408</v>
      </c>
      <c r="D286" s="136"/>
      <c r="E286" s="136"/>
      <c r="F286" s="136"/>
      <c r="G286" s="136"/>
      <c r="H286" s="136"/>
      <c r="I286" s="136"/>
    </row>
    <row r="287" spans="1:36" outlineLevel="2">
      <c r="B287" s="79" t="s">
        <v>365</v>
      </c>
      <c r="C287" s="72">
        <v>300</v>
      </c>
      <c r="D287" s="72">
        <v>133</v>
      </c>
      <c r="E287" s="72">
        <v>92</v>
      </c>
      <c r="F287" s="71">
        <v>75.5</v>
      </c>
      <c r="G287" s="70">
        <v>0.72499999999999998</v>
      </c>
      <c r="H287" s="71">
        <v>13.7</v>
      </c>
      <c r="I287" s="72">
        <v>75</v>
      </c>
    </row>
    <row r="288" spans="1:36" outlineLevel="2">
      <c r="B288" s="69"/>
      <c r="C288" s="69"/>
      <c r="D288" s="69"/>
      <c r="E288" s="69"/>
      <c r="F288" s="69"/>
      <c r="G288" s="69"/>
      <c r="H288" s="69"/>
      <c r="I288" s="69"/>
    </row>
    <row r="289" spans="2:36" outlineLevel="2">
      <c r="B289" s="69"/>
      <c r="C289" s="136" t="s">
        <v>407</v>
      </c>
      <c r="D289" s="136"/>
      <c r="E289" s="136"/>
      <c r="F289" s="136"/>
      <c r="G289" s="136"/>
      <c r="H289" s="136"/>
      <c r="I289" s="136"/>
      <c r="M289" s="73" t="s">
        <v>409</v>
      </c>
    </row>
    <row r="290" spans="2:36" outlineLevel="2">
      <c r="B290" s="79" t="s">
        <v>364</v>
      </c>
      <c r="C290" s="72">
        <v>50</v>
      </c>
      <c r="D290" s="72">
        <v>10</v>
      </c>
      <c r="E290" s="72">
        <v>7</v>
      </c>
      <c r="F290" s="71">
        <v>1.1000000000000001</v>
      </c>
      <c r="G290" s="70">
        <v>0.03</v>
      </c>
      <c r="H290" s="71">
        <v>0.4</v>
      </c>
      <c r="I290" s="72">
        <v>20</v>
      </c>
      <c r="M290" s="72">
        <v>1</v>
      </c>
    </row>
    <row r="291" spans="2:36" outlineLevel="2">
      <c r="B291" s="79" t="s">
        <v>50</v>
      </c>
      <c r="C291" s="72">
        <v>100</v>
      </c>
      <c r="D291" s="72">
        <v>20</v>
      </c>
      <c r="E291" s="72">
        <v>11</v>
      </c>
      <c r="F291" s="71">
        <v>2.1</v>
      </c>
      <c r="G291" s="70">
        <v>0.06</v>
      </c>
      <c r="H291" s="71">
        <v>0.8</v>
      </c>
      <c r="I291" s="72">
        <v>35</v>
      </c>
      <c r="M291" s="72">
        <v>3</v>
      </c>
    </row>
    <row r="292" spans="2:36" outlineLevel="2">
      <c r="C292" s="69"/>
      <c r="D292" s="69"/>
      <c r="E292" s="69"/>
      <c r="F292" s="69"/>
      <c r="G292" s="69"/>
      <c r="H292" s="69"/>
      <c r="I292" s="69"/>
    </row>
    <row r="293" spans="2:36" ht="20.25" outlineLevel="2">
      <c r="B293" s="60" t="s">
        <v>357</v>
      </c>
      <c r="C293" s="60" t="s">
        <v>358</v>
      </c>
      <c r="D293" s="60" t="s">
        <v>359</v>
      </c>
      <c r="E293" s="60" t="s">
        <v>360</v>
      </c>
      <c r="F293" s="60" t="s">
        <v>361</v>
      </c>
      <c r="G293" s="60" t="s">
        <v>362</v>
      </c>
      <c r="H293" s="60" t="s">
        <v>405</v>
      </c>
      <c r="I293" s="60" t="s">
        <v>363</v>
      </c>
      <c r="J293" s="75" t="s">
        <v>366</v>
      </c>
      <c r="K293" s="75" t="s">
        <v>391</v>
      </c>
      <c r="M293" s="78" t="s">
        <v>402</v>
      </c>
    </row>
    <row r="294" spans="2:36" outlineLevel="2">
      <c r="B294" s="16">
        <v>1</v>
      </c>
      <c r="C294" s="72">
        <v>300</v>
      </c>
      <c r="D294" s="72"/>
      <c r="E294" s="72">
        <v>91.637370333648832</v>
      </c>
      <c r="F294" s="72">
        <v>73.602300538765675</v>
      </c>
      <c r="G294" s="70">
        <v>0.73072805928399798</v>
      </c>
      <c r="H294" s="72"/>
      <c r="I294" s="72">
        <v>77.457247310105274</v>
      </c>
      <c r="J294" s="20" t="str">
        <f>_xlfn.LET(
    _xlpm.FN, IF(ABS(C294-$C$287) &gt;= $C$291, 3, IF(ABS(C294-$C$287) &gt;= $C$290, 1, 0)),
    _xlpm.Cd, IF(ABS(D294-$D$287) &gt;= $D$291, 3, IF(ABS(D294-$D$287) &gt;= $D$290, 1, 0)),
    _xlpm.HVK, IF(ABS(E294-$E$287) &gt;= $E$291, 3, IF(ABS(E294-$E$287) &gt;= $E$290, 1, 0)),
    _xlpm.Mill, IF(ABS(F294-$F$287) &gt;= $F$291, 3, IF(ABS(F294-$F$287) &gt;= $F$290, 1, 0)),
    _xlpm.Ash, IF(ABS(G294-$G$287) &gt;= $G$291, 3, IF(ABS(G294-$G$287) &gt;= $G$290, 1, 0)),
    _xlpm.Pro, IF(ABS(H294-$H$287) &gt;= $H$291, 3, IF(ABS(H294-$H$287) &gt;= $H$290, 1, 0)),
    _xlpm.GI, IF(ABS(I294-$I$287) &gt;= $I$291, 3, IF(ABS(I294-$I$287) &gt;= $I$290, 1, 0)),
    _xlpm.demerit, SUM(_xlpm.FN, _xlpm.Cd, _xlpm.HVK, _xlpm.Mill, _xlpm.Ash, _xlpm.Pro, _xlpm.GI),
    IF(
        OR(C294="", D294="", E294="", F294="", G294="", H294="", I294=""),
        "",
        IF(_xlpm.demerit &lt; 3, "Pass", "Discuss")
    )
)</f>
        <v/>
      </c>
      <c r="K294" s="20" t="str" cm="1">
        <f t="array" ref="K294">_xlfn.LET(
    _xlpm.s_flag, 1,
    _xlpm.s_poor, 3,
    _xlpm.max_demrits, 3,
    _xlpm.get_score, _xlfn.LAMBDA(_xlpm.val,_xlpm.exp,_xlpm.flag,_xlpm.poor,
        _xlfn.LET(
            _xlpm.abs_diff, ABS(_xlpm.val - _xlpm.exp),
            IF(_xlpm.abs_diff &gt;= _xlpm.poor, _xlpm.s_poor, IF(_xlpm.abs_diff &gt;= _xlpm.flag, _xlpm.s_flag, 0))
        )
    ),
    _xlpm.FN, _xlpm.get_score(C294, $C$287, $C$290, $C$291),
    _xlpm.Cd, _xlpm.get_score(D294, $D$287, $D$290, $D$291),
    _xlpm.HVK, _xlpm.get_score(E294, $E$287, $E$290, $E$291),
    _xlpm.Mill, _xlpm.get_score(F294, $F$287, $F$290, $F$291),
    _xlpm.Ash, _xlpm.get_score(G294, $G$287, $G$290, $G$291),
    _xlpm.Pro, _xlpm.get_score(H294, $H$287, $H$290, $H$291),
    _xlpm.GI, _xlpm.get_score(I294, $I$287, $I$290, $I$291),
    _xlpm.demerit, SUM(_xlpm.FN, _xlpm.Cd, _xlpm.HVK, _xlpm.Mill, _xlpm.Ash, _xlpm.Pro, _xlpm.GI),
    _xlpm.is_blk, OR(C294="", D294="", E294="", F294="", G294="", H294="", I294=""),
    _xlpm.msg, IF(_xlpm.demerit &lt; _xlpm.max_demrits, "Pass", "Discuss"),
    _xlpm.return, IF(_xlpm.is_blk, "", _xlpm.msg),
    _xlpm.return
)</f>
        <v/>
      </c>
      <c r="M294" s="35" t="str" cm="1">
        <f t="array" ref="M294:M303">MERIT_ASSESSMENT(C294:I303,C287:I287,C293:I293,C290:I291,M290:M291,M291)</f>
        <v>[1] BLK: Cd, Pro</v>
      </c>
      <c r="N294" s="69"/>
      <c r="O294" s="69"/>
      <c r="P294" s="69"/>
      <c r="Q294" s="69"/>
      <c r="R294" s="69"/>
    </row>
    <row r="295" spans="2:36" outlineLevel="2">
      <c r="B295" s="16">
        <v>2</v>
      </c>
      <c r="C295" s="72">
        <v>252.47478343469157</v>
      </c>
      <c r="D295" s="72">
        <v>151.67218293889272</v>
      </c>
      <c r="E295" s="72">
        <v>88.902798516441791</v>
      </c>
      <c r="F295" s="71">
        <v>75.767237563058785</v>
      </c>
      <c r="G295" s="70">
        <v>0.71669489687928178</v>
      </c>
      <c r="H295" s="71">
        <v>13.94533886238805</v>
      </c>
      <c r="I295" s="72">
        <v>65.132971042994271</v>
      </c>
      <c r="J295" s="20" t="str">
        <f t="shared" ref="J295:J303" si="0">_xlfn.LET(
    _xlpm.FN, IF(ABS(C295-$C$287) &gt;= $C$291, 3, IF(ABS(C295-$C$287) &gt;= $C$290, 1, 0)),
    _xlpm.Cd, IF(ABS(D295-$D$287) &gt;= $D$291, 3, IF(ABS(D295-$D$287) &gt;= $D$290, 1, 0)),
    _xlpm.HVK, IF(ABS(E295-$E$287) &gt;= $E$291, 3, IF(ABS(E295-$E$287) &gt;= $E$290, 1, 0)),
    _xlpm.Mill, IF(ABS(F295-$F$287) &gt;= $F$291, 3, IF(ABS(F295-$F$287) &gt;= $F$290, 1, 0)),
    _xlpm.Ash, IF(ABS(G295-$G$287) &gt;= $G$291, 3, IF(ABS(G295-$G$287) &gt;= $G$290, 1, 0)),
    _xlpm.Pro, IF(ABS(H295-$H$287) &gt;= $H$291, 3, IF(ABS(H295-$H$287) &gt;= $H$290, 1, 0)),
    _xlpm.GI, IF(ABS(I295-$I$287) &gt;= $I$291, 3, IF(ABS(I295-$I$287) &gt;= $I$290, 1, 0)),
    _xlpm.demerit, SUM(_xlpm.FN, _xlpm.Cd, _xlpm.HVK, _xlpm.Mill, _xlpm.Ash, _xlpm.Pro, _xlpm.GI),
    _xlpm.is_blk, OR(C295="", D295="", E295="", F295="", G295="", H295="", I295=""),
    _xlpm.return, IF(_xlpm.is_blk, "", IF(_xlpm.demerit &lt; 3, "Pass", "Discuss")),
    _xlpm.return
)</f>
        <v>Pass</v>
      </c>
      <c r="K295" s="20" t="str" cm="1">
        <f t="array" ref="K295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_xlpm.get_score(C295, $C$287, $C$290, $C$291),
    _xlpm.Cd, _xlpm.get_score(D295, $D$287, $D$290, $D$291),
    _xlpm.HVK, _xlpm.get_score(E295, $E$287, $E$290, $E$291),
    _xlpm.Mill, _xlpm.get_score(F295, $F$287, $F$290, $F$291),
    _xlpm.Ash, _xlpm.get_score(G295, $G$287, $G$290, $G$291),
    _xlpm.Pro, _xlpm.get_score(H295, $H$287, $H$290, $H$291),
    _xlpm.GI, _xlpm.get_score(I295, $I$287, $I$290, $I$291),
    _xlpm.demerit, SUM(_xlpm.FN, _xlpm.Cd, _xlpm.HVK, _xlpm.Mill, _xlpm.Ash, _xlpm.Pro, _xlpm.GI),
    _xlpm.is_blk, OR(C295="", D295="", E295="", F295="", G295="", H295="", I295=""),
    _xlpm.return, IF(
        _xlpm.is_blk,
        "",
        IF(_xlpm.demerit &lt; _xlpm.max_demrits, "Pass", "Discuss")
    ),
    _xlpm.return
)</f>
        <v>Pass</v>
      </c>
      <c r="M295" s="72" t="str">
        <v>Pass</v>
      </c>
      <c r="N295" s="69"/>
      <c r="O295" s="69"/>
      <c r="P295" s="69"/>
      <c r="Q295" s="69"/>
      <c r="R295" s="69"/>
    </row>
    <row r="296" spans="2:36" outlineLevel="2">
      <c r="B296" s="16">
        <v>3</v>
      </c>
      <c r="C296" s="72">
        <v>213.46422899626384</v>
      </c>
      <c r="D296" s="72">
        <v>125.59439746584815</v>
      </c>
      <c r="E296" s="72">
        <v>98.482591058522615</v>
      </c>
      <c r="F296" s="71">
        <v>73.581147959717129</v>
      </c>
      <c r="G296" s="70">
        <v>0.78072805928399802</v>
      </c>
      <c r="H296" s="71">
        <v>14.316034904126106</v>
      </c>
      <c r="I296" s="72">
        <v>82.264297765365811</v>
      </c>
      <c r="J296" s="20" t="str">
        <f t="shared" si="0"/>
        <v>Discuss</v>
      </c>
      <c r="K296" s="20" t="str" cm="1">
        <f t="array" ref="K296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_xlpm.get_score(C296, $C$287, $C$290, $C$291),
    _xlpm.Cd, _xlpm.get_score(D296, $D$287, $D$290, $D$291),
    _xlpm.HVK, _xlpm.get_score(E296, $E$287, $E$290, $E$291),
    _xlpm.Mill, _xlpm.get_score(F296, $F$287, $F$290, $F$291),
    _xlpm.Ash, _xlpm.get_score(G296, $G$287, $G$290, $G$291),
    _xlpm.Pro, _xlpm.get_score(H296, $H$287, $H$290, $H$291),
    _xlpm.GI, _xlpm.get_score(I296, $I$287, $I$290, $I$291),
    _xlpm.demerit, SUM(_xlpm.FN, _xlpm.Cd, _xlpm.HVK, _xlpm.Mill, _xlpm.Ash, _xlpm.Pro, _xlpm.GI),
    _xlpm.is_blk, OR(C296="", D296="", E296="", F296="", G296="", H296="", I296=""),
    _xlpm.return, IF(
        _xlpm.is_blk,
        "",
        IF(_xlpm.demerit &lt; _xlpm.max_demrits, "Pass", "Discuss")
    ),
    _xlpm.return
)</f>
        <v>Discuss</v>
      </c>
      <c r="M296" s="72" t="str">
        <v>Discuss</v>
      </c>
      <c r="N296" s="69"/>
      <c r="O296" s="69"/>
      <c r="P296" s="69"/>
      <c r="Q296" s="69"/>
      <c r="R296" s="69"/>
    </row>
    <row r="297" spans="2:36" outlineLevel="2">
      <c r="B297" s="16">
        <v>4</v>
      </c>
      <c r="C297" s="72">
        <v>341.20761126744736</v>
      </c>
      <c r="D297" s="72">
        <v>133.2086923019134</v>
      </c>
      <c r="E297" s="72">
        <v>86.693425350941794</v>
      </c>
      <c r="F297" s="71"/>
      <c r="G297" s="70">
        <v>0.72795989823961282</v>
      </c>
      <c r="H297" s="71">
        <v>13.952207409018637</v>
      </c>
      <c r="I297" s="72">
        <v>99.974401537749728</v>
      </c>
      <c r="J297" s="20" t="str">
        <f t="shared" si="0"/>
        <v/>
      </c>
      <c r="K297" s="20" t="str" cm="1">
        <f t="array" ref="K297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_xlpm.get_score(C297, $C$287, $C$290, $C$291),
    _xlpm.Cd, _xlpm.get_score(D297, $D$287, $D$290, $D$291),
    _xlpm.HVK, _xlpm.get_score(E297, $E$287, $E$290, $E$291),
    _xlpm.Mill, _xlpm.get_score(F297, $F$287, $F$290, $F$291),
    _xlpm.Ash, _xlpm.get_score(G297, $G$287, $G$290, $G$291),
    _xlpm.Pro, _xlpm.get_score(H297, $H$287, $H$290, $H$291),
    _xlpm.GI, _xlpm.get_score(I297, $I$287, $I$290, $I$291),
    _xlpm.demerit, SUM(_xlpm.FN, _xlpm.Cd, _xlpm.HVK, _xlpm.Mill, _xlpm.Ash, _xlpm.Pro, _xlpm.GI),
    _xlpm.is_blk, OR(C297="", D297="", E297="", F297="", G297="", H297="", I297=""),
    _xlpm.return, IF(
        _xlpm.is_blk,
        "",
        IF(_xlpm.demerit &lt; _xlpm.max_demrits, "Pass", "Discuss")
    ),
    _xlpm.return
)</f>
        <v/>
      </c>
      <c r="M297" s="72" t="str">
        <v>[1] BLK: Mill</v>
      </c>
      <c r="N297" s="69"/>
      <c r="O297" s="69"/>
      <c r="P297" s="69"/>
      <c r="Q297" s="69"/>
      <c r="R297" s="69"/>
    </row>
    <row r="298" spans="2:36" outlineLevel="2">
      <c r="B298" s="16">
        <v>5</v>
      </c>
      <c r="C298" s="72">
        <v>351.32841376593097</v>
      </c>
      <c r="D298" s="72">
        <v>131.53836892284707</v>
      </c>
      <c r="E298" s="72">
        <v>102.09997748388687</v>
      </c>
      <c r="F298" s="71">
        <v>75.853527801233142</v>
      </c>
      <c r="G298" s="70">
        <v>0.70615194820177007</v>
      </c>
      <c r="H298" s="71">
        <v>13.765138605002608</v>
      </c>
      <c r="I298" s="72">
        <v>51.652073730114722</v>
      </c>
      <c r="J298" s="20" t="str">
        <f t="shared" si="0"/>
        <v>Discuss</v>
      </c>
      <c r="K298" s="20" t="str" cm="1">
        <f t="array" ref="K298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_xlpm.get_score(C298, $C$287, $C$290, $C$291),
    _xlpm.Cd, _xlpm.get_score(D298, $D$287, $D$290, $D$291),
    _xlpm.HVK, _xlpm.get_score(E298, $E$287, $E$290, $E$291),
    _xlpm.Mill, _xlpm.get_score(F298, $F$287, $F$290, $F$291),
    _xlpm.Ash, _xlpm.get_score(G298, $G$287, $G$290, $G$291),
    _xlpm.Pro, _xlpm.get_score(H298, $H$287, $H$290, $H$291),
    _xlpm.GI, _xlpm.get_score(I298, $I$287, $I$290, $I$291),
    _xlpm.demerit, SUM(_xlpm.FN, _xlpm.Cd, _xlpm.HVK, _xlpm.Mill, _xlpm.Ash, _xlpm.Pro, _xlpm.GI),
    _xlpm.is_blk, OR(C298="", D298="", E298="", F298="", G298="", H298="", I298=""),
    _xlpm.return, IF(
        _xlpm.is_blk,
        "",
        IF(_xlpm.demerit &lt; _xlpm.max_demrits, "Pass", "Discuss")
    ),
    _xlpm.return
)</f>
        <v>Discuss</v>
      </c>
      <c r="M298" s="72" t="str">
        <v>Discuss</v>
      </c>
      <c r="N298" s="69"/>
      <c r="O298" s="69"/>
      <c r="P298" s="69"/>
      <c r="Q298" s="69"/>
      <c r="R298" s="69"/>
    </row>
    <row r="299" spans="2:36" outlineLevel="2">
      <c r="B299" s="16">
        <v>6</v>
      </c>
      <c r="C299" s="72">
        <v>245.68333218507468</v>
      </c>
      <c r="D299" s="72">
        <v>118.37164773229574</v>
      </c>
      <c r="E299" s="72">
        <v>101.25252425241891</v>
      </c>
      <c r="F299" s="71">
        <v>75.695207626663191</v>
      </c>
      <c r="G299" s="70">
        <v>0.68641903562536288</v>
      </c>
      <c r="H299" s="71">
        <v>13.416568720417708</v>
      </c>
      <c r="I299" s="72">
        <v>61.312827715505193</v>
      </c>
      <c r="J299" s="20" t="str">
        <f t="shared" si="0"/>
        <v>Discuss</v>
      </c>
      <c r="K299" s="20" t="str" cm="1">
        <f t="array" ref="K299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_xlpm.get_score(C299, $C$287, $C$290, $C$291),
    _xlpm.Cd, _xlpm.get_score(D299, $D$287, $D$290, $D$291),
    _xlpm.HVK, _xlpm.get_score(E299, $E$287, $E$290, $E$291),
    _xlpm.Mill, _xlpm.get_score(F299, $F$287, $F$290, $F$291),
    _xlpm.Ash, _xlpm.get_score(G299, $G$287, $G$290, $G$291),
    _xlpm.Pro, _xlpm.get_score(H299, $H$287, $H$290, $H$291),
    _xlpm.GI, _xlpm.get_score(I299, $I$287, $I$290, $I$291),
    _xlpm.demerit, SUM(_xlpm.FN, _xlpm.Cd, _xlpm.HVK, _xlpm.Mill, _xlpm.Ash, _xlpm.Pro, _xlpm.GI),
    _xlpm.is_blk, OR(C299="", D299="", E299="", F299="", G299="", H299="", I299=""),
    _xlpm.return, IF(
        _xlpm.is_blk,
        "",
        IF(_xlpm.demerit &lt; _xlpm.max_demrits, "Pass", "Discuss")
    ),
    _xlpm.return
)</f>
        <v>Discuss</v>
      </c>
      <c r="M299" s="72" t="str">
        <v>Discuss</v>
      </c>
      <c r="N299" s="69"/>
      <c r="O299" s="69"/>
      <c r="P299" s="69"/>
      <c r="Q299" s="69"/>
      <c r="R299" s="69"/>
    </row>
    <row r="300" spans="2:36" outlineLevel="2">
      <c r="B300" s="16">
        <v>7</v>
      </c>
      <c r="C300" s="72">
        <v>251.01321729027342</v>
      </c>
      <c r="D300" s="72">
        <v>150.2945365740716</v>
      </c>
      <c r="E300" s="72">
        <v>86.888279992290435</v>
      </c>
      <c r="F300" s="71">
        <v>75.550837282399684</v>
      </c>
      <c r="G300" s="70">
        <v>0.72664455529797767</v>
      </c>
      <c r="H300" s="71">
        <v>13.124143350752684</v>
      </c>
      <c r="I300" s="72">
        <v>64.354046079966366</v>
      </c>
      <c r="J300" s="20" t="str">
        <f t="shared" si="0"/>
        <v>Pass</v>
      </c>
      <c r="K300" s="20" t="str" cm="1">
        <f t="array" ref="K300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_xlpm.get_score(C300, $C$287, $C$290, $C$291),
    _xlpm.Cd, _xlpm.get_score(D300, $D$287, $D$290, $D$291),
    _xlpm.HVK, _xlpm.get_score(E300, $E$287, $E$290, $E$291),
    _xlpm.Mill, _xlpm.get_score(F300, $F$287, $F$290, $F$291),
    _xlpm.Ash, _xlpm.get_score(G300, $G$287, $G$290, $G$291),
    _xlpm.Pro, _xlpm.get_score(H300, $H$287, $H$290, $H$291),
    _xlpm.GI, _xlpm.get_score(I300, $I$287, $I$290, $I$291),
    _xlpm.demerit, SUM(_xlpm.FN, _xlpm.Cd, _xlpm.HVK, _xlpm.Mill, _xlpm.Ash, _xlpm.Pro, _xlpm.GI),
    _xlpm.is_blk, OR(C300="", D300="", E300="", F300="", G300="", H300="", I300=""),
    _xlpm.return, IF(
        _xlpm.is_blk,
        "",
        IF(_xlpm.demerit &lt; _xlpm.max_demrits, "Pass", "Discuss")
    ),
    _xlpm.return
)</f>
        <v>Pass</v>
      </c>
      <c r="M300" s="72" t="str">
        <v>Pass</v>
      </c>
      <c r="N300" s="69"/>
      <c r="O300" s="69"/>
      <c r="P300" s="69"/>
      <c r="Q300" s="69"/>
      <c r="R300" s="69"/>
    </row>
    <row r="301" spans="2:36" outlineLevel="2">
      <c r="B301" s="16">
        <v>8</v>
      </c>
      <c r="C301" s="72">
        <v>233.21189606191479</v>
      </c>
      <c r="D301" s="72">
        <v>144.55325284966796</v>
      </c>
      <c r="E301" s="72">
        <v>85.540957115263396</v>
      </c>
      <c r="F301" s="71">
        <v>73.80414357283199</v>
      </c>
      <c r="G301" s="70">
        <v>0.7631998053372574</v>
      </c>
      <c r="H301" s="71">
        <v>13.581195590802825</v>
      </c>
      <c r="I301" s="72">
        <v>108.17519966791183</v>
      </c>
      <c r="J301" s="20" t="str">
        <f t="shared" si="0"/>
        <v>Discuss</v>
      </c>
      <c r="K301" s="20" t="str" cm="1">
        <f t="array" ref="K301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_xlpm.get_score(C301, $C$287, $C$290, $C$291),
    _xlpm.Cd, _xlpm.get_score(D301, $D$287, $D$290, $D$291),
    _xlpm.HVK, _xlpm.get_score(E301, $E$287, $E$290, $E$291),
    _xlpm.Mill, _xlpm.get_score(F301, $F$287, $F$290, $F$291),
    _xlpm.Ash, _xlpm.get_score(G301, $G$287, $G$290, $G$291),
    _xlpm.Pro, _xlpm.get_score(H301, $H$287, $H$290, $H$291),
    _xlpm.GI, _xlpm.get_score(I301, $I$287, $I$290, $I$291),
    _xlpm.demerit, SUM(_xlpm.FN, _xlpm.Cd, _xlpm.HVK, _xlpm.Mill, _xlpm.Ash, _xlpm.Pro, _xlpm.GI),
    _xlpm.is_blk, OR(C301="", D301="", E301="", F301="", G301="", H301="", I301=""),
    _xlpm.return, IF(
        _xlpm.is_blk,
        "",
        IF(_xlpm.demerit &lt; _xlpm.max_demrits, "Pass", "Discuss")
    ),
    _xlpm.return
)</f>
        <v>Discuss</v>
      </c>
      <c r="M301" s="72" t="str">
        <v>Discuss</v>
      </c>
      <c r="N301" s="69"/>
      <c r="O301" s="69"/>
      <c r="P301" s="69"/>
      <c r="Q301" s="69"/>
      <c r="R301" s="69"/>
    </row>
    <row r="302" spans="2:36" outlineLevel="2">
      <c r="B302" s="16">
        <v>9</v>
      </c>
      <c r="C302" s="72">
        <v>311.65639883181854</v>
      </c>
      <c r="D302" s="72">
        <v>148.48438905046515</v>
      </c>
      <c r="E302" s="72">
        <v>88.020320592807991</v>
      </c>
      <c r="F302" s="71">
        <v>76.936436650059505</v>
      </c>
      <c r="G302" s="70">
        <v>0.6835003300197785</v>
      </c>
      <c r="H302" s="71">
        <v>14.215069148517996</v>
      </c>
      <c r="I302" s="72">
        <v>68.209767155999259</v>
      </c>
      <c r="J302" s="20" t="str">
        <f t="shared" si="0"/>
        <v>Discuss</v>
      </c>
      <c r="K302" s="20" t="str" cm="1">
        <f t="array" ref="K302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_xlpm.get_score(C302, $C$287, $C$290, $C$291),
    _xlpm.Cd, _xlpm.get_score(D302, $D$287, $D$290, $D$291),
    _xlpm.HVK, _xlpm.get_score(E302, $E$287, $E$290, $E$291),
    _xlpm.Mill, _xlpm.get_score(F302, $F$287, $F$290, $F$291),
    _xlpm.Ash, _xlpm.get_score(G302, $G$287, $G$290, $G$291),
    _xlpm.Pro, _xlpm.get_score(H302, $H$287, $H$290, $H$291),
    _xlpm.GI, _xlpm.get_score(I302, $I$287, $I$290, $I$291),
    _xlpm.demerit, SUM(_xlpm.FN, _xlpm.Cd, _xlpm.HVK, _xlpm.Mill, _xlpm.Ash, _xlpm.Pro, _xlpm.GI),
    _xlpm.is_blk, OR(C302="", D302="", E302="", F302="", G302="", H302="", I302=""),
    _xlpm.return, IF(
        _xlpm.is_blk,
        "",
        IF(_xlpm.demerit &lt; _xlpm.max_demrits, "Pass", "Discuss")
    ),
    _xlpm.return
)</f>
        <v>Discuss</v>
      </c>
      <c r="M302" s="72" t="str">
        <v>Discuss</v>
      </c>
      <c r="N302" s="69"/>
      <c r="O302" s="69"/>
      <c r="P302" s="69"/>
      <c r="Q302" s="69"/>
      <c r="R302" s="69"/>
    </row>
    <row r="303" spans="2:36" outlineLevel="2">
      <c r="B303" s="16">
        <v>10</v>
      </c>
      <c r="C303" s="72">
        <v>208.63001752298692</v>
      </c>
      <c r="D303" s="72">
        <v>148.2169590328684</v>
      </c>
      <c r="E303" s="72">
        <v>92.064754354087569</v>
      </c>
      <c r="F303" s="71">
        <v>76.005595721051407</v>
      </c>
      <c r="G303" s="70">
        <v>0.73769156211905695</v>
      </c>
      <c r="H303" s="71">
        <v>13.714044379541743</v>
      </c>
      <c r="I303" s="72">
        <v>81.347353850303946</v>
      </c>
      <c r="J303" s="20" t="str">
        <f t="shared" si="0"/>
        <v>Pass</v>
      </c>
      <c r="K303" s="20" t="str" cm="1">
        <f t="array" ref="K303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_xlpm.get_score(C303, $C$287, $C$290, $C$291),
    _xlpm.Cd, _xlpm.get_score(D303, $D$287, $D$290, $D$291),
    _xlpm.HVK, _xlpm.get_score(E303, $E$287, $E$290, $E$291),
    _xlpm.Mill, _xlpm.get_score(F303, $F$287, $F$290, $F$291),
    _xlpm.Ash, _xlpm.get_score(G303, $G$287, $G$290, $G$291),
    _xlpm.Pro, _xlpm.get_score(H303, $H$287, $H$290, $H$291),
    _xlpm.GI, _xlpm.get_score(I303, $I$287, $I$290, $I$291),
    _xlpm.demerit, SUM(_xlpm.FN, _xlpm.Cd, _xlpm.HVK, _xlpm.Mill, _xlpm.Ash, _xlpm.Pro, _xlpm.GI),
    _xlpm.is_blk, OR(C303="", D303="", E303="", F303="", G303="", H303="", I303=""),
    _xlpm.return, IF(
        _xlpm.is_blk,
        "",
        IF(_xlpm.demerit &lt; _xlpm.max_demrits, "Pass", "Discuss")
    ),
    _xlpm.return
)</f>
        <v>Pass</v>
      </c>
      <c r="M303" s="72" t="str">
        <v>Pass</v>
      </c>
      <c r="N303" s="69"/>
      <c r="O303" s="69"/>
      <c r="P303" s="69"/>
      <c r="Q303" s="69"/>
      <c r="R303" s="69"/>
    </row>
    <row r="304" spans="2:36" s="3" customFormat="1" outlineLevel="1"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</row>
    <row r="305" spans="1:36" outlineLevel="1">
      <c r="A305" s="77" t="s">
        <v>623</v>
      </c>
    </row>
    <row r="306" spans="1:36" s="3" customFormat="1" hidden="1" outlineLevel="2">
      <c r="A306" s="118" t="s">
        <v>367</v>
      </c>
      <c r="B306" s="118"/>
      <c r="C306" s="118"/>
      <c r="D306" s="118"/>
      <c r="E306" s="118"/>
      <c r="F306" s="118"/>
      <c r="G306" s="118"/>
      <c r="H306" s="118"/>
      <c r="I306" s="118"/>
      <c r="J306" s="118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</row>
    <row r="307" spans="1:36" s="3" customFormat="1" hidden="1" outlineLevel="2">
      <c r="A307" s="118" t="s">
        <v>368</v>
      </c>
      <c r="B307" s="118"/>
      <c r="C307" s="118"/>
      <c r="D307" s="118"/>
      <c r="E307" s="118"/>
      <c r="F307" s="118"/>
      <c r="G307" s="118"/>
      <c r="H307" s="118"/>
      <c r="I307" s="118"/>
      <c r="J307" s="118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</row>
    <row r="308" spans="1:36" s="3" customFormat="1" hidden="1" outlineLevel="2">
      <c r="A308" s="118" t="s">
        <v>369</v>
      </c>
      <c r="B308" s="118"/>
      <c r="C308" s="118"/>
      <c r="D308" s="118"/>
      <c r="E308" s="118"/>
      <c r="F308" s="118"/>
      <c r="G308" s="118"/>
      <c r="H308" s="118"/>
      <c r="I308" s="118"/>
      <c r="J308" s="118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</row>
    <row r="309" spans="1:36" s="3" customFormat="1" hidden="1" outlineLevel="2">
      <c r="A309" s="118" t="s">
        <v>370</v>
      </c>
      <c r="B309" s="118"/>
      <c r="C309" s="118"/>
      <c r="D309" s="118"/>
      <c r="E309" s="118"/>
      <c r="F309" s="118"/>
      <c r="G309" s="118"/>
      <c r="H309" s="118"/>
      <c r="I309" s="118"/>
      <c r="J309" s="118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</row>
    <row r="310" spans="1:36" s="3" customFormat="1" hidden="1" outlineLevel="2">
      <c r="A310" s="118" t="s">
        <v>371</v>
      </c>
      <c r="B310" s="118"/>
      <c r="C310" s="118"/>
      <c r="D310" s="118"/>
      <c r="E310" s="118"/>
      <c r="F310" s="118"/>
      <c r="G310" s="118"/>
      <c r="H310" s="118"/>
      <c r="I310" s="118"/>
      <c r="J310" s="118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</row>
    <row r="311" spans="1:36" s="3" customFormat="1" hidden="1" outlineLevel="2">
      <c r="A311" s="118" t="s">
        <v>372</v>
      </c>
      <c r="B311" s="118"/>
      <c r="C311" s="118"/>
      <c r="D311" s="118"/>
      <c r="E311" s="118"/>
      <c r="F311" s="118"/>
      <c r="G311" s="118"/>
      <c r="H311" s="118"/>
      <c r="I311" s="118"/>
      <c r="J311" s="118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</row>
    <row r="312" spans="1:36" s="3" customFormat="1" hidden="1" outlineLevel="2">
      <c r="A312" s="118" t="s">
        <v>373</v>
      </c>
      <c r="B312" s="118"/>
      <c r="C312" s="118"/>
      <c r="D312" s="118"/>
      <c r="E312" s="118"/>
      <c r="F312" s="118"/>
      <c r="G312" s="118"/>
      <c r="H312" s="118"/>
      <c r="I312" s="118"/>
      <c r="J312" s="118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</row>
    <row r="313" spans="1:36" s="3" customFormat="1" hidden="1" outlineLevel="2">
      <c r="A313" s="118" t="s">
        <v>374</v>
      </c>
      <c r="B313" s="118"/>
      <c r="C313" s="118"/>
      <c r="D313" s="118"/>
      <c r="E313" s="118"/>
      <c r="F313" s="118"/>
      <c r="G313" s="118"/>
      <c r="H313" s="118"/>
      <c r="I313" s="118"/>
      <c r="J313" s="118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</row>
    <row r="314" spans="1:36" s="3" customFormat="1" hidden="1" outlineLevel="2">
      <c r="A314" s="118" t="s">
        <v>375</v>
      </c>
      <c r="B314" s="118"/>
      <c r="C314" s="118"/>
      <c r="D314" s="118"/>
      <c r="E314" s="118"/>
      <c r="F314" s="118"/>
      <c r="G314" s="118"/>
      <c r="H314" s="118"/>
      <c r="I314" s="118"/>
      <c r="J314" s="118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</row>
    <row r="315" spans="1:36" s="3" customFormat="1" hidden="1" outlineLevel="2">
      <c r="A315" s="118" t="s">
        <v>376</v>
      </c>
      <c r="B315" s="118"/>
      <c r="C315" s="118"/>
      <c r="D315" s="118"/>
      <c r="E315" s="118"/>
      <c r="F315" s="118"/>
      <c r="G315" s="118"/>
      <c r="H315" s="118"/>
      <c r="I315" s="118"/>
      <c r="J315" s="118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</row>
    <row r="316" spans="1:36" s="3" customFormat="1" hidden="1" outlineLevel="2">
      <c r="A316" s="118" t="s">
        <v>377</v>
      </c>
      <c r="B316" s="118"/>
      <c r="C316" s="118"/>
      <c r="D316" s="118"/>
      <c r="E316" s="118"/>
      <c r="F316" s="118"/>
      <c r="G316" s="118"/>
      <c r="H316" s="118"/>
      <c r="I316" s="118"/>
      <c r="J316" s="118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</row>
    <row r="317" spans="1:36" s="3" customFormat="1" hidden="1" outlineLevel="2">
      <c r="A317" s="118" t="s">
        <v>378</v>
      </c>
      <c r="B317" s="118"/>
      <c r="C317" s="118"/>
      <c r="D317" s="118"/>
      <c r="E317" s="118"/>
      <c r="F317" s="118"/>
      <c r="G317" s="118"/>
      <c r="H317" s="118"/>
      <c r="I317" s="118"/>
      <c r="J317" s="118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</row>
    <row r="318" spans="1:36" s="3" customFormat="1" hidden="1" outlineLevel="2">
      <c r="A318" s="118" t="s">
        <v>379</v>
      </c>
      <c r="B318" s="118"/>
      <c r="C318" s="118"/>
      <c r="D318" s="118"/>
      <c r="E318" s="118"/>
      <c r="F318" s="118"/>
      <c r="G318" s="118"/>
      <c r="H318" s="118"/>
      <c r="I318" s="118"/>
      <c r="J318" s="118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</row>
    <row r="319" spans="1:36" s="3" customFormat="1" hidden="1" outlineLevel="2">
      <c r="A319" s="118" t="s">
        <v>380</v>
      </c>
      <c r="B319" s="118"/>
      <c r="C319" s="118"/>
      <c r="D319" s="118"/>
      <c r="E319" s="118"/>
      <c r="F319" s="118"/>
      <c r="G319" s="118"/>
      <c r="H319" s="118"/>
      <c r="I319" s="118"/>
      <c r="J319" s="118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</row>
    <row r="320" spans="1:36" s="3" customFormat="1" hidden="1" outlineLevel="2">
      <c r="A320" s="118" t="s">
        <v>151</v>
      </c>
      <c r="B320" s="118"/>
      <c r="C320" s="118"/>
      <c r="D320" s="118"/>
      <c r="E320" s="118"/>
      <c r="F320" s="118"/>
      <c r="G320" s="118"/>
      <c r="H320" s="118"/>
      <c r="I320" s="118"/>
      <c r="J320" s="118"/>
      <c r="K320" s="7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</row>
    <row r="321" spans="1:36" outlineLevel="1" collapsed="1">
      <c r="A321" s="145" t="s">
        <v>381</v>
      </c>
      <c r="B321" s="40"/>
      <c r="C321" s="40"/>
      <c r="D321" s="40"/>
      <c r="E321" s="40"/>
      <c r="F321" s="40"/>
      <c r="G321" s="40"/>
      <c r="H321" s="40"/>
      <c r="I321" s="40"/>
      <c r="J321" s="40"/>
      <c r="K321" s="145" t="s">
        <v>386</v>
      </c>
      <c r="L321" s="40"/>
    </row>
    <row r="322" spans="1:36" s="3" customFormat="1" hidden="1" outlineLevel="2">
      <c r="A322" s="51" t="s">
        <v>384</v>
      </c>
      <c r="K322" s="51" t="s">
        <v>387</v>
      </c>
      <c r="L322" s="76"/>
      <c r="M322" s="76"/>
      <c r="N322" s="76"/>
      <c r="O322" s="7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</row>
    <row r="323" spans="1:36" s="3" customFormat="1" hidden="1" outlineLevel="2">
      <c r="A323" s="54" t="s">
        <v>382</v>
      </c>
      <c r="K323" s="51" t="s">
        <v>388</v>
      </c>
      <c r="L323" s="76"/>
      <c r="M323" s="76"/>
      <c r="N323" s="76"/>
      <c r="O323" s="7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</row>
    <row r="324" spans="1:36" s="3" customFormat="1" hidden="1" outlineLevel="2">
      <c r="A324" s="54" t="s">
        <v>416</v>
      </c>
      <c r="K324" s="54" t="s">
        <v>414</v>
      </c>
      <c r="L324" s="76"/>
      <c r="M324" s="76"/>
      <c r="N324" s="76"/>
      <c r="O324" s="7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</row>
    <row r="325" spans="1:36" s="3" customFormat="1" hidden="1" outlineLevel="2">
      <c r="A325" s="54" t="s">
        <v>385</v>
      </c>
      <c r="K325" s="54" t="s">
        <v>415</v>
      </c>
      <c r="L325" s="76"/>
      <c r="M325" s="76"/>
      <c r="N325" s="76"/>
      <c r="O325" s="7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</row>
    <row r="326" spans="1:36" s="3" customFormat="1" hidden="1" outlineLevel="2">
      <c r="A326" s="137" t="s">
        <v>412</v>
      </c>
      <c r="B326" s="137"/>
      <c r="C326" s="137"/>
      <c r="D326" s="137"/>
      <c r="E326" s="137"/>
      <c r="F326" s="137"/>
      <c r="G326" s="137"/>
      <c r="H326" s="137"/>
      <c r="I326" s="137"/>
      <c r="J326" s="137"/>
      <c r="K326" s="54" t="s">
        <v>389</v>
      </c>
      <c r="L326" s="76"/>
      <c r="M326" s="76"/>
      <c r="N326" s="76"/>
      <c r="O326" s="7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</row>
    <row r="327" spans="1:36" s="3" customFormat="1" hidden="1" outlineLevel="2">
      <c r="A327" s="137" t="s">
        <v>413</v>
      </c>
      <c r="B327" s="137"/>
      <c r="C327" s="137"/>
      <c r="D327" s="137"/>
      <c r="E327" s="137"/>
      <c r="F327" s="137"/>
      <c r="G327" s="137"/>
      <c r="H327" s="137"/>
      <c r="I327" s="137"/>
      <c r="J327" s="137"/>
      <c r="K327" s="54" t="s">
        <v>390</v>
      </c>
      <c r="L327" s="76"/>
      <c r="M327" s="76"/>
      <c r="N327" s="76"/>
      <c r="O327" s="7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</row>
    <row r="328" spans="1:36" s="3" customFormat="1" hidden="1" outlineLevel="2">
      <c r="A328" s="51" t="s">
        <v>410</v>
      </c>
      <c r="K328" s="54" t="s">
        <v>392</v>
      </c>
      <c r="L328" s="76"/>
      <c r="M328" s="76"/>
      <c r="N328" s="76"/>
      <c r="O328" s="7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</row>
    <row r="329" spans="1:36" s="3" customFormat="1" hidden="1" outlineLevel="2">
      <c r="A329" s="51" t="s">
        <v>411</v>
      </c>
      <c r="K329" s="54" t="s">
        <v>393</v>
      </c>
      <c r="L329" s="76"/>
      <c r="M329" s="76"/>
      <c r="N329" s="76"/>
      <c r="O329" s="7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</row>
    <row r="330" spans="1:36" s="3" customFormat="1" hidden="1" outlineLevel="2">
      <c r="A330" s="51" t="s">
        <v>383</v>
      </c>
      <c r="L330" s="76"/>
      <c r="M330" s="76"/>
      <c r="N330" s="76"/>
      <c r="O330" s="7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</row>
    <row r="331" spans="1:36" s="3" customFormat="1" outlineLevel="1" collapsed="1">
      <c r="A331" s="51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</row>
    <row r="332" spans="1:36" outlineLevel="1">
      <c r="A332" s="77" t="s">
        <v>609</v>
      </c>
    </row>
    <row r="333" spans="1:36" s="3" customFormat="1" hidden="1" outlineLevel="2">
      <c r="A333" s="118" t="s">
        <v>367</v>
      </c>
      <c r="B333" s="118"/>
      <c r="C333" s="118"/>
      <c r="D333" s="118"/>
      <c r="E333" s="118"/>
      <c r="F333" s="118"/>
      <c r="G333" s="118"/>
      <c r="H333" s="118"/>
      <c r="I333" s="118"/>
      <c r="J333" s="118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</row>
    <row r="334" spans="1:36" s="3" customFormat="1" hidden="1" outlineLevel="2">
      <c r="A334" s="118" t="s">
        <v>417</v>
      </c>
      <c r="B334" s="118"/>
      <c r="C334" s="118"/>
      <c r="D334" s="118"/>
      <c r="E334" s="118"/>
      <c r="F334" s="118"/>
      <c r="G334" s="118"/>
      <c r="H334" s="118"/>
      <c r="I334" s="118"/>
      <c r="J334" s="118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</row>
    <row r="335" spans="1:36" s="3" customFormat="1" hidden="1" outlineLevel="2">
      <c r="A335" s="118" t="s">
        <v>418</v>
      </c>
      <c r="B335" s="118"/>
      <c r="C335" s="118"/>
      <c r="D335" s="118"/>
      <c r="E335" s="118"/>
      <c r="F335" s="118"/>
      <c r="G335" s="118"/>
      <c r="H335" s="118"/>
      <c r="I335" s="118"/>
      <c r="J335" s="118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</row>
    <row r="336" spans="1:36" s="3" customFormat="1" hidden="1" outlineLevel="2">
      <c r="A336" s="118" t="s">
        <v>394</v>
      </c>
      <c r="B336" s="118"/>
      <c r="C336" s="118"/>
      <c r="D336" s="118"/>
      <c r="E336" s="118"/>
      <c r="F336" s="118"/>
      <c r="G336" s="118"/>
      <c r="H336" s="118"/>
      <c r="I336" s="118"/>
      <c r="J336" s="118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</row>
    <row r="337" spans="1:36" s="3" customFormat="1" hidden="1" outlineLevel="2">
      <c r="A337" s="118" t="s">
        <v>419</v>
      </c>
      <c r="B337" s="118"/>
      <c r="C337" s="118"/>
      <c r="D337" s="118"/>
      <c r="E337" s="118"/>
      <c r="F337" s="118"/>
      <c r="G337" s="118"/>
      <c r="H337" s="118"/>
      <c r="I337" s="118"/>
      <c r="J337" s="118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</row>
    <row r="338" spans="1:36" s="3" customFormat="1" hidden="1" outlineLevel="2">
      <c r="A338" s="118" t="s">
        <v>395</v>
      </c>
      <c r="B338" s="118"/>
      <c r="C338" s="118"/>
      <c r="D338" s="118"/>
      <c r="E338" s="118"/>
      <c r="F338" s="118"/>
      <c r="G338" s="118"/>
      <c r="H338" s="118"/>
      <c r="I338" s="118"/>
      <c r="J338" s="118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</row>
    <row r="339" spans="1:36" s="3" customFormat="1" hidden="1" outlineLevel="2">
      <c r="A339" s="118" t="s">
        <v>420</v>
      </c>
      <c r="B339" s="118"/>
      <c r="C339" s="118"/>
      <c r="D339" s="118"/>
      <c r="E339" s="118"/>
      <c r="F339" s="118"/>
      <c r="G339" s="118"/>
      <c r="H339" s="118"/>
      <c r="I339" s="118"/>
      <c r="J339" s="118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</row>
    <row r="340" spans="1:36" s="3" customFormat="1" hidden="1" outlineLevel="2">
      <c r="A340" s="118" t="s">
        <v>421</v>
      </c>
      <c r="B340" s="118"/>
      <c r="C340" s="118"/>
      <c r="D340" s="118"/>
      <c r="E340" s="118"/>
      <c r="F340" s="118"/>
      <c r="G340" s="118"/>
      <c r="H340" s="118"/>
      <c r="I340" s="118"/>
      <c r="J340" s="118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</row>
    <row r="341" spans="1:36" s="3" customFormat="1" hidden="1" outlineLevel="2">
      <c r="A341" s="118" t="s">
        <v>396</v>
      </c>
      <c r="B341" s="118"/>
      <c r="C341" s="118"/>
      <c r="D341" s="118"/>
      <c r="E341" s="118"/>
      <c r="F341" s="118"/>
      <c r="G341" s="118"/>
      <c r="H341" s="118"/>
      <c r="I341" s="118"/>
      <c r="J341" s="118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</row>
    <row r="342" spans="1:36" s="3" customFormat="1" hidden="1" outlineLevel="2">
      <c r="A342" s="118" t="s">
        <v>397</v>
      </c>
      <c r="B342" s="118"/>
      <c r="C342" s="118"/>
      <c r="D342" s="118"/>
      <c r="E342" s="118"/>
      <c r="F342" s="118"/>
      <c r="G342" s="118"/>
      <c r="H342" s="118"/>
      <c r="I342" s="118"/>
      <c r="J342" s="118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</row>
    <row r="343" spans="1:36" s="3" customFormat="1" hidden="1" outlineLevel="2">
      <c r="A343" s="118" t="s">
        <v>422</v>
      </c>
      <c r="B343" s="118"/>
      <c r="C343" s="118"/>
      <c r="D343" s="118"/>
      <c r="E343" s="118"/>
      <c r="F343" s="118"/>
      <c r="G343" s="118"/>
      <c r="H343" s="118"/>
      <c r="I343" s="118"/>
      <c r="J343" s="118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</row>
    <row r="344" spans="1:36" s="3" customFormat="1" hidden="1" outlineLevel="2">
      <c r="A344" s="118" t="s">
        <v>423</v>
      </c>
      <c r="B344" s="118"/>
      <c r="C344" s="118"/>
      <c r="D344" s="118"/>
      <c r="E344" s="118"/>
      <c r="F344" s="118"/>
      <c r="G344" s="118"/>
      <c r="H344" s="118"/>
      <c r="I344" s="118"/>
      <c r="J344" s="118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</row>
    <row r="345" spans="1:36" s="3" customFormat="1" hidden="1" outlineLevel="2">
      <c r="A345" s="118" t="s">
        <v>424</v>
      </c>
      <c r="B345" s="118"/>
      <c r="C345" s="118"/>
      <c r="D345" s="118"/>
      <c r="E345" s="118"/>
      <c r="F345" s="118"/>
      <c r="G345" s="118"/>
      <c r="H345" s="118"/>
      <c r="I345" s="118"/>
      <c r="J345" s="118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</row>
    <row r="346" spans="1:36" s="3" customFormat="1" hidden="1" outlineLevel="2">
      <c r="A346" s="118" t="s">
        <v>425</v>
      </c>
      <c r="B346" s="118"/>
      <c r="C346" s="118"/>
      <c r="D346" s="118"/>
      <c r="E346" s="118"/>
      <c r="F346" s="118"/>
      <c r="G346" s="118"/>
      <c r="H346" s="118"/>
      <c r="I346" s="118"/>
      <c r="J346" s="118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</row>
    <row r="347" spans="1:36" s="3" customFormat="1" hidden="1" outlineLevel="2">
      <c r="A347" s="118" t="s">
        <v>426</v>
      </c>
      <c r="B347" s="118"/>
      <c r="C347" s="118"/>
      <c r="D347" s="118"/>
      <c r="E347" s="118"/>
      <c r="F347" s="118"/>
      <c r="G347" s="118"/>
      <c r="H347" s="118"/>
      <c r="I347" s="118"/>
      <c r="J347" s="118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</row>
    <row r="348" spans="1:36" s="3" customFormat="1" hidden="1" outlineLevel="2">
      <c r="A348" s="118" t="s">
        <v>427</v>
      </c>
      <c r="B348" s="118"/>
      <c r="C348" s="118"/>
      <c r="D348" s="118"/>
      <c r="E348" s="118"/>
      <c r="F348" s="118"/>
      <c r="G348" s="118"/>
      <c r="H348" s="118"/>
      <c r="I348" s="118"/>
      <c r="J348" s="118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</row>
    <row r="349" spans="1:36" s="3" customFormat="1" hidden="1" outlineLevel="2">
      <c r="A349" s="118" t="s">
        <v>428</v>
      </c>
      <c r="B349" s="118"/>
      <c r="C349" s="118"/>
      <c r="D349" s="118"/>
      <c r="E349" s="118"/>
      <c r="F349" s="118"/>
      <c r="G349" s="118"/>
      <c r="H349" s="118"/>
      <c r="I349" s="118"/>
      <c r="J349" s="118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</row>
    <row r="350" spans="1:36" s="3" customFormat="1" hidden="1" outlineLevel="2">
      <c r="A350" s="118" t="s">
        <v>375</v>
      </c>
      <c r="B350" s="118"/>
      <c r="C350" s="118"/>
      <c r="D350" s="118"/>
      <c r="E350" s="118"/>
      <c r="F350" s="118"/>
      <c r="G350" s="118"/>
      <c r="H350" s="118"/>
      <c r="I350" s="118"/>
      <c r="J350" s="118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</row>
    <row r="351" spans="1:36" s="3" customFormat="1" hidden="1" outlineLevel="2">
      <c r="A351" s="118" t="s">
        <v>429</v>
      </c>
      <c r="B351" s="118"/>
      <c r="C351" s="118"/>
      <c r="D351" s="118"/>
      <c r="E351" s="118"/>
      <c r="F351" s="118"/>
      <c r="G351" s="118"/>
      <c r="H351" s="118"/>
      <c r="I351" s="118"/>
      <c r="J351" s="118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</row>
    <row r="352" spans="1:36" s="3" customFormat="1" hidden="1" outlineLevel="2">
      <c r="A352" s="118" t="s">
        <v>398</v>
      </c>
      <c r="B352" s="118"/>
      <c r="C352" s="118"/>
      <c r="D352" s="118"/>
      <c r="E352" s="118"/>
      <c r="F352" s="118"/>
      <c r="G352" s="118"/>
      <c r="H352" s="118"/>
      <c r="I352" s="118"/>
      <c r="J352" s="118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</row>
    <row r="353" spans="1:36" s="3" customFormat="1" hidden="1" outlineLevel="2">
      <c r="A353" s="118" t="s">
        <v>399</v>
      </c>
      <c r="B353" s="118"/>
      <c r="C353" s="118"/>
      <c r="D353" s="118"/>
      <c r="E353" s="118"/>
      <c r="F353" s="118"/>
      <c r="G353" s="118"/>
      <c r="H353" s="118"/>
      <c r="I353" s="118"/>
      <c r="J353" s="118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</row>
    <row r="354" spans="1:36" s="3" customFormat="1" hidden="1" outlineLevel="2">
      <c r="A354" s="118" t="s">
        <v>400</v>
      </c>
      <c r="B354" s="118"/>
      <c r="C354" s="118"/>
      <c r="D354" s="118"/>
      <c r="E354" s="118"/>
      <c r="F354" s="118"/>
      <c r="G354" s="118"/>
      <c r="H354" s="118"/>
      <c r="I354" s="118"/>
      <c r="J354" s="118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</row>
    <row r="355" spans="1:36" s="3" customFormat="1" hidden="1" outlineLevel="2">
      <c r="A355" s="118" t="s">
        <v>151</v>
      </c>
      <c r="B355" s="118"/>
      <c r="C355" s="118"/>
      <c r="D355" s="118"/>
      <c r="E355" s="118"/>
      <c r="F355" s="118"/>
      <c r="G355" s="118"/>
      <c r="H355" s="118"/>
      <c r="I355" s="118"/>
      <c r="J355" s="118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</row>
    <row r="356" spans="1:36" s="3" customFormat="1" outlineLevel="1" collapsed="1">
      <c r="A356" s="145" t="s">
        <v>381</v>
      </c>
      <c r="B356" s="40"/>
      <c r="C356" s="40"/>
      <c r="D356" s="40"/>
      <c r="E356" s="40"/>
      <c r="F356" s="40"/>
      <c r="G356" s="40"/>
      <c r="H356" s="40"/>
      <c r="I356" s="40"/>
      <c r="J356" s="40"/>
      <c r="K356" s="145" t="s">
        <v>386</v>
      </c>
      <c r="L356" s="40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</row>
    <row r="357" spans="1:36" s="3" customFormat="1" hidden="1" outlineLevel="2">
      <c r="A357" s="51" t="s">
        <v>471</v>
      </c>
      <c r="K357" s="51" t="s">
        <v>401</v>
      </c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</row>
    <row r="358" spans="1:36" s="3" customFormat="1" hidden="1" outlineLevel="2">
      <c r="A358" s="51" t="s">
        <v>472</v>
      </c>
      <c r="K358" s="51" t="s">
        <v>404</v>
      </c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</row>
    <row r="359" spans="1:36" s="3" customFormat="1" hidden="1" outlineLevel="2">
      <c r="A359" s="51" t="s">
        <v>517</v>
      </c>
      <c r="K359" s="51" t="s">
        <v>406</v>
      </c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</row>
    <row r="360" spans="1:36" s="3" customFormat="1" hidden="1" outlineLevel="2">
      <c r="A360" s="54" t="s">
        <v>403</v>
      </c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</row>
    <row r="361" spans="1:36" s="3" customFormat="1" outlineLevel="1" collapsed="1">
      <c r="A361" s="51"/>
      <c r="K361" s="54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</row>
    <row r="362" spans="1:36" s="3" customFormat="1" outlineLevel="1">
      <c r="A362" s="77" t="s">
        <v>608</v>
      </c>
      <c r="K362" s="54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</row>
    <row r="363" spans="1:36" s="3" customFormat="1" hidden="1" outlineLevel="2">
      <c r="A363" s="143" t="s">
        <v>560</v>
      </c>
      <c r="K363" s="54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</row>
    <row r="364" spans="1:36" s="3" customFormat="1" hidden="1" outlineLevel="2">
      <c r="A364" s="138" t="s">
        <v>458</v>
      </c>
      <c r="B364" s="118"/>
      <c r="C364" s="118"/>
      <c r="D364" s="118"/>
      <c r="E364" s="118"/>
      <c r="F364" s="118"/>
      <c r="G364" s="118"/>
      <c r="H364" s="118"/>
      <c r="I364" s="118"/>
      <c r="J364" s="118"/>
      <c r="K364" s="54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</row>
    <row r="365" spans="1:36" s="3" customFormat="1" hidden="1" outlineLevel="2">
      <c r="A365" s="118" t="s">
        <v>457</v>
      </c>
      <c r="B365" s="118"/>
      <c r="C365" s="118"/>
      <c r="D365" s="118"/>
      <c r="E365" s="118"/>
      <c r="F365" s="118"/>
      <c r="G365" s="118"/>
      <c r="H365" s="118"/>
      <c r="I365" s="118"/>
      <c r="J365" s="118"/>
      <c r="K365" s="54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</row>
    <row r="366" spans="1:36" s="3" customFormat="1" hidden="1" outlineLevel="2">
      <c r="A366" s="118" t="s">
        <v>430</v>
      </c>
      <c r="B366" s="118"/>
      <c r="C366" s="118"/>
      <c r="D366" s="118"/>
      <c r="E366" s="118"/>
      <c r="F366" s="118"/>
      <c r="G366" s="118"/>
      <c r="H366" s="118"/>
      <c r="I366" s="118"/>
      <c r="J366" s="118"/>
      <c r="K366" s="54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</row>
    <row r="367" spans="1:36" s="3" customFormat="1" hidden="1" outlineLevel="2">
      <c r="A367" s="118" t="s">
        <v>431</v>
      </c>
      <c r="B367" s="118"/>
      <c r="C367" s="118"/>
      <c r="D367" s="118"/>
      <c r="E367" s="118"/>
      <c r="F367" s="118"/>
      <c r="G367" s="118"/>
      <c r="H367" s="118"/>
      <c r="I367" s="118"/>
      <c r="J367" s="118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</row>
    <row r="368" spans="1:36" s="3" customFormat="1" hidden="1" outlineLevel="2">
      <c r="A368" s="118" t="s">
        <v>432</v>
      </c>
      <c r="B368" s="118"/>
      <c r="C368" s="118"/>
      <c r="D368" s="118"/>
      <c r="E368" s="118"/>
      <c r="F368" s="118"/>
      <c r="G368" s="118"/>
      <c r="H368" s="118"/>
      <c r="I368" s="118"/>
      <c r="J368" s="118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</row>
    <row r="369" spans="1:36" s="3" customFormat="1" hidden="1" outlineLevel="2">
      <c r="A369" s="118" t="s">
        <v>433</v>
      </c>
      <c r="B369" s="118"/>
      <c r="C369" s="118"/>
      <c r="D369" s="118"/>
      <c r="E369" s="118"/>
      <c r="F369" s="118"/>
      <c r="G369" s="118"/>
      <c r="H369" s="118"/>
      <c r="I369" s="118"/>
      <c r="J369" s="118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</row>
    <row r="370" spans="1:36" s="3" customFormat="1" hidden="1" outlineLevel="2">
      <c r="A370" s="118" t="s">
        <v>434</v>
      </c>
      <c r="B370" s="118"/>
      <c r="C370" s="118"/>
      <c r="D370" s="118"/>
      <c r="E370" s="118"/>
      <c r="F370" s="118"/>
      <c r="G370" s="118"/>
      <c r="H370" s="118"/>
      <c r="I370" s="118"/>
      <c r="J370" s="118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</row>
    <row r="371" spans="1:36" s="3" customFormat="1" hidden="1" outlineLevel="2">
      <c r="A371" s="118" t="s">
        <v>435</v>
      </c>
      <c r="B371" s="118"/>
      <c r="C371" s="118"/>
      <c r="D371" s="118"/>
      <c r="E371" s="118"/>
      <c r="F371" s="118"/>
      <c r="G371" s="118"/>
      <c r="H371" s="118"/>
      <c r="I371" s="118"/>
      <c r="J371" s="118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</row>
    <row r="372" spans="1:36" s="3" customFormat="1" hidden="1" outlineLevel="2">
      <c r="A372" s="118" t="s">
        <v>436</v>
      </c>
      <c r="B372" s="118"/>
      <c r="C372" s="118"/>
      <c r="D372" s="118"/>
      <c r="E372" s="118"/>
      <c r="F372" s="118"/>
      <c r="G372" s="118"/>
      <c r="H372" s="118"/>
      <c r="I372" s="118"/>
      <c r="J372" s="118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</row>
    <row r="373" spans="1:36" s="3" customFormat="1" hidden="1" outlineLevel="2">
      <c r="A373" s="118" t="s">
        <v>437</v>
      </c>
      <c r="B373" s="118"/>
      <c r="C373" s="118"/>
      <c r="D373" s="118"/>
      <c r="E373" s="118"/>
      <c r="F373" s="118"/>
      <c r="G373" s="118"/>
      <c r="H373" s="118"/>
      <c r="I373" s="118"/>
      <c r="J373" s="118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</row>
    <row r="374" spans="1:36" s="3" customFormat="1" hidden="1" outlineLevel="2">
      <c r="A374" s="118" t="s">
        <v>438</v>
      </c>
      <c r="B374" s="118"/>
      <c r="C374" s="118"/>
      <c r="D374" s="118"/>
      <c r="E374" s="118"/>
      <c r="F374" s="118"/>
      <c r="G374" s="118"/>
      <c r="H374" s="118"/>
      <c r="I374" s="118"/>
      <c r="J374" s="118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</row>
    <row r="375" spans="1:36" s="3" customFormat="1" hidden="1" outlineLevel="2">
      <c r="A375" s="118" t="s">
        <v>439</v>
      </c>
      <c r="B375" s="118"/>
      <c r="C375" s="118"/>
      <c r="D375" s="118"/>
      <c r="E375" s="118"/>
      <c r="F375" s="118"/>
      <c r="G375" s="118"/>
      <c r="H375" s="118"/>
      <c r="I375" s="118"/>
      <c r="J375" s="118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</row>
    <row r="376" spans="1:36" s="3" customFormat="1" hidden="1" outlineLevel="2">
      <c r="A376" s="118" t="s">
        <v>440</v>
      </c>
      <c r="B376" s="118"/>
      <c r="C376" s="118"/>
      <c r="D376" s="118"/>
      <c r="E376" s="118"/>
      <c r="F376" s="118"/>
      <c r="G376" s="118"/>
      <c r="H376" s="118"/>
      <c r="I376" s="118"/>
      <c r="J376" s="118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</row>
    <row r="377" spans="1:36" s="3" customFormat="1" hidden="1" outlineLevel="2">
      <c r="A377" s="118" t="s">
        <v>441</v>
      </c>
      <c r="B377" s="118"/>
      <c r="C377" s="118"/>
      <c r="D377" s="118"/>
      <c r="E377" s="118"/>
      <c r="F377" s="118"/>
      <c r="G377" s="118"/>
      <c r="H377" s="118"/>
      <c r="I377" s="118"/>
      <c r="J377" s="118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</row>
    <row r="378" spans="1:36" s="3" customFormat="1" hidden="1" outlineLevel="2">
      <c r="A378" s="118" t="s">
        <v>442</v>
      </c>
      <c r="B378" s="118"/>
      <c r="C378" s="118"/>
      <c r="D378" s="118"/>
      <c r="E378" s="118"/>
      <c r="F378" s="118"/>
      <c r="G378" s="118"/>
      <c r="H378" s="118"/>
      <c r="I378" s="118"/>
      <c r="J378" s="118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</row>
    <row r="379" spans="1:36" s="3" customFormat="1" hidden="1" outlineLevel="2">
      <c r="A379" s="118" t="s">
        <v>443</v>
      </c>
      <c r="B379" s="118"/>
      <c r="C379" s="118"/>
      <c r="D379" s="118"/>
      <c r="E379" s="118"/>
      <c r="F379" s="118"/>
      <c r="G379" s="118"/>
      <c r="H379" s="118"/>
      <c r="I379" s="118"/>
      <c r="J379" s="118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</row>
    <row r="380" spans="1:36" s="3" customFormat="1" hidden="1" outlineLevel="2">
      <c r="A380" s="118" t="s">
        <v>444</v>
      </c>
      <c r="B380" s="118"/>
      <c r="C380" s="118"/>
      <c r="D380" s="118"/>
      <c r="E380" s="118"/>
      <c r="F380" s="118"/>
      <c r="G380" s="118"/>
      <c r="H380" s="118"/>
      <c r="I380" s="118"/>
      <c r="J380" s="118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</row>
    <row r="381" spans="1:36" s="3" customFormat="1" hidden="1" outlineLevel="2">
      <c r="A381" s="118" t="s">
        <v>445</v>
      </c>
      <c r="B381" s="118"/>
      <c r="C381" s="118"/>
      <c r="D381" s="118"/>
      <c r="E381" s="118"/>
      <c r="F381" s="118"/>
      <c r="G381" s="118"/>
      <c r="H381" s="118"/>
      <c r="I381" s="118"/>
      <c r="J381" s="118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</row>
    <row r="382" spans="1:36" s="3" customFormat="1" hidden="1" outlineLevel="2">
      <c r="A382" s="118" t="s">
        <v>446</v>
      </c>
      <c r="B382" s="118"/>
      <c r="C382" s="118"/>
      <c r="D382" s="118"/>
      <c r="E382" s="118"/>
      <c r="F382" s="118"/>
      <c r="G382" s="118"/>
      <c r="H382" s="118"/>
      <c r="I382" s="118"/>
      <c r="J382" s="118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</row>
    <row r="383" spans="1:36" s="3" customFormat="1" hidden="1" outlineLevel="2">
      <c r="A383" s="118" t="s">
        <v>396</v>
      </c>
      <c r="B383" s="118"/>
      <c r="C383" s="118"/>
      <c r="D383" s="118"/>
      <c r="E383" s="118"/>
      <c r="F383" s="118"/>
      <c r="G383" s="118"/>
      <c r="H383" s="118"/>
      <c r="I383" s="118"/>
      <c r="J383" s="118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</row>
    <row r="384" spans="1:36" s="3" customFormat="1" hidden="1" outlineLevel="2">
      <c r="A384" s="118" t="s">
        <v>397</v>
      </c>
      <c r="B384" s="118"/>
      <c r="C384" s="118"/>
      <c r="D384" s="118"/>
      <c r="E384" s="118"/>
      <c r="F384" s="118"/>
      <c r="G384" s="118"/>
      <c r="H384" s="118"/>
      <c r="I384" s="118"/>
      <c r="J384" s="118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</row>
    <row r="385" spans="1:36" s="3" customFormat="1" hidden="1" outlineLevel="2">
      <c r="A385" s="118" t="s">
        <v>447</v>
      </c>
      <c r="B385" s="118"/>
      <c r="C385" s="118"/>
      <c r="D385" s="118"/>
      <c r="E385" s="118"/>
      <c r="F385" s="118"/>
      <c r="G385" s="118"/>
      <c r="H385" s="118"/>
      <c r="I385" s="118"/>
      <c r="J385" s="118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</row>
    <row r="386" spans="1:36" s="3" customFormat="1" hidden="1" outlineLevel="2">
      <c r="A386" s="118" t="s">
        <v>448</v>
      </c>
      <c r="B386" s="118"/>
      <c r="C386" s="118"/>
      <c r="D386" s="118"/>
      <c r="E386" s="118"/>
      <c r="F386" s="118"/>
      <c r="G386" s="118"/>
      <c r="H386" s="118"/>
      <c r="I386" s="118"/>
      <c r="J386" s="118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</row>
    <row r="387" spans="1:36" s="3" customFormat="1" hidden="1" outlineLevel="2">
      <c r="A387" s="118" t="s">
        <v>449</v>
      </c>
      <c r="B387" s="118"/>
      <c r="C387" s="118"/>
      <c r="D387" s="118"/>
      <c r="E387" s="118"/>
      <c r="F387" s="118"/>
      <c r="G387" s="118"/>
      <c r="H387" s="118"/>
      <c r="I387" s="118"/>
      <c r="J387" s="118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</row>
    <row r="388" spans="1:36" s="3" customFormat="1" hidden="1" outlineLevel="2">
      <c r="A388" s="118" t="s">
        <v>450</v>
      </c>
      <c r="B388" s="118"/>
      <c r="C388" s="118"/>
      <c r="D388" s="118"/>
      <c r="E388" s="118"/>
      <c r="F388" s="118"/>
      <c r="G388" s="118"/>
      <c r="H388" s="118"/>
      <c r="I388" s="118"/>
      <c r="J388" s="118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</row>
    <row r="389" spans="1:36" s="3" customFormat="1" hidden="1" outlineLevel="2">
      <c r="A389" s="118" t="s">
        <v>451</v>
      </c>
      <c r="B389" s="118"/>
      <c r="C389" s="118"/>
      <c r="D389" s="118"/>
      <c r="E389" s="118"/>
      <c r="F389" s="118"/>
      <c r="G389" s="118"/>
      <c r="H389" s="118"/>
      <c r="I389" s="118"/>
      <c r="J389" s="118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</row>
    <row r="390" spans="1:36" s="3" customFormat="1" hidden="1" outlineLevel="2">
      <c r="A390" s="118" t="s">
        <v>452</v>
      </c>
      <c r="B390" s="118"/>
      <c r="C390" s="118"/>
      <c r="D390" s="118"/>
      <c r="E390" s="118"/>
      <c r="F390" s="118"/>
      <c r="G390" s="118"/>
      <c r="H390" s="118"/>
      <c r="I390" s="118"/>
      <c r="J390" s="118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</row>
    <row r="391" spans="1:36" s="3" customFormat="1" hidden="1" outlineLevel="2">
      <c r="A391" s="118" t="s">
        <v>397</v>
      </c>
      <c r="B391" s="118"/>
      <c r="C391" s="118"/>
      <c r="D391" s="118"/>
      <c r="E391" s="118"/>
      <c r="F391" s="118"/>
      <c r="G391" s="118"/>
      <c r="H391" s="118"/>
      <c r="I391" s="118"/>
      <c r="J391" s="118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</row>
    <row r="392" spans="1:36" s="3" customFormat="1" hidden="1" outlineLevel="2">
      <c r="A392" s="118" t="s">
        <v>453</v>
      </c>
      <c r="B392" s="118"/>
      <c r="C392" s="118"/>
      <c r="D392" s="118"/>
      <c r="E392" s="118"/>
      <c r="F392" s="118"/>
      <c r="G392" s="118"/>
      <c r="H392" s="118"/>
      <c r="I392" s="118"/>
      <c r="J392" s="118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</row>
    <row r="393" spans="1:36" s="3" customFormat="1" hidden="1" outlineLevel="2">
      <c r="A393" s="118" t="s">
        <v>454</v>
      </c>
      <c r="B393" s="118"/>
      <c r="C393" s="118"/>
      <c r="D393" s="118"/>
      <c r="E393" s="118"/>
      <c r="F393" s="118"/>
      <c r="G393" s="118"/>
      <c r="H393" s="118"/>
      <c r="I393" s="118"/>
      <c r="J393" s="118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</row>
    <row r="394" spans="1:36" s="3" customFormat="1" hidden="1" outlineLevel="2">
      <c r="A394" s="118" t="s">
        <v>455</v>
      </c>
      <c r="B394" s="118"/>
      <c r="C394" s="118"/>
      <c r="D394" s="118"/>
      <c r="E394" s="118"/>
      <c r="F394" s="118"/>
      <c r="G394" s="118"/>
      <c r="H394" s="118"/>
      <c r="I394" s="118"/>
      <c r="J394" s="118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</row>
    <row r="395" spans="1:36" s="3" customFormat="1" hidden="1" outlineLevel="2">
      <c r="A395" s="118" t="s">
        <v>456</v>
      </c>
      <c r="B395" s="118"/>
      <c r="C395" s="118"/>
      <c r="D395" s="118"/>
      <c r="E395" s="118"/>
      <c r="F395" s="118"/>
      <c r="G395" s="118"/>
      <c r="H395" s="118"/>
      <c r="I395" s="118"/>
      <c r="J395" s="118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</row>
    <row r="396" spans="1:36" s="3" customFormat="1" hidden="1" outlineLevel="2">
      <c r="A396" s="118" t="s">
        <v>400</v>
      </c>
      <c r="B396" s="118"/>
      <c r="C396" s="118"/>
      <c r="D396" s="118"/>
      <c r="E396" s="118"/>
      <c r="F396" s="118"/>
      <c r="G396" s="118"/>
      <c r="H396" s="118"/>
      <c r="I396" s="118"/>
      <c r="J396" s="118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</row>
    <row r="397" spans="1:36" s="3" customFormat="1" hidden="1" outlineLevel="2">
      <c r="A397" s="118" t="s">
        <v>459</v>
      </c>
      <c r="B397" s="118"/>
      <c r="C397" s="118"/>
      <c r="D397" s="118"/>
      <c r="E397" s="118"/>
      <c r="F397" s="118"/>
      <c r="G397" s="118"/>
      <c r="H397" s="118"/>
      <c r="I397" s="118"/>
      <c r="J397" s="118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</row>
    <row r="398" spans="1:36" outlineLevel="1" collapsed="1">
      <c r="A398" s="145" t="s">
        <v>381</v>
      </c>
      <c r="B398" s="40"/>
      <c r="C398" s="40"/>
      <c r="D398" s="40"/>
      <c r="E398" s="40"/>
      <c r="F398" s="40"/>
      <c r="G398" s="40"/>
      <c r="H398" s="40"/>
      <c r="I398" s="40"/>
      <c r="J398" s="40"/>
      <c r="K398" s="145" t="s">
        <v>386</v>
      </c>
      <c r="L398" s="40"/>
    </row>
    <row r="399" spans="1:36" hidden="1" outlineLevel="2">
      <c r="A399" s="51" t="s">
        <v>520</v>
      </c>
      <c r="B399" s="3"/>
      <c r="C399" s="3"/>
      <c r="D399" s="3"/>
      <c r="E399" s="3"/>
      <c r="F399" s="3"/>
      <c r="G399" s="3"/>
      <c r="H399" s="3"/>
      <c r="I399" s="3"/>
      <c r="J399" s="3"/>
      <c r="K399" s="51" t="s">
        <v>526</v>
      </c>
      <c r="L399" s="3"/>
    </row>
    <row r="400" spans="1:36" hidden="1" outlineLevel="2">
      <c r="A400" s="51" t="s">
        <v>521</v>
      </c>
      <c r="B400" s="3"/>
      <c r="C400" s="3"/>
      <c r="D400" s="3"/>
      <c r="E400" s="3"/>
      <c r="F400" s="3"/>
      <c r="G400" s="3"/>
      <c r="H400" s="3"/>
      <c r="I400" s="3"/>
      <c r="J400" s="3"/>
      <c r="K400" s="51" t="s">
        <v>525</v>
      </c>
      <c r="L400" s="3"/>
    </row>
    <row r="401" spans="1:15" hidden="1" outlineLevel="2">
      <c r="A401" s="51" t="s">
        <v>523</v>
      </c>
      <c r="B401" s="3"/>
      <c r="C401" s="3"/>
      <c r="D401" s="3"/>
      <c r="E401" s="3"/>
      <c r="F401" s="3"/>
      <c r="G401" s="3"/>
      <c r="H401" s="3"/>
      <c r="I401" s="3"/>
      <c r="J401" s="3"/>
      <c r="K401" s="51" t="s">
        <v>522</v>
      </c>
      <c r="L401" s="3"/>
    </row>
    <row r="402" spans="1:15" hidden="1" outlineLevel="2">
      <c r="A402" s="54" t="s">
        <v>524</v>
      </c>
      <c r="B402" s="3"/>
      <c r="C402" s="3"/>
      <c r="D402" s="3"/>
      <c r="E402" s="3"/>
      <c r="F402" s="3"/>
      <c r="G402" s="3"/>
      <c r="H402" s="3"/>
      <c r="I402" s="3"/>
      <c r="J402" s="3"/>
      <c r="K402" s="51" t="s">
        <v>556</v>
      </c>
      <c r="L402" s="3"/>
    </row>
    <row r="403" spans="1:15" hidden="1" outlineLevel="2">
      <c r="A403" s="54" t="s">
        <v>611</v>
      </c>
      <c r="B403" s="3"/>
      <c r="C403" s="3"/>
      <c r="D403" s="3"/>
      <c r="E403" s="3"/>
      <c r="F403" s="3"/>
      <c r="G403" s="3"/>
      <c r="H403" s="3"/>
      <c r="I403" s="3"/>
      <c r="J403" s="3"/>
      <c r="K403" s="54" t="s">
        <v>557</v>
      </c>
      <c r="L403" s="3"/>
    </row>
    <row r="404" spans="1:15" hidden="1" outlineLevel="2">
      <c r="A404" s="51" t="s">
        <v>555</v>
      </c>
      <c r="K404" s="54" t="s">
        <v>558</v>
      </c>
    </row>
    <row r="405" spans="1:15" hidden="1" outlineLevel="2">
      <c r="K405" s="54" t="s">
        <v>559</v>
      </c>
    </row>
    <row r="406" spans="1:15" outlineLevel="1" collapsed="1">
      <c r="K406" s="54"/>
    </row>
    <row r="407" spans="1:15" outlineLevel="1">
      <c r="A407" s="74" t="s">
        <v>634</v>
      </c>
      <c r="B407" s="3"/>
      <c r="C407" s="3"/>
      <c r="D407" s="3"/>
      <c r="E407" s="3"/>
      <c r="F407" s="3"/>
      <c r="G407" s="3"/>
      <c r="H407" s="3"/>
      <c r="I407" s="3"/>
      <c r="J407" s="3"/>
      <c r="L407" s="3"/>
      <c r="M407" s="3"/>
    </row>
    <row r="408" spans="1:15" outlineLevel="2">
      <c r="C408" s="136" t="s">
        <v>408</v>
      </c>
      <c r="D408" s="136"/>
      <c r="E408" s="136"/>
      <c r="F408" s="136"/>
      <c r="G408" s="136"/>
      <c r="H408" s="136"/>
      <c r="I408" s="136"/>
    </row>
    <row r="409" spans="1:15" outlineLevel="2">
      <c r="B409" s="79" t="s">
        <v>365</v>
      </c>
      <c r="C409" s="72">
        <v>300</v>
      </c>
      <c r="D409" s="72">
        <v>133</v>
      </c>
      <c r="E409" s="72">
        <v>92</v>
      </c>
      <c r="F409" s="71">
        <v>75.5</v>
      </c>
      <c r="G409" s="70">
        <v>0.72499999999999998</v>
      </c>
      <c r="H409" s="71">
        <v>13.7</v>
      </c>
      <c r="I409" s="72">
        <v>75</v>
      </c>
    </row>
    <row r="410" spans="1:15" outlineLevel="2">
      <c r="B410" s="69"/>
      <c r="C410" s="69"/>
      <c r="D410" s="69"/>
      <c r="E410" s="69"/>
      <c r="F410" s="69"/>
      <c r="G410" s="69"/>
      <c r="H410" s="69"/>
      <c r="I410" s="69"/>
    </row>
    <row r="411" spans="1:15" outlineLevel="2">
      <c r="B411" s="69"/>
      <c r="C411" s="136" t="s">
        <v>407</v>
      </c>
      <c r="D411" s="136"/>
      <c r="E411" s="136"/>
      <c r="F411" s="136"/>
      <c r="G411" s="136"/>
      <c r="H411" s="136"/>
      <c r="I411" s="136"/>
      <c r="M411" s="73" t="s">
        <v>409</v>
      </c>
    </row>
    <row r="412" spans="1:15" outlineLevel="2">
      <c r="B412" s="79" t="s">
        <v>364</v>
      </c>
      <c r="C412" s="72">
        <v>50</v>
      </c>
      <c r="D412" s="72">
        <v>10</v>
      </c>
      <c r="E412" s="72">
        <v>7</v>
      </c>
      <c r="F412" s="71">
        <v>1.1000000000000001</v>
      </c>
      <c r="G412" s="70">
        <v>0.03</v>
      </c>
      <c r="H412" s="71">
        <v>0.4</v>
      </c>
      <c r="I412" s="72">
        <v>20</v>
      </c>
      <c r="M412" s="72">
        <v>1</v>
      </c>
    </row>
    <row r="413" spans="1:15" outlineLevel="2">
      <c r="B413" s="79" t="s">
        <v>50</v>
      </c>
      <c r="C413" s="72">
        <v>100</v>
      </c>
      <c r="D413" s="72">
        <v>20</v>
      </c>
      <c r="E413" s="72">
        <v>11</v>
      </c>
      <c r="F413" s="71">
        <v>2.1</v>
      </c>
      <c r="G413" s="70">
        <v>0.06</v>
      </c>
      <c r="H413" s="71">
        <v>0.8</v>
      </c>
      <c r="I413" s="72">
        <v>35</v>
      </c>
      <c r="M413" s="72">
        <v>3</v>
      </c>
    </row>
    <row r="414" spans="1:15" outlineLevel="2">
      <c r="C414" s="69"/>
      <c r="D414" s="69"/>
      <c r="E414" s="69"/>
      <c r="F414" s="69"/>
      <c r="G414" s="69"/>
      <c r="H414" s="69"/>
      <c r="I414" s="69"/>
    </row>
    <row r="415" spans="1:15" outlineLevel="2">
      <c r="C415" s="69"/>
      <c r="D415" s="69"/>
      <c r="E415" s="69"/>
      <c r="F415" s="69"/>
      <c r="G415" s="69"/>
      <c r="H415" s="69"/>
      <c r="I415" s="69"/>
      <c r="M415" s="73" t="s">
        <v>554</v>
      </c>
    </row>
    <row r="416" spans="1:15" outlineLevel="2">
      <c r="B416" s="79" t="s">
        <v>519</v>
      </c>
      <c r="C416" s="139" t="b">
        <v>1</v>
      </c>
      <c r="D416" s="139" t="b">
        <v>1</v>
      </c>
      <c r="E416" s="139" t="b">
        <v>1</v>
      </c>
      <c r="F416" s="139" t="b">
        <v>1</v>
      </c>
      <c r="G416" s="139" t="b">
        <v>1</v>
      </c>
      <c r="H416" s="139" t="b">
        <v>1</v>
      </c>
      <c r="I416" s="139" t="b">
        <v>1</v>
      </c>
      <c r="M416" s="139" t="b">
        <v>1</v>
      </c>
      <c r="O416" s="140"/>
    </row>
    <row r="417" spans="1:27" outlineLevel="2">
      <c r="C417" s="69"/>
      <c r="D417" s="69"/>
      <c r="E417" s="69"/>
      <c r="F417" s="69"/>
      <c r="G417" s="69"/>
      <c r="H417" s="69"/>
      <c r="I417" s="69"/>
    </row>
    <row r="418" spans="1:27" ht="20.25" outlineLevel="2">
      <c r="B418" s="60" t="s">
        <v>357</v>
      </c>
      <c r="C418" s="60" t="s">
        <v>358</v>
      </c>
      <c r="D418" s="60" t="s">
        <v>359</v>
      </c>
      <c r="E418" s="60" t="s">
        <v>360</v>
      </c>
      <c r="F418" s="60" t="s">
        <v>361</v>
      </c>
      <c r="G418" s="60" t="s">
        <v>362</v>
      </c>
      <c r="H418" s="60" t="s">
        <v>405</v>
      </c>
      <c r="I418" s="60" t="s">
        <v>363</v>
      </c>
      <c r="M418" s="78" t="s">
        <v>518</v>
      </c>
      <c r="U418" s="148" t="s">
        <v>586</v>
      </c>
    </row>
    <row r="419" spans="1:27" outlineLevel="2">
      <c r="B419" s="16">
        <v>1</v>
      </c>
      <c r="C419" s="72">
        <v>300</v>
      </c>
      <c r="D419" s="72"/>
      <c r="E419" s="72">
        <v>91.637370333648832</v>
      </c>
      <c r="F419" s="72">
        <v>73.602300538765675</v>
      </c>
      <c r="G419" s="70">
        <v>0.73072805928399798</v>
      </c>
      <c r="H419" s="72"/>
      <c r="I419" s="72">
        <v>77.457247310105274</v>
      </c>
      <c r="M419" s="141" cm="1">
        <f t="array" ref="M419:S428">MERIT_ASSESSMENT_ARRAY(C419:I428,C409:I409,C418:I418,C412:I413,M412:M413,M413,C416:I416, M416)</f>
        <v>0</v>
      </c>
      <c r="N419" s="73" t="str">
        <v>Cd</v>
      </c>
      <c r="O419" s="73">
        <v>0</v>
      </c>
      <c r="P419" s="73">
        <v>1</v>
      </c>
      <c r="Q419" s="73">
        <v>0</v>
      </c>
      <c r="R419" s="73" t="str">
        <v>Pro</v>
      </c>
      <c r="S419" s="73">
        <v>0</v>
      </c>
      <c r="T419" s="69"/>
      <c r="U419" s="147" cm="1">
        <f t="array" ref="U419:AA428">_xlfn.IFS(NOT(OR(C416:I416)),"#MASK!",NOT(ISLOGICAL(IF(OR(ISBLANK(M416),M416=""),FALSE,M416))),"#DEBUG!",IF(OR(ISBLANK(M416),M416=""),FALSE,M416),IF(_xlfn.MAKEARRAY(ROWS(C419:I428),COLUMNS(C419:I428),_xlfn.LAMBDA(_xlpm.r,_xlpm.c,INDEX(C416:I416,,_xlpm.c))),_xlfn.MAKEARRAY(ROWS(C419:I428),COLUMNS(C419:I428),_xlfn.LAMBDA(_xlpm.r,_xlpm.c,IF(ISBLANK(INDEX(C419:I428,_xlpm.r,_xlpm.c)),INDEX(C418:I418,,_xlpm.c),_xlfn.XLOOKUP(ABS(INDEX(C419:I428,_xlpm.r,_xlpm.c)-INDEX(C409:I409,,_xlpm.c)),INDEX(C412:I413,,_xlpm.c),M412:M413,0,-1)))),0),TRUE,IF(_xlfn.BYROW(IF(ISTEXT(IF(_xlfn.MAKEARRAY(ROWS(C419:I428),COLUMNS(C419:I428),_xlfn.LAMBDA(_xlpm.r,_xlpm.c,INDEX(C416:I416,,_xlpm.c))),_xlfn.MAKEARRAY(ROWS(C419:I428),COLUMNS(C419:I428),_xlfn.LAMBDA(_xlpm.r,_xlpm.c,IF(ISBLANK(INDEX(C419:I428,_xlpm.r,_xlpm.c)),INDEX(C418:I418,,_xlpm.c),_xlfn.XLOOKUP(ABS(INDEX(C419:I428,_xlpm.r,_xlpm.c)-INDEX(C409:I409,,_xlpm.c)),INDEX(C412:I413,,_xlpm.c),M412:M413,0,-1)))),0)),IF(_xlfn.MAKEARRAY(ROWS(C419:I428),COLUMNS(C419:I428),_xlfn.LAMBDA(_xlpm.r,_xlpm.c,INDEX(C416:I416,,_xlpm.c))),_xlfn.MAKEARRAY(ROWS(C419:I428),COLUMNS(C419:I428),_xlfn.LAMBDA(_xlpm.r,_xlpm.c,IF(ISBLANK(INDEX(C419:I428,_xlpm.r,_xlpm.c)),INDEX(C418:I418,,_xlpm.c),_xlfn.XLOOKUP(ABS(INDEX(C419:I428,_xlpm.r,_xlpm.c)-INDEX(C409:I409,,_xlpm.c)),INDEX(C412:I413,,_xlpm.c),M412:M413,0,-1)))),0),""),_xlfn.LAMBDA(_xlpm.r,_xlfn.TEXTJOIN(", ",TRUE,_xlpm.r)))="",IF(_xlfn.BYROW(IF(_xlfn.MAKEARRAY(ROWS(C419:I428),COLUMNS(C419:I428),_xlfn.LAMBDA(_xlpm.r,_xlpm.c,INDEX(C416:I416,,_xlpm.c))),_xlfn.MAKEARRAY(ROWS(C419:I428),COLUMNS(C419:I428),_xlfn.LAMBDA(_xlpm.r,_xlpm.c,IF(ISBLANK(INDEX(C419:I428,_xlpm.r,_xlpm.c)),INDEX(C418:I418,,_xlpm.c),_xlfn.XLOOKUP(ABS(INDEX(C419:I428,_xlpm.r,_xlpm.c)-INDEX(C409:I409,,_xlpm.c)),INDEX(C412:I413,,_xlpm.c),M412:M413,0,-1)))),0),_xleta.SUM)&lt;M413,"Pass","Discuss"),"["&amp;_xlfn.BYROW(IF(_xlfn.MAKEARRAY(ROWS(C419:I428),COLUMNS(C419:I428),_xlfn.LAMBDA(_xlpm.r,_xlpm.c,INDEX(C416:I416,,_xlpm.c))),_xlfn.MAKEARRAY(ROWS(C419:I428),COLUMNS(C419:I428),_xlfn.LAMBDA(_xlpm.r,_xlpm.c,IF(ISBLANK(INDEX(C419:I428,_xlpm.r,_xlpm.c)),INDEX(C418:I418,,_xlpm.c),_xlfn.XLOOKUP(ABS(INDEX(C419:I428,_xlpm.r,_xlpm.c)-INDEX(C409:I409,,_xlpm.c)),INDEX(C412:I413,,_xlpm.c),M412:M413,0,-1)))),0),_xleta.SUM)&amp;"] BLK: "&amp;_xlfn.BYROW(IF(ISTEXT(IF(_xlfn.MAKEARRAY(ROWS(C419:I428),COLUMNS(C419:I428),_xlfn.LAMBDA(_xlpm.r,_xlpm.c,INDEX(C416:I416,,_xlpm.c))),_xlfn.MAKEARRAY(ROWS(C419:I428),COLUMNS(C419:I428),_xlfn.LAMBDA(_xlpm.r,_xlpm.c,IF(ISBLANK(INDEX(C419:I428,_xlpm.r,_xlpm.c)),INDEX(C418:I418,,_xlpm.c),_xlfn.XLOOKUP(ABS(INDEX(C419:I428,_xlpm.r,_xlpm.c)-INDEX(C409:I409,,_xlpm.c)),INDEX(C412:I413,,_xlpm.c),M412:M413,0,-1)))),0)),IF(_xlfn.MAKEARRAY(ROWS(C419:I428),COLUMNS(C419:I428),_xlfn.LAMBDA(_xlpm.r,_xlpm.c,INDEX(C416:I416,,_xlpm.c))),_xlfn.MAKEARRAY(ROWS(C419:I428),COLUMNS(C419:I428),_xlfn.LAMBDA(_xlpm.r,_xlpm.c,IF(ISBLANK(INDEX(C419:I428,_xlpm.r,_xlpm.c)),INDEX(C418:I418,,_xlpm.c),_xlfn.XLOOKUP(ABS(INDEX(C419:I428,_xlpm.r,_xlpm.c)-INDEX(C409:I409,,_xlpm.c)),INDEX(C412:I413,,_xlpm.c),M412:M413,0,-1)))),0),""),_xlfn.LAMBDA(_xlpm.r,_xlfn.TEXTJOIN(", ",TRUE,_xlpm.r)))))</f>
        <v>0</v>
      </c>
      <c r="V419" s="73" t="str">
        <v>Cd</v>
      </c>
      <c r="W419" s="73">
        <v>0</v>
      </c>
      <c r="X419" s="6">
        <v>1</v>
      </c>
      <c r="Y419" s="6">
        <v>0</v>
      </c>
      <c r="Z419" s="6" t="str">
        <v>Pro</v>
      </c>
      <c r="AA419" s="6">
        <v>0</v>
      </c>
    </row>
    <row r="420" spans="1:27" outlineLevel="2">
      <c r="B420" s="16">
        <v>2</v>
      </c>
      <c r="C420" s="72"/>
      <c r="D420" s="72">
        <v>151.67218293889272</v>
      </c>
      <c r="E420" s="72">
        <v>88.902798516441791</v>
      </c>
      <c r="F420" s="71">
        <v>75.767237563058785</v>
      </c>
      <c r="G420" s="70">
        <v>0.71669489687928178</v>
      </c>
      <c r="H420" s="71">
        <v>13.94533886238805</v>
      </c>
      <c r="I420" s="72">
        <v>65.132971042994271</v>
      </c>
      <c r="M420" s="72" t="str">
        <v>FN</v>
      </c>
      <c r="N420" s="73">
        <v>1</v>
      </c>
      <c r="O420" s="73">
        <v>0</v>
      </c>
      <c r="P420" s="73">
        <v>0</v>
      </c>
      <c r="Q420" s="73">
        <v>0</v>
      </c>
      <c r="R420" s="73">
        <v>0</v>
      </c>
      <c r="S420" s="73">
        <v>0</v>
      </c>
      <c r="T420" s="69"/>
      <c r="U420" s="72" t="str">
        <v>FN</v>
      </c>
      <c r="V420" s="73">
        <v>1</v>
      </c>
      <c r="W420" s="73">
        <v>0</v>
      </c>
      <c r="X420" s="6">
        <v>0</v>
      </c>
      <c r="Y420" s="6">
        <v>0</v>
      </c>
      <c r="Z420" s="6">
        <v>0</v>
      </c>
      <c r="AA420" s="6">
        <v>0</v>
      </c>
    </row>
    <row r="421" spans="1:27" outlineLevel="2">
      <c r="B421" s="16">
        <v>3</v>
      </c>
      <c r="C421" s="72">
        <v>213.46422899626384</v>
      </c>
      <c r="D421" s="72">
        <v>125.59439746584815</v>
      </c>
      <c r="E421" s="72">
        <v>98.482591058522615</v>
      </c>
      <c r="F421" s="71">
        <v>73.581147959717129</v>
      </c>
      <c r="G421" s="70">
        <v>0.78072805928399802</v>
      </c>
      <c r="H421" s="71">
        <v>14.316034904126106</v>
      </c>
      <c r="I421" s="72">
        <v>82.264297765365811</v>
      </c>
      <c r="M421" s="72">
        <v>1</v>
      </c>
      <c r="N421" s="73">
        <v>0</v>
      </c>
      <c r="O421" s="73">
        <v>0</v>
      </c>
      <c r="P421" s="73">
        <v>1</v>
      </c>
      <c r="Q421" s="73">
        <v>1</v>
      </c>
      <c r="R421" s="73">
        <v>1</v>
      </c>
      <c r="S421" s="73">
        <v>0</v>
      </c>
      <c r="T421" s="69"/>
      <c r="U421" s="72">
        <v>1</v>
      </c>
      <c r="V421" s="73">
        <v>0</v>
      </c>
      <c r="W421" s="73">
        <v>0</v>
      </c>
      <c r="X421" s="6">
        <v>1</v>
      </c>
      <c r="Y421" s="6">
        <v>1</v>
      </c>
      <c r="Z421" s="6">
        <v>1</v>
      </c>
      <c r="AA421" s="6">
        <v>0</v>
      </c>
    </row>
    <row r="422" spans="1:27" outlineLevel="2">
      <c r="B422" s="16">
        <v>4</v>
      </c>
      <c r="C422" s="72">
        <v>200</v>
      </c>
      <c r="D422" s="72">
        <v>133.2086923019134</v>
      </c>
      <c r="E422" s="72">
        <v>86.693425350941794</v>
      </c>
      <c r="F422" s="71"/>
      <c r="G422" s="70">
        <v>0.72795989823961282</v>
      </c>
      <c r="H422" s="71">
        <v>13.952207409018637</v>
      </c>
      <c r="I422" s="72">
        <v>99.974401537749728</v>
      </c>
      <c r="M422" s="72">
        <v>3</v>
      </c>
      <c r="N422" s="73">
        <v>0</v>
      </c>
      <c r="O422" s="73">
        <v>0</v>
      </c>
      <c r="P422" s="73" t="str">
        <v>Mill</v>
      </c>
      <c r="Q422" s="73">
        <v>0</v>
      </c>
      <c r="R422" s="73">
        <v>0</v>
      </c>
      <c r="S422" s="73">
        <v>1</v>
      </c>
      <c r="T422" s="69"/>
      <c r="U422" s="72">
        <v>3</v>
      </c>
      <c r="V422" s="73">
        <v>0</v>
      </c>
      <c r="W422" s="73">
        <v>0</v>
      </c>
      <c r="X422" s="6" t="str">
        <v>Mill</v>
      </c>
      <c r="Y422" s="6">
        <v>0</v>
      </c>
      <c r="Z422" s="6">
        <v>0</v>
      </c>
      <c r="AA422" s="6">
        <v>1</v>
      </c>
    </row>
    <row r="423" spans="1:27" outlineLevel="2">
      <c r="B423" s="16">
        <v>5</v>
      </c>
      <c r="C423" s="72">
        <v>351.32841376593097</v>
      </c>
      <c r="D423" s="72">
        <v>131.53836892284707</v>
      </c>
      <c r="E423" s="72">
        <v>102.09997748388687</v>
      </c>
      <c r="F423" s="71">
        <v>75.853527801233142</v>
      </c>
      <c r="G423" s="70">
        <v>0.70615194820177007</v>
      </c>
      <c r="H423" s="71">
        <v>13.765138605002608</v>
      </c>
      <c r="I423" s="72">
        <v>51.652073730114722</v>
      </c>
      <c r="M423" s="72">
        <v>1</v>
      </c>
      <c r="N423" s="73">
        <v>0</v>
      </c>
      <c r="O423" s="73">
        <v>1</v>
      </c>
      <c r="P423" s="73">
        <v>0</v>
      </c>
      <c r="Q423" s="73">
        <v>0</v>
      </c>
      <c r="R423" s="73">
        <v>0</v>
      </c>
      <c r="S423" s="73">
        <v>1</v>
      </c>
      <c r="T423" s="69"/>
      <c r="U423" s="72">
        <v>1</v>
      </c>
      <c r="V423" s="73">
        <v>0</v>
      </c>
      <c r="W423" s="73">
        <v>1</v>
      </c>
      <c r="X423" s="6">
        <v>0</v>
      </c>
      <c r="Y423" s="6">
        <v>0</v>
      </c>
      <c r="Z423" s="6">
        <v>0</v>
      </c>
      <c r="AA423" s="6">
        <v>1</v>
      </c>
    </row>
    <row r="424" spans="1:27" outlineLevel="2">
      <c r="B424" s="16">
        <v>6</v>
      </c>
      <c r="C424" s="72">
        <v>245.68333218507468</v>
      </c>
      <c r="D424" s="72">
        <v>118.37164773229574</v>
      </c>
      <c r="E424" s="72">
        <v>101.25252425241891</v>
      </c>
      <c r="F424" s="71">
        <v>75.695207626663191</v>
      </c>
      <c r="G424" s="70">
        <v>0.68641903562536288</v>
      </c>
      <c r="H424" s="71">
        <v>13.416568720417708</v>
      </c>
      <c r="I424" s="72">
        <v>61.312827715505193</v>
      </c>
      <c r="M424" s="72">
        <v>1</v>
      </c>
      <c r="N424" s="73">
        <v>1</v>
      </c>
      <c r="O424" s="73">
        <v>1</v>
      </c>
      <c r="P424" s="73">
        <v>0</v>
      </c>
      <c r="Q424" s="73">
        <v>1</v>
      </c>
      <c r="R424" s="73">
        <v>0</v>
      </c>
      <c r="S424" s="73">
        <v>0</v>
      </c>
      <c r="T424" s="69"/>
      <c r="U424" s="72">
        <v>1</v>
      </c>
      <c r="V424" s="73">
        <v>1</v>
      </c>
      <c r="W424" s="73">
        <v>1</v>
      </c>
      <c r="X424" s="6">
        <v>0</v>
      </c>
      <c r="Y424" s="6">
        <v>1</v>
      </c>
      <c r="Z424" s="6">
        <v>0</v>
      </c>
      <c r="AA424" s="6">
        <v>0</v>
      </c>
    </row>
    <row r="425" spans="1:27" outlineLevel="2">
      <c r="B425" s="16">
        <v>7</v>
      </c>
      <c r="C425" s="72">
        <v>251.01321729027342</v>
      </c>
      <c r="D425" s="72">
        <v>150.2945365740716</v>
      </c>
      <c r="E425" s="72">
        <v>86.888279992290435</v>
      </c>
      <c r="F425" s="71">
        <v>75.550837282399684</v>
      </c>
      <c r="G425" s="70">
        <v>0.72664455529797767</v>
      </c>
      <c r="H425" s="71">
        <v>13.124143350752684</v>
      </c>
      <c r="I425" s="72">
        <v>64.354046079966366</v>
      </c>
      <c r="M425" s="72">
        <v>0</v>
      </c>
      <c r="N425" s="73">
        <v>1</v>
      </c>
      <c r="O425" s="73">
        <v>0</v>
      </c>
      <c r="P425" s="73">
        <v>0</v>
      </c>
      <c r="Q425" s="73">
        <v>0</v>
      </c>
      <c r="R425" s="73">
        <v>1</v>
      </c>
      <c r="S425" s="73">
        <v>0</v>
      </c>
      <c r="T425" s="69"/>
      <c r="U425" s="72">
        <v>0</v>
      </c>
      <c r="V425" s="73">
        <v>1</v>
      </c>
      <c r="W425" s="73">
        <v>0</v>
      </c>
      <c r="X425" s="6">
        <v>0</v>
      </c>
      <c r="Y425" s="6">
        <v>0</v>
      </c>
      <c r="Z425" s="6">
        <v>1</v>
      </c>
      <c r="AA425" s="6">
        <v>0</v>
      </c>
    </row>
    <row r="426" spans="1:27" outlineLevel="2">
      <c r="B426" s="16">
        <v>8</v>
      </c>
      <c r="C426" s="72">
        <v>233.21189606191479</v>
      </c>
      <c r="D426" s="72">
        <v>144.55325284966796</v>
      </c>
      <c r="E426" s="72">
        <v>85.540957115263396</v>
      </c>
      <c r="F426" s="71">
        <v>73.80414357283199</v>
      </c>
      <c r="G426" s="70">
        <v>0.7631998053372574</v>
      </c>
      <c r="H426" s="71">
        <v>13.581195590802825</v>
      </c>
      <c r="I426" s="72">
        <v>108.17519966791183</v>
      </c>
      <c r="M426" s="72">
        <v>1</v>
      </c>
      <c r="N426" s="73">
        <v>1</v>
      </c>
      <c r="O426" s="73">
        <v>0</v>
      </c>
      <c r="P426" s="73">
        <v>1</v>
      </c>
      <c r="Q426" s="73">
        <v>1</v>
      </c>
      <c r="R426" s="73">
        <v>0</v>
      </c>
      <c r="S426" s="73">
        <v>1</v>
      </c>
      <c r="T426" s="69"/>
      <c r="U426" s="72">
        <v>1</v>
      </c>
      <c r="V426" s="73">
        <v>1</v>
      </c>
      <c r="W426" s="73">
        <v>0</v>
      </c>
      <c r="X426" s="6">
        <v>1</v>
      </c>
      <c r="Y426" s="6">
        <v>1</v>
      </c>
      <c r="Z426" s="6">
        <v>0</v>
      </c>
      <c r="AA426" s="6">
        <v>1</v>
      </c>
    </row>
    <row r="427" spans="1:27" outlineLevel="2">
      <c r="B427" s="16">
        <v>9</v>
      </c>
      <c r="C427" s="72">
        <v>311.65639883181854</v>
      </c>
      <c r="D427" s="72">
        <v>148.48438905046515</v>
      </c>
      <c r="E427" s="72">
        <v>88.020320592807991</v>
      </c>
      <c r="F427" s="71">
        <v>76.936436650059505</v>
      </c>
      <c r="G427" s="70">
        <v>0.6835003300197785</v>
      </c>
      <c r="H427" s="71">
        <v>14.215069148517996</v>
      </c>
      <c r="I427" s="72">
        <v>68.209767155999259</v>
      </c>
      <c r="M427" s="72">
        <v>0</v>
      </c>
      <c r="N427" s="73">
        <v>1</v>
      </c>
      <c r="O427" s="73">
        <v>0</v>
      </c>
      <c r="P427" s="73">
        <v>1</v>
      </c>
      <c r="Q427" s="73">
        <v>1</v>
      </c>
      <c r="R427" s="73">
        <v>1</v>
      </c>
      <c r="S427" s="73">
        <v>0</v>
      </c>
      <c r="T427" s="69"/>
      <c r="U427" s="72">
        <v>0</v>
      </c>
      <c r="V427" s="73">
        <v>1</v>
      </c>
      <c r="W427" s="73">
        <v>0</v>
      </c>
      <c r="X427" s="6">
        <v>1</v>
      </c>
      <c r="Y427" s="6">
        <v>1</v>
      </c>
      <c r="Z427" s="6">
        <v>1</v>
      </c>
      <c r="AA427" s="6">
        <v>0</v>
      </c>
    </row>
    <row r="428" spans="1:27" outlineLevel="2">
      <c r="B428" s="16">
        <v>10</v>
      </c>
      <c r="C428" s="72">
        <v>208.63001752298692</v>
      </c>
      <c r="D428" s="72">
        <v>148.2169590328684</v>
      </c>
      <c r="E428" s="72">
        <v>92.064754354087569</v>
      </c>
      <c r="F428" s="71">
        <v>76.005595721051407</v>
      </c>
      <c r="G428" s="70">
        <v>0.73769156211905695</v>
      </c>
      <c r="H428" s="71">
        <v>13.714044379541743</v>
      </c>
      <c r="I428" s="72">
        <v>81.347353850303946</v>
      </c>
      <c r="M428" s="72">
        <v>1</v>
      </c>
      <c r="N428" s="73">
        <v>1</v>
      </c>
      <c r="O428" s="73">
        <v>0</v>
      </c>
      <c r="P428" s="73">
        <v>0</v>
      </c>
      <c r="Q428" s="73">
        <v>0</v>
      </c>
      <c r="R428" s="73">
        <v>0</v>
      </c>
      <c r="S428" s="73">
        <v>0</v>
      </c>
      <c r="T428" s="69"/>
      <c r="U428" s="72">
        <v>1</v>
      </c>
      <c r="V428" s="73">
        <v>1</v>
      </c>
      <c r="W428" s="73">
        <v>0</v>
      </c>
      <c r="X428" s="6">
        <v>0</v>
      </c>
      <c r="Y428" s="6">
        <v>0</v>
      </c>
      <c r="Z428" s="6">
        <v>0</v>
      </c>
      <c r="AA428" s="6">
        <v>0</v>
      </c>
    </row>
    <row r="429" spans="1:27" outlineLevel="1"/>
    <row r="430" spans="1:27" outlineLevel="1">
      <c r="A430" s="77" t="s">
        <v>610</v>
      </c>
    </row>
    <row r="431" spans="1:27" hidden="1" outlineLevel="2">
      <c r="A431" s="143" t="s">
        <v>561</v>
      </c>
    </row>
    <row r="432" spans="1:27" ht="15" hidden="1" customHeight="1" outlineLevel="2">
      <c r="A432" s="144" t="s">
        <v>570</v>
      </c>
      <c r="B432" s="144"/>
      <c r="C432" s="144"/>
      <c r="D432" s="144"/>
      <c r="E432" s="144"/>
      <c r="F432" s="144"/>
      <c r="G432" s="144"/>
      <c r="H432" s="144"/>
      <c r="I432" s="144"/>
      <c r="J432" s="144"/>
      <c r="K432" s="144"/>
    </row>
    <row r="433" spans="1:11" ht="15" hidden="1" customHeight="1" outlineLevel="2">
      <c r="A433" s="142" t="s">
        <v>571</v>
      </c>
      <c r="B433" s="142"/>
      <c r="C433" s="142"/>
      <c r="D433" s="142"/>
      <c r="E433" s="142"/>
      <c r="F433" s="142"/>
      <c r="G433" s="142"/>
      <c r="H433" s="142"/>
      <c r="I433" s="142"/>
      <c r="J433" s="142"/>
      <c r="K433" s="142"/>
    </row>
    <row r="434" spans="1:11" ht="15" hidden="1" customHeight="1" outlineLevel="2">
      <c r="A434" s="142" t="s">
        <v>572</v>
      </c>
      <c r="B434" s="142"/>
      <c r="C434" s="142"/>
      <c r="D434" s="142"/>
      <c r="E434" s="142"/>
      <c r="F434" s="142"/>
      <c r="G434" s="142"/>
      <c r="H434" s="142"/>
      <c r="I434" s="142"/>
      <c r="J434" s="142"/>
      <c r="K434" s="142"/>
    </row>
    <row r="435" spans="1:11" ht="15" hidden="1" customHeight="1" outlineLevel="2">
      <c r="A435" s="142" t="s">
        <v>573</v>
      </c>
      <c r="B435" s="142"/>
      <c r="C435" s="142"/>
      <c r="D435" s="142"/>
      <c r="E435" s="142"/>
      <c r="F435" s="142"/>
      <c r="G435" s="142"/>
      <c r="H435" s="142"/>
      <c r="I435" s="142"/>
      <c r="J435" s="142"/>
      <c r="K435" s="142"/>
    </row>
    <row r="436" spans="1:11" ht="15" hidden="1" customHeight="1" outlineLevel="2">
      <c r="A436" s="142" t="s">
        <v>574</v>
      </c>
      <c r="B436" s="142"/>
      <c r="C436" s="142"/>
      <c r="D436" s="142"/>
      <c r="E436" s="142"/>
      <c r="F436" s="142"/>
      <c r="G436" s="142"/>
      <c r="H436" s="142"/>
      <c r="I436" s="142"/>
      <c r="J436" s="142"/>
      <c r="K436" s="142"/>
    </row>
    <row r="437" spans="1:11" ht="15" hidden="1" customHeight="1" outlineLevel="2">
      <c r="A437" s="142" t="s">
        <v>553</v>
      </c>
      <c r="B437" s="142"/>
      <c r="C437" s="142"/>
      <c r="D437" s="142"/>
      <c r="E437" s="142"/>
      <c r="F437" s="142"/>
      <c r="G437" s="142"/>
      <c r="H437" s="142"/>
      <c r="I437" s="142"/>
      <c r="J437" s="142"/>
      <c r="K437" s="142"/>
    </row>
    <row r="438" spans="1:11" ht="15" hidden="1" customHeight="1" outlineLevel="2">
      <c r="A438" s="142" t="s">
        <v>151</v>
      </c>
      <c r="B438" s="142"/>
      <c r="C438" s="142"/>
      <c r="D438" s="142"/>
      <c r="E438" s="142"/>
      <c r="F438" s="142"/>
      <c r="G438" s="142"/>
      <c r="H438" s="142"/>
      <c r="I438" s="142"/>
      <c r="J438" s="142"/>
      <c r="K438" s="142"/>
    </row>
    <row r="439" spans="1:11" hidden="1" outlineLevel="2"/>
    <row r="440" spans="1:11" hidden="1" outlineLevel="2">
      <c r="A440" s="143" t="s">
        <v>575</v>
      </c>
    </row>
    <row r="441" spans="1:11" ht="15" hidden="1" customHeight="1" outlineLevel="2">
      <c r="A441" s="144" t="s">
        <v>562</v>
      </c>
      <c r="B441" s="144"/>
      <c r="C441" s="144"/>
      <c r="D441" s="144"/>
      <c r="E441" s="144"/>
      <c r="F441" s="144"/>
      <c r="G441" s="144"/>
      <c r="H441" s="144"/>
      <c r="I441" s="144"/>
      <c r="J441" s="144"/>
      <c r="K441" s="144"/>
    </row>
    <row r="442" spans="1:11" ht="15" hidden="1" customHeight="1" outlineLevel="2">
      <c r="A442" s="142" t="s">
        <v>527</v>
      </c>
      <c r="B442" s="142"/>
      <c r="C442" s="142"/>
      <c r="D442" s="142"/>
      <c r="E442" s="142"/>
      <c r="F442" s="142"/>
      <c r="G442" s="142"/>
      <c r="H442" s="142"/>
      <c r="I442" s="142"/>
      <c r="J442" s="142"/>
      <c r="K442" s="142"/>
    </row>
    <row r="443" spans="1:11" ht="15" hidden="1" customHeight="1" outlineLevel="2">
      <c r="A443" s="142" t="s">
        <v>563</v>
      </c>
      <c r="B443" s="142"/>
      <c r="C443" s="142"/>
      <c r="D443" s="142"/>
      <c r="E443" s="142"/>
      <c r="F443" s="142"/>
      <c r="G443" s="142"/>
      <c r="H443" s="142"/>
      <c r="I443" s="142"/>
      <c r="J443" s="142"/>
      <c r="K443" s="142"/>
    </row>
    <row r="444" spans="1:11" ht="15" hidden="1" customHeight="1" outlineLevel="2">
      <c r="A444" s="142" t="s">
        <v>528</v>
      </c>
      <c r="B444" s="142"/>
      <c r="C444" s="142"/>
      <c r="D444" s="142"/>
      <c r="E444" s="142"/>
      <c r="F444" s="142"/>
      <c r="G444" s="142"/>
      <c r="H444" s="142"/>
      <c r="I444" s="142"/>
      <c r="J444" s="142"/>
      <c r="K444" s="142"/>
    </row>
    <row r="445" spans="1:11" ht="15" hidden="1" customHeight="1" outlineLevel="2">
      <c r="A445" s="142" t="s">
        <v>529</v>
      </c>
      <c r="B445" s="142"/>
      <c r="C445" s="142"/>
      <c r="D445" s="142"/>
      <c r="E445" s="142"/>
      <c r="F445" s="142"/>
      <c r="G445" s="142"/>
      <c r="H445" s="142"/>
      <c r="I445" s="142"/>
      <c r="J445" s="142"/>
      <c r="K445" s="142"/>
    </row>
    <row r="446" spans="1:11" ht="15" hidden="1" customHeight="1" outlineLevel="2">
      <c r="A446" s="142" t="s">
        <v>530</v>
      </c>
      <c r="B446" s="142"/>
      <c r="C446" s="142"/>
      <c r="D446" s="142"/>
      <c r="E446" s="142"/>
      <c r="F446" s="142"/>
      <c r="G446" s="142"/>
      <c r="H446" s="142"/>
      <c r="I446" s="142"/>
      <c r="J446" s="142"/>
      <c r="K446" s="142"/>
    </row>
    <row r="447" spans="1:11" ht="15" hidden="1" customHeight="1" outlineLevel="2">
      <c r="A447" s="142" t="s">
        <v>531</v>
      </c>
      <c r="B447" s="142"/>
      <c r="C447" s="142"/>
      <c r="D447" s="142"/>
      <c r="E447" s="142"/>
      <c r="F447" s="142"/>
      <c r="G447" s="142"/>
      <c r="H447" s="142"/>
      <c r="I447" s="142"/>
      <c r="J447" s="142"/>
      <c r="K447" s="142"/>
    </row>
    <row r="448" spans="1:11" ht="15" hidden="1" customHeight="1" outlineLevel="2">
      <c r="A448" s="142" t="s">
        <v>532</v>
      </c>
      <c r="B448" s="142"/>
      <c r="C448" s="142"/>
      <c r="D448" s="142"/>
      <c r="E448" s="142"/>
      <c r="F448" s="142"/>
      <c r="G448" s="142"/>
      <c r="H448" s="142"/>
      <c r="I448" s="142"/>
      <c r="J448" s="142"/>
      <c r="K448" s="142"/>
    </row>
    <row r="449" spans="1:11" ht="15" hidden="1" customHeight="1" outlineLevel="2">
      <c r="A449" s="142" t="s">
        <v>564</v>
      </c>
      <c r="B449" s="142"/>
      <c r="C449" s="142"/>
      <c r="D449" s="142"/>
      <c r="E449" s="142"/>
      <c r="F449" s="142"/>
      <c r="G449" s="142"/>
      <c r="H449" s="142"/>
      <c r="I449" s="142"/>
      <c r="J449" s="142"/>
      <c r="K449" s="142"/>
    </row>
    <row r="450" spans="1:11" ht="15" hidden="1" customHeight="1" outlineLevel="2">
      <c r="A450" s="142" t="s">
        <v>565</v>
      </c>
      <c r="B450" s="142"/>
      <c r="C450" s="142"/>
      <c r="D450" s="142"/>
      <c r="E450" s="142"/>
      <c r="F450" s="142"/>
      <c r="G450" s="142"/>
      <c r="H450" s="142"/>
      <c r="I450" s="142"/>
      <c r="J450" s="142"/>
      <c r="K450" s="142"/>
    </row>
    <row r="451" spans="1:11" ht="15" hidden="1" customHeight="1" outlineLevel="2">
      <c r="A451" s="142" t="s">
        <v>566</v>
      </c>
      <c r="B451" s="142"/>
      <c r="C451" s="142"/>
      <c r="D451" s="142"/>
      <c r="E451" s="142"/>
      <c r="F451" s="142"/>
      <c r="G451" s="142"/>
      <c r="H451" s="142"/>
      <c r="I451" s="142"/>
      <c r="J451" s="142"/>
      <c r="K451" s="142"/>
    </row>
    <row r="452" spans="1:11" ht="15" hidden="1" customHeight="1" outlineLevel="2">
      <c r="A452" s="142" t="s">
        <v>567</v>
      </c>
      <c r="B452" s="142"/>
      <c r="C452" s="142"/>
      <c r="D452" s="142"/>
      <c r="E452" s="142"/>
      <c r="F452" s="142"/>
      <c r="G452" s="142"/>
      <c r="H452" s="142"/>
      <c r="I452" s="142"/>
      <c r="J452" s="142"/>
      <c r="K452" s="142"/>
    </row>
    <row r="453" spans="1:11" ht="15" hidden="1" customHeight="1" outlineLevel="2">
      <c r="A453" s="142" t="s">
        <v>568</v>
      </c>
      <c r="B453" s="142"/>
      <c r="C453" s="142"/>
      <c r="D453" s="142"/>
      <c r="E453" s="142"/>
      <c r="F453" s="142"/>
      <c r="G453" s="142"/>
      <c r="H453" s="142"/>
      <c r="I453" s="142"/>
      <c r="J453" s="142"/>
      <c r="K453" s="142"/>
    </row>
    <row r="454" spans="1:11" ht="15" hidden="1" customHeight="1" outlineLevel="2">
      <c r="A454" s="142" t="s">
        <v>569</v>
      </c>
      <c r="B454" s="142"/>
      <c r="C454" s="142"/>
      <c r="D454" s="142"/>
      <c r="E454" s="142"/>
      <c r="F454" s="142"/>
      <c r="G454" s="142"/>
      <c r="H454" s="142"/>
      <c r="I454" s="142"/>
      <c r="J454" s="142"/>
      <c r="K454" s="142"/>
    </row>
    <row r="455" spans="1:11" ht="15" hidden="1" customHeight="1" outlineLevel="2">
      <c r="A455" s="142" t="s">
        <v>445</v>
      </c>
      <c r="B455" s="142"/>
      <c r="C455" s="142"/>
      <c r="D455" s="142"/>
      <c r="E455" s="142"/>
      <c r="F455" s="142"/>
      <c r="G455" s="142"/>
      <c r="H455" s="142"/>
      <c r="I455" s="142"/>
      <c r="J455" s="142"/>
      <c r="K455" s="142"/>
    </row>
    <row r="456" spans="1:11" ht="15" hidden="1" customHeight="1" outlineLevel="2">
      <c r="A456" s="142" t="s">
        <v>446</v>
      </c>
      <c r="B456" s="142"/>
      <c r="C456" s="142"/>
      <c r="D456" s="142"/>
      <c r="E456" s="142"/>
      <c r="F456" s="142"/>
      <c r="G456" s="142"/>
      <c r="H456" s="142"/>
      <c r="I456" s="142"/>
      <c r="J456" s="142"/>
      <c r="K456" s="142"/>
    </row>
    <row r="457" spans="1:11" ht="15" hidden="1" customHeight="1" outlineLevel="2">
      <c r="A457" s="142" t="s">
        <v>396</v>
      </c>
      <c r="B457" s="142"/>
      <c r="C457" s="142"/>
      <c r="D457" s="142"/>
      <c r="E457" s="142"/>
      <c r="F457" s="142"/>
      <c r="G457" s="142"/>
      <c r="H457" s="142"/>
      <c r="I457" s="142"/>
      <c r="J457" s="142"/>
      <c r="K457" s="142"/>
    </row>
    <row r="458" spans="1:11" ht="15" hidden="1" customHeight="1" outlineLevel="2">
      <c r="A458" s="142" t="s">
        <v>397</v>
      </c>
      <c r="B458" s="142"/>
      <c r="C458" s="142"/>
      <c r="D458" s="142"/>
      <c r="E458" s="142"/>
      <c r="F458" s="142"/>
      <c r="G458" s="142"/>
      <c r="H458" s="142"/>
      <c r="I458" s="142"/>
      <c r="J458" s="142"/>
      <c r="K458" s="142"/>
    </row>
    <row r="459" spans="1:11" ht="15" hidden="1" customHeight="1" outlineLevel="2">
      <c r="A459" s="142" t="s">
        <v>533</v>
      </c>
      <c r="B459" s="142"/>
      <c r="C459" s="142"/>
      <c r="D459" s="142"/>
      <c r="E459" s="142"/>
      <c r="F459" s="142"/>
      <c r="G459" s="142"/>
      <c r="H459" s="142"/>
      <c r="I459" s="142"/>
      <c r="J459" s="142"/>
      <c r="K459" s="142"/>
    </row>
    <row r="460" spans="1:11" ht="15" hidden="1" customHeight="1" outlineLevel="2">
      <c r="A460" s="142" t="s">
        <v>534</v>
      </c>
      <c r="B460" s="142"/>
      <c r="C460" s="142"/>
      <c r="D460" s="142"/>
      <c r="E460" s="142"/>
      <c r="F460" s="142"/>
      <c r="G460" s="142"/>
      <c r="H460" s="142"/>
      <c r="I460" s="142"/>
      <c r="J460" s="142"/>
      <c r="K460" s="142"/>
    </row>
    <row r="461" spans="1:11" ht="15" hidden="1" customHeight="1" outlineLevel="2">
      <c r="A461" s="142" t="s">
        <v>535</v>
      </c>
      <c r="B461" s="142"/>
      <c r="C461" s="142"/>
      <c r="D461" s="142"/>
      <c r="E461" s="142"/>
      <c r="F461" s="142"/>
      <c r="G461" s="142"/>
      <c r="H461" s="142"/>
      <c r="I461" s="142"/>
      <c r="J461" s="142"/>
      <c r="K461" s="142"/>
    </row>
    <row r="462" spans="1:11" ht="15" hidden="1" customHeight="1" outlineLevel="2">
      <c r="A462" s="142" t="s">
        <v>536</v>
      </c>
      <c r="B462" s="142"/>
      <c r="C462" s="142"/>
      <c r="D462" s="142"/>
      <c r="E462" s="142"/>
      <c r="F462" s="142"/>
      <c r="G462" s="142"/>
      <c r="H462" s="142"/>
      <c r="I462" s="142"/>
      <c r="J462" s="142"/>
      <c r="K462" s="142"/>
    </row>
    <row r="463" spans="1:11" ht="15" hidden="1" customHeight="1" outlineLevel="2">
      <c r="A463" s="142" t="s">
        <v>537</v>
      </c>
      <c r="B463" s="142"/>
      <c r="C463" s="142"/>
      <c r="D463" s="142"/>
      <c r="E463" s="142"/>
      <c r="F463" s="142"/>
      <c r="G463" s="142"/>
      <c r="H463" s="142"/>
      <c r="I463" s="142"/>
      <c r="J463" s="142"/>
      <c r="K463" s="142"/>
    </row>
    <row r="464" spans="1:11" ht="15" hidden="1" customHeight="1" outlineLevel="2">
      <c r="A464" s="142" t="s">
        <v>538</v>
      </c>
      <c r="B464" s="142"/>
      <c r="C464" s="142"/>
      <c r="D464" s="142"/>
      <c r="E464" s="142"/>
      <c r="F464" s="142"/>
      <c r="G464" s="142"/>
      <c r="H464" s="142"/>
      <c r="I464" s="142"/>
      <c r="J464" s="142"/>
      <c r="K464" s="142"/>
    </row>
    <row r="465" spans="1:11" ht="15" hidden="1" customHeight="1" outlineLevel="2">
      <c r="A465" s="142" t="s">
        <v>539</v>
      </c>
      <c r="B465" s="142"/>
      <c r="C465" s="142"/>
      <c r="D465" s="142"/>
      <c r="E465" s="142"/>
      <c r="F465" s="142"/>
      <c r="G465" s="142"/>
      <c r="H465" s="142"/>
      <c r="I465" s="142"/>
      <c r="J465" s="142"/>
      <c r="K465" s="142"/>
    </row>
    <row r="466" spans="1:11" ht="15" hidden="1" customHeight="1" outlineLevel="2">
      <c r="A466" s="142" t="s">
        <v>397</v>
      </c>
      <c r="B466" s="142"/>
      <c r="C466" s="142"/>
      <c r="D466" s="142"/>
      <c r="E466" s="142"/>
      <c r="F466" s="142"/>
      <c r="G466" s="142"/>
      <c r="H466" s="142"/>
      <c r="I466" s="142"/>
      <c r="J466" s="142"/>
      <c r="K466" s="142"/>
    </row>
    <row r="467" spans="1:11" ht="15" hidden="1" customHeight="1" outlineLevel="2">
      <c r="A467" s="142" t="s">
        <v>540</v>
      </c>
      <c r="B467" s="142"/>
      <c r="C467" s="142"/>
      <c r="D467" s="142"/>
      <c r="E467" s="142"/>
      <c r="F467" s="142"/>
      <c r="G467" s="142"/>
      <c r="H467" s="142"/>
      <c r="I467" s="142"/>
      <c r="J467" s="142"/>
      <c r="K467" s="142"/>
    </row>
    <row r="468" spans="1:11" ht="15" hidden="1" customHeight="1" outlineLevel="2">
      <c r="A468" s="142" t="s">
        <v>541</v>
      </c>
      <c r="B468" s="142"/>
      <c r="C468" s="142"/>
      <c r="D468" s="142"/>
      <c r="E468" s="142"/>
      <c r="F468" s="142"/>
      <c r="G468" s="142"/>
      <c r="H468" s="142"/>
      <c r="I468" s="142"/>
      <c r="J468" s="142"/>
      <c r="K468" s="142"/>
    </row>
    <row r="469" spans="1:11" ht="15" hidden="1" customHeight="1" outlineLevel="2">
      <c r="A469" s="142" t="s">
        <v>542</v>
      </c>
      <c r="B469" s="142"/>
      <c r="C469" s="142"/>
      <c r="D469" s="142"/>
      <c r="E469" s="142"/>
      <c r="F469" s="142"/>
      <c r="G469" s="142"/>
      <c r="H469" s="142"/>
      <c r="I469" s="142"/>
      <c r="J469" s="142"/>
      <c r="K469" s="142"/>
    </row>
    <row r="470" spans="1:11" ht="15" hidden="1" customHeight="1" outlineLevel="2">
      <c r="A470" s="142" t="s">
        <v>543</v>
      </c>
      <c r="B470" s="142"/>
      <c r="C470" s="142"/>
      <c r="D470" s="142"/>
      <c r="E470" s="142"/>
      <c r="F470" s="142"/>
      <c r="G470" s="142"/>
      <c r="H470" s="142"/>
      <c r="I470" s="142"/>
      <c r="J470" s="142"/>
      <c r="K470" s="142"/>
    </row>
    <row r="471" spans="1:11" ht="15" hidden="1" customHeight="1" outlineLevel="2">
      <c r="A471" s="142" t="s">
        <v>544</v>
      </c>
      <c r="B471" s="142"/>
      <c r="C471" s="142"/>
      <c r="D471" s="142"/>
      <c r="E471" s="142"/>
      <c r="F471" s="142"/>
      <c r="G471" s="142"/>
      <c r="H471" s="142"/>
      <c r="I471" s="142"/>
      <c r="J471" s="142"/>
      <c r="K471" s="142"/>
    </row>
    <row r="472" spans="1:11" ht="15" hidden="1" customHeight="1" outlineLevel="2">
      <c r="A472" s="142" t="s">
        <v>545</v>
      </c>
      <c r="B472" s="142"/>
      <c r="C472" s="142"/>
      <c r="D472" s="142"/>
      <c r="E472" s="142"/>
      <c r="F472" s="142"/>
      <c r="G472" s="142"/>
      <c r="H472" s="142"/>
      <c r="I472" s="142"/>
      <c r="J472" s="142"/>
      <c r="K472" s="142"/>
    </row>
    <row r="473" spans="1:11" ht="15" hidden="1" customHeight="1" outlineLevel="2">
      <c r="A473" s="142" t="s">
        <v>546</v>
      </c>
      <c r="B473" s="142"/>
      <c r="C473" s="142"/>
      <c r="D473" s="142"/>
      <c r="E473" s="142"/>
      <c r="F473" s="142"/>
      <c r="G473" s="142"/>
      <c r="H473" s="142"/>
      <c r="I473" s="142"/>
      <c r="J473" s="142"/>
      <c r="K473" s="142"/>
    </row>
    <row r="474" spans="1:11" ht="15" hidden="1" customHeight="1" outlineLevel="2">
      <c r="A474" s="142" t="s">
        <v>547</v>
      </c>
      <c r="B474" s="142"/>
      <c r="C474" s="142"/>
      <c r="D474" s="142"/>
      <c r="E474" s="142"/>
      <c r="F474" s="142"/>
      <c r="G474" s="142"/>
      <c r="H474" s="142"/>
      <c r="I474" s="142"/>
      <c r="J474" s="142"/>
      <c r="K474" s="142"/>
    </row>
    <row r="475" spans="1:11" ht="15" hidden="1" customHeight="1" outlineLevel="2">
      <c r="A475" s="142" t="s">
        <v>548</v>
      </c>
      <c r="B475" s="142"/>
      <c r="C475" s="142"/>
      <c r="D475" s="142"/>
      <c r="E475" s="142"/>
      <c r="F475" s="142"/>
      <c r="G475" s="142"/>
      <c r="H475" s="142"/>
      <c r="I475" s="142"/>
      <c r="J475" s="142"/>
      <c r="K475" s="142"/>
    </row>
    <row r="476" spans="1:11" ht="15" hidden="1" customHeight="1" outlineLevel="2">
      <c r="A476" s="142" t="s">
        <v>549</v>
      </c>
      <c r="B476" s="142"/>
      <c r="C476" s="142"/>
      <c r="D476" s="142"/>
      <c r="E476" s="142"/>
      <c r="F476" s="142"/>
      <c r="G476" s="142"/>
      <c r="H476" s="142"/>
      <c r="I476" s="142"/>
      <c r="J476" s="142"/>
      <c r="K476" s="142"/>
    </row>
    <row r="477" spans="1:11" ht="15" hidden="1" customHeight="1" outlineLevel="2">
      <c r="A477" s="142" t="s">
        <v>550</v>
      </c>
      <c r="B477" s="142"/>
      <c r="C477" s="142"/>
      <c r="D477" s="142"/>
      <c r="E477" s="142"/>
      <c r="F477" s="142"/>
      <c r="G477" s="142"/>
      <c r="H477" s="142"/>
      <c r="I477" s="142"/>
      <c r="J477" s="142"/>
      <c r="K477" s="142"/>
    </row>
    <row r="478" spans="1:11" ht="15" hidden="1" customHeight="1" outlineLevel="2">
      <c r="A478" s="142" t="s">
        <v>551</v>
      </c>
      <c r="B478" s="142"/>
      <c r="C478" s="142"/>
      <c r="D478" s="142"/>
      <c r="E478" s="142"/>
      <c r="F478" s="142"/>
      <c r="G478" s="142"/>
      <c r="H478" s="142"/>
      <c r="I478" s="142"/>
      <c r="J478" s="142"/>
      <c r="K478" s="142"/>
    </row>
    <row r="479" spans="1:11" ht="15" hidden="1" customHeight="1" outlineLevel="2">
      <c r="A479" s="142" t="s">
        <v>552</v>
      </c>
      <c r="B479" s="142"/>
      <c r="C479" s="142"/>
      <c r="D479" s="142"/>
      <c r="E479" s="142"/>
      <c r="F479" s="142"/>
      <c r="G479" s="142"/>
      <c r="H479" s="142"/>
      <c r="I479" s="142"/>
      <c r="J479" s="142"/>
      <c r="K479" s="142"/>
    </row>
    <row r="480" spans="1:11" ht="15" hidden="1" customHeight="1" outlineLevel="2">
      <c r="A480" s="142" t="s">
        <v>397</v>
      </c>
      <c r="B480" s="142"/>
      <c r="C480" s="142"/>
      <c r="D480" s="142"/>
      <c r="E480" s="142"/>
      <c r="F480" s="142"/>
      <c r="G480" s="142"/>
      <c r="H480" s="142"/>
      <c r="I480" s="142"/>
      <c r="J480" s="142"/>
      <c r="K480" s="142"/>
    </row>
    <row r="481" spans="1:11" ht="15" hidden="1" customHeight="1" outlineLevel="2">
      <c r="A481" s="142" t="s">
        <v>553</v>
      </c>
      <c r="B481" s="142"/>
      <c r="C481" s="142"/>
      <c r="D481" s="142"/>
      <c r="E481" s="142"/>
      <c r="F481" s="142"/>
      <c r="G481" s="142"/>
      <c r="H481" s="142"/>
      <c r="I481" s="142"/>
      <c r="J481" s="142"/>
      <c r="K481" s="142"/>
    </row>
    <row r="482" spans="1:11" ht="15" hidden="1" customHeight="1" outlineLevel="2">
      <c r="A482" s="142" t="s">
        <v>151</v>
      </c>
      <c r="B482" s="142"/>
      <c r="C482" s="142"/>
      <c r="D482" s="142"/>
      <c r="E482" s="142"/>
      <c r="F482" s="142"/>
      <c r="G482" s="142"/>
      <c r="H482" s="142"/>
      <c r="I482" s="142"/>
      <c r="J482" s="142"/>
      <c r="K482" s="142"/>
    </row>
    <row r="483" spans="1:11" hidden="1" outlineLevel="2"/>
    <row r="484" spans="1:11" hidden="1" outlineLevel="2">
      <c r="A484" s="143" t="s">
        <v>612</v>
      </c>
    </row>
    <row r="485" spans="1:11" ht="15" hidden="1" customHeight="1" outlineLevel="2">
      <c r="A485" s="142" t="s">
        <v>527</v>
      </c>
      <c r="B485" s="142"/>
      <c r="C485" s="142"/>
      <c r="D485" s="142"/>
      <c r="E485" s="142"/>
      <c r="F485" s="142"/>
      <c r="G485" s="142"/>
      <c r="H485" s="142"/>
      <c r="I485" s="142"/>
      <c r="J485" s="142"/>
      <c r="K485" s="142"/>
    </row>
    <row r="486" spans="1:11" ht="15" hidden="1" customHeight="1" outlineLevel="2">
      <c r="A486" s="142" t="s">
        <v>576</v>
      </c>
      <c r="B486" s="142"/>
      <c r="C486" s="142"/>
      <c r="D486" s="142"/>
      <c r="E486" s="142"/>
      <c r="F486" s="142"/>
      <c r="G486" s="142"/>
      <c r="H486" s="142"/>
      <c r="I486" s="142"/>
      <c r="J486" s="142"/>
      <c r="K486" s="142"/>
    </row>
    <row r="487" spans="1:11" ht="15" hidden="1" customHeight="1" outlineLevel="2">
      <c r="A487" s="142" t="s">
        <v>577</v>
      </c>
      <c r="B487" s="142"/>
      <c r="C487" s="142"/>
      <c r="D487" s="142"/>
      <c r="E487" s="142"/>
      <c r="F487" s="142"/>
      <c r="G487" s="142"/>
      <c r="H487" s="142"/>
      <c r="I487" s="142"/>
      <c r="J487" s="142"/>
      <c r="K487" s="142"/>
    </row>
    <row r="488" spans="1:11" ht="15" hidden="1" customHeight="1" outlineLevel="2">
      <c r="A488" s="142" t="s">
        <v>578</v>
      </c>
      <c r="B488" s="142"/>
      <c r="C488" s="142"/>
      <c r="D488" s="142"/>
      <c r="E488" s="142"/>
      <c r="F488" s="142"/>
      <c r="G488" s="142"/>
      <c r="H488" s="142"/>
      <c r="I488" s="142"/>
      <c r="J488" s="142"/>
      <c r="K488" s="142"/>
    </row>
    <row r="489" spans="1:11" ht="15" hidden="1" customHeight="1" outlineLevel="2">
      <c r="A489" s="142" t="s">
        <v>579</v>
      </c>
      <c r="B489" s="142"/>
      <c r="C489" s="142"/>
      <c r="D489" s="142"/>
      <c r="E489" s="142"/>
      <c r="F489" s="142"/>
      <c r="G489" s="142"/>
      <c r="H489" s="142"/>
      <c r="I489" s="142"/>
      <c r="J489" s="142"/>
      <c r="K489" s="142"/>
    </row>
    <row r="490" spans="1:11" ht="15" hidden="1" customHeight="1" outlineLevel="2">
      <c r="A490" s="142" t="s">
        <v>580</v>
      </c>
      <c r="B490" s="142"/>
      <c r="C490" s="142"/>
      <c r="D490" s="142"/>
      <c r="E490" s="142"/>
      <c r="F490" s="142"/>
      <c r="G490" s="142"/>
      <c r="H490" s="142"/>
      <c r="I490" s="142"/>
      <c r="J490" s="142"/>
      <c r="K490" s="142"/>
    </row>
    <row r="491" spans="1:11" ht="15" hidden="1" customHeight="1" outlineLevel="2">
      <c r="A491" s="142" t="s">
        <v>581</v>
      </c>
      <c r="B491" s="142"/>
      <c r="C491" s="142"/>
      <c r="D491" s="142"/>
      <c r="E491" s="142"/>
      <c r="F491" s="142"/>
      <c r="G491" s="142"/>
      <c r="H491" s="142"/>
      <c r="I491" s="142"/>
      <c r="J491" s="142"/>
      <c r="K491" s="142"/>
    </row>
    <row r="492" spans="1:11" ht="15" hidden="1" customHeight="1" outlineLevel="2">
      <c r="A492" s="142" t="s">
        <v>582</v>
      </c>
      <c r="B492" s="142"/>
      <c r="C492" s="142"/>
      <c r="D492" s="142"/>
      <c r="E492" s="142"/>
      <c r="F492" s="142"/>
      <c r="G492" s="142"/>
      <c r="H492" s="142"/>
      <c r="I492" s="142"/>
      <c r="J492" s="142"/>
      <c r="K492" s="142"/>
    </row>
    <row r="493" spans="1:11" ht="15" hidden="1" customHeight="1" outlineLevel="2">
      <c r="A493" s="142" t="s">
        <v>583</v>
      </c>
      <c r="B493" s="142"/>
      <c r="C493" s="142"/>
      <c r="D493" s="142"/>
      <c r="E493" s="142"/>
      <c r="F493" s="142"/>
      <c r="G493" s="142"/>
      <c r="H493" s="142"/>
      <c r="I493" s="142"/>
      <c r="J493" s="142"/>
      <c r="K493" s="142"/>
    </row>
    <row r="494" spans="1:11" ht="15" hidden="1" customHeight="1" outlineLevel="2">
      <c r="A494" s="142" t="s">
        <v>584</v>
      </c>
      <c r="B494" s="142"/>
      <c r="C494" s="142"/>
      <c r="D494" s="142"/>
      <c r="E494" s="142"/>
      <c r="F494" s="142"/>
      <c r="G494" s="142"/>
      <c r="H494" s="142"/>
      <c r="I494" s="142"/>
      <c r="J494" s="142"/>
      <c r="K494" s="142"/>
    </row>
    <row r="495" spans="1:11" ht="15" hidden="1" customHeight="1" outlineLevel="2">
      <c r="A495" s="142" t="s">
        <v>585</v>
      </c>
      <c r="B495" s="142"/>
      <c r="C495" s="142"/>
      <c r="D495" s="142"/>
      <c r="E495" s="142"/>
      <c r="F495" s="142"/>
      <c r="G495" s="142"/>
      <c r="H495" s="142"/>
      <c r="I495" s="142"/>
      <c r="J495" s="142"/>
      <c r="K495" s="142"/>
    </row>
    <row r="496" spans="1:11" ht="15" hidden="1" customHeight="1" outlineLevel="2">
      <c r="A496" s="142" t="s">
        <v>553</v>
      </c>
      <c r="B496" s="142"/>
      <c r="C496" s="142"/>
      <c r="D496" s="142"/>
      <c r="E496" s="142"/>
      <c r="F496" s="142"/>
      <c r="G496" s="142"/>
      <c r="H496" s="142"/>
      <c r="I496" s="142"/>
      <c r="J496" s="142"/>
      <c r="K496" s="142"/>
    </row>
    <row r="497" spans="1:11" ht="15" hidden="1" customHeight="1" outlineLevel="2">
      <c r="A497" s="142" t="s">
        <v>151</v>
      </c>
      <c r="B497" s="142"/>
      <c r="C497" s="142"/>
      <c r="D497" s="142"/>
      <c r="E497" s="142"/>
      <c r="F497" s="142"/>
      <c r="G497" s="142"/>
      <c r="H497" s="142"/>
      <c r="I497" s="142"/>
      <c r="J497" s="142"/>
      <c r="K497" s="142"/>
    </row>
    <row r="498" spans="1:11" outlineLevel="1" collapsed="1"/>
  </sheetData>
  <mergeCells count="255">
    <mergeCell ref="H114:I114"/>
    <mergeCell ref="H113:I113"/>
    <mergeCell ref="A495:K495"/>
    <mergeCell ref="A496:K496"/>
    <mergeCell ref="A497:K497"/>
    <mergeCell ref="D66:H66"/>
    <mergeCell ref="D67:H67"/>
    <mergeCell ref="D68:H68"/>
    <mergeCell ref="D69:H69"/>
    <mergeCell ref="D70:H70"/>
    <mergeCell ref="D71:H71"/>
    <mergeCell ref="D74:H74"/>
    <mergeCell ref="C75:I76"/>
    <mergeCell ref="A486:K486"/>
    <mergeCell ref="A487:K487"/>
    <mergeCell ref="A488:K488"/>
    <mergeCell ref="A489:K489"/>
    <mergeCell ref="A490:K490"/>
    <mergeCell ref="A491:K491"/>
    <mergeCell ref="A492:K492"/>
    <mergeCell ref="A493:K493"/>
    <mergeCell ref="A494:K494"/>
    <mergeCell ref="A476:K476"/>
    <mergeCell ref="A477:K477"/>
    <mergeCell ref="A478:K478"/>
    <mergeCell ref="A479:K479"/>
    <mergeCell ref="A480:K480"/>
    <mergeCell ref="A481:K481"/>
    <mergeCell ref="A482:K482"/>
    <mergeCell ref="A432:K432"/>
    <mergeCell ref="A485:K485"/>
    <mergeCell ref="A471:K471"/>
    <mergeCell ref="A472:K472"/>
    <mergeCell ref="A473:K473"/>
    <mergeCell ref="A474:K474"/>
    <mergeCell ref="A475:K475"/>
    <mergeCell ref="A469:K469"/>
    <mergeCell ref="A470:K470"/>
    <mergeCell ref="A460:K460"/>
    <mergeCell ref="A461:K461"/>
    <mergeCell ref="A462:K462"/>
    <mergeCell ref="A463:K463"/>
    <mergeCell ref="A464:K464"/>
    <mergeCell ref="A465:K465"/>
    <mergeCell ref="A466:K466"/>
    <mergeCell ref="A467:K467"/>
    <mergeCell ref="A468:K468"/>
    <mergeCell ref="A451:K451"/>
    <mergeCell ref="A452:K452"/>
    <mergeCell ref="A453:K453"/>
    <mergeCell ref="A454:K454"/>
    <mergeCell ref="A455:K455"/>
    <mergeCell ref="A456:K456"/>
    <mergeCell ref="A457:K457"/>
    <mergeCell ref="A458:K458"/>
    <mergeCell ref="A459:K459"/>
    <mergeCell ref="A442:K442"/>
    <mergeCell ref="A443:K443"/>
    <mergeCell ref="A444:K444"/>
    <mergeCell ref="A445:K445"/>
    <mergeCell ref="A446:K446"/>
    <mergeCell ref="A447:K447"/>
    <mergeCell ref="A448:K448"/>
    <mergeCell ref="A449:K449"/>
    <mergeCell ref="A450:K450"/>
    <mergeCell ref="A433:K433"/>
    <mergeCell ref="A434:K434"/>
    <mergeCell ref="A435:K435"/>
    <mergeCell ref="A436:K436"/>
    <mergeCell ref="A437:K437"/>
    <mergeCell ref="A438:K438"/>
    <mergeCell ref="A441:K441"/>
    <mergeCell ref="C408:I408"/>
    <mergeCell ref="C411:I411"/>
    <mergeCell ref="A391:J391"/>
    <mergeCell ref="A392:J392"/>
    <mergeCell ref="A393:J393"/>
    <mergeCell ref="A394:J394"/>
    <mergeCell ref="A395:J395"/>
    <mergeCell ref="A396:J396"/>
    <mergeCell ref="A397:J397"/>
    <mergeCell ref="A382:J382"/>
    <mergeCell ref="A383:J383"/>
    <mergeCell ref="A384:J384"/>
    <mergeCell ref="A385:J385"/>
    <mergeCell ref="A386:J386"/>
    <mergeCell ref="A387:J387"/>
    <mergeCell ref="A388:J388"/>
    <mergeCell ref="A389:J389"/>
    <mergeCell ref="A390:J390"/>
    <mergeCell ref="A373:J373"/>
    <mergeCell ref="A374:J374"/>
    <mergeCell ref="A375:J375"/>
    <mergeCell ref="A376:J376"/>
    <mergeCell ref="A377:J377"/>
    <mergeCell ref="A378:J378"/>
    <mergeCell ref="A379:J379"/>
    <mergeCell ref="A380:J380"/>
    <mergeCell ref="A381:J381"/>
    <mergeCell ref="A364:J364"/>
    <mergeCell ref="A365:J365"/>
    <mergeCell ref="A366:J366"/>
    <mergeCell ref="A367:J367"/>
    <mergeCell ref="A368:J368"/>
    <mergeCell ref="A369:J369"/>
    <mergeCell ref="A370:J370"/>
    <mergeCell ref="A371:J371"/>
    <mergeCell ref="A372:J372"/>
    <mergeCell ref="A354:J354"/>
    <mergeCell ref="A355:J355"/>
    <mergeCell ref="C289:I289"/>
    <mergeCell ref="C286:I286"/>
    <mergeCell ref="A327:J327"/>
    <mergeCell ref="A326:J326"/>
    <mergeCell ref="A345:J345"/>
    <mergeCell ref="A346:J346"/>
    <mergeCell ref="A347:J347"/>
    <mergeCell ref="A348:J348"/>
    <mergeCell ref="A349:J349"/>
    <mergeCell ref="A350:J350"/>
    <mergeCell ref="A351:J351"/>
    <mergeCell ref="A352:J352"/>
    <mergeCell ref="A353:J353"/>
    <mergeCell ref="A336:J336"/>
    <mergeCell ref="A337:J337"/>
    <mergeCell ref="A338:J338"/>
    <mergeCell ref="A339:J339"/>
    <mergeCell ref="A340:J340"/>
    <mergeCell ref="A341:J341"/>
    <mergeCell ref="A342:J342"/>
    <mergeCell ref="A343:J343"/>
    <mergeCell ref="A344:J344"/>
    <mergeCell ref="A315:J315"/>
    <mergeCell ref="A316:J316"/>
    <mergeCell ref="A317:J317"/>
    <mergeCell ref="A318:J318"/>
    <mergeCell ref="A319:J319"/>
    <mergeCell ref="A320:J320"/>
    <mergeCell ref="A333:J333"/>
    <mergeCell ref="A334:J334"/>
    <mergeCell ref="A335:J335"/>
    <mergeCell ref="A306:J306"/>
    <mergeCell ref="A307:J307"/>
    <mergeCell ref="A308:J308"/>
    <mergeCell ref="A309:J309"/>
    <mergeCell ref="A310:J310"/>
    <mergeCell ref="A311:J311"/>
    <mergeCell ref="A312:J312"/>
    <mergeCell ref="A313:J313"/>
    <mergeCell ref="A314:J314"/>
    <mergeCell ref="D57:H57"/>
    <mergeCell ref="D58:H58"/>
    <mergeCell ref="D158:H158"/>
    <mergeCell ref="D159:H159"/>
    <mergeCell ref="D160:H160"/>
    <mergeCell ref="D152:H152"/>
    <mergeCell ref="D156:H156"/>
    <mergeCell ref="D149:H149"/>
    <mergeCell ref="E114:F114"/>
    <mergeCell ref="E113:F113"/>
    <mergeCell ref="D256:H257"/>
    <mergeCell ref="D260:H260"/>
    <mergeCell ref="D261:H262"/>
    <mergeCell ref="D265:H265"/>
    <mergeCell ref="D266:H267"/>
    <mergeCell ref="D247:H247"/>
    <mergeCell ref="D248:H248"/>
    <mergeCell ref="D251:H252"/>
    <mergeCell ref="D250:H250"/>
    <mergeCell ref="D255:H255"/>
    <mergeCell ref="D51:H51"/>
    <mergeCell ref="D52:H53"/>
    <mergeCell ref="D55:H55"/>
    <mergeCell ref="D56:H56"/>
    <mergeCell ref="D42:H42"/>
    <mergeCell ref="D43:H43"/>
    <mergeCell ref="D44:H44"/>
    <mergeCell ref="D45:H45"/>
    <mergeCell ref="D46:H46"/>
    <mergeCell ref="D47:H47"/>
    <mergeCell ref="D48:H48"/>
    <mergeCell ref="D49:H49"/>
    <mergeCell ref="D34:H34"/>
    <mergeCell ref="D21:H21"/>
    <mergeCell ref="D22:H22"/>
    <mergeCell ref="D23:H23"/>
    <mergeCell ref="D24:H24"/>
    <mergeCell ref="D25:H25"/>
    <mergeCell ref="D27:H27"/>
    <mergeCell ref="D28:H29"/>
    <mergeCell ref="D31:H31"/>
    <mergeCell ref="D32:H32"/>
    <mergeCell ref="D33:H33"/>
    <mergeCell ref="D100:H101"/>
    <mergeCell ref="D103:H103"/>
    <mergeCell ref="D104:H104"/>
    <mergeCell ref="D106:H106"/>
    <mergeCell ref="D95:H95"/>
    <mergeCell ref="D96:H96"/>
    <mergeCell ref="D97:H97"/>
    <mergeCell ref="D94:H94"/>
    <mergeCell ref="D4:H4"/>
    <mergeCell ref="D5:H6"/>
    <mergeCell ref="D8:H8"/>
    <mergeCell ref="D9:H9"/>
    <mergeCell ref="D10:H10"/>
    <mergeCell ref="D11:H11"/>
    <mergeCell ref="D90:H90"/>
    <mergeCell ref="D91:H91"/>
    <mergeCell ref="D92:H92"/>
    <mergeCell ref="D93:H93"/>
    <mergeCell ref="D1:E1"/>
    <mergeCell ref="G1:H1"/>
    <mergeCell ref="J1:K1"/>
    <mergeCell ref="M1:N1"/>
    <mergeCell ref="D240:H240"/>
    <mergeCell ref="D241:H242"/>
    <mergeCell ref="D244:H244"/>
    <mergeCell ref="D245:H245"/>
    <mergeCell ref="D246:H246"/>
    <mergeCell ref="D157:H157"/>
    <mergeCell ref="D153:H154"/>
    <mergeCell ref="D150:H150"/>
    <mergeCell ref="D143:H143"/>
    <mergeCell ref="D144:H144"/>
    <mergeCell ref="D145:H145"/>
    <mergeCell ref="D146:H146"/>
    <mergeCell ref="D147:H147"/>
    <mergeCell ref="D148:H148"/>
    <mergeCell ref="D105:H105"/>
    <mergeCell ref="D19:H19"/>
    <mergeCell ref="D20:H20"/>
    <mergeCell ref="D18:H18"/>
    <mergeCell ref="D99:H99"/>
    <mergeCell ref="I218:N218"/>
    <mergeCell ref="A205:G205"/>
    <mergeCell ref="A206:G206"/>
    <mergeCell ref="A207:G207"/>
    <mergeCell ref="A208:G208"/>
    <mergeCell ref="A209:G209"/>
    <mergeCell ref="A210:G210"/>
    <mergeCell ref="A211:G211"/>
    <mergeCell ref="I205:N205"/>
    <mergeCell ref="I206:N206"/>
    <mergeCell ref="I207:N207"/>
    <mergeCell ref="I208:N208"/>
    <mergeCell ref="I209:N209"/>
    <mergeCell ref="I210:N210"/>
    <mergeCell ref="I211:N211"/>
    <mergeCell ref="I212:N212"/>
    <mergeCell ref="I213:N213"/>
    <mergeCell ref="I214:N214"/>
    <mergeCell ref="I215:N215"/>
    <mergeCell ref="I216:N216"/>
    <mergeCell ref="I217:N217"/>
  </mergeCells>
  <conditionalFormatting sqref="E115:F139">
    <cfRule type="expression" dxfId="7" priority="8">
      <formula>E115=""</formula>
    </cfRule>
  </conditionalFormatting>
  <conditionalFormatting sqref="H115:I139">
    <cfRule type="expression" dxfId="6" priority="7">
      <formula>H115=""</formula>
    </cfRule>
  </conditionalFormatting>
  <conditionalFormatting sqref="N250:N253">
    <cfRule type="expression" dxfId="5" priority="10">
      <formula>N250&lt;&gt;""</formula>
    </cfRule>
  </conditionalFormatting>
  <conditionalFormatting sqref="N263:N266">
    <cfRule type="expression" dxfId="4" priority="9">
      <formula>N263&lt;&gt;""</formula>
    </cfRule>
  </conditionalFormatting>
  <conditionalFormatting sqref="C419:I428">
    <cfRule type="expression" dxfId="3" priority="2" stopIfTrue="1">
      <formula>_xlfn.LET(     _xlpm.max_demerit, $M$413,     _xlpm.value, C419,     _xlpm.expected, C$409,     _xlpm.header, C$418,     _xlpm.guide_value, C$412:C$413,     _xlpm.guide_score, $M$412:$M$413,     _xlpm.mask, C$416,     _xlpm.merit, MERIT_SCORE(_xlpm.value, _xlpm.expected, _xlpm.header, _xlpm.guide_value, _xlpm.guide_score),     _xlpm.is_num, ISNUMBER(_xlpm.merit),     _xlpm.return, AND(_xlpm.mask, _xlpm.is_num, _xlpm.merit &gt;= _xlpm.max_demerit),     _xlpm.return )</formula>
    </cfRule>
    <cfRule type="expression" dxfId="2" priority="3">
      <formula>_xlfn.LET(     _xlpm.max_demerit, $M$412,     _xlpm.value, C419,     _xlpm.expected, C$409,     _xlpm.header, C$418,     _xlpm.guide_value, C$412:C$413,     _xlpm.guide_score, $M$412:$M$413,     _xlpm.mask, C$416,     _xlpm.merit, MERIT_SCORE(_xlpm.value, _xlpm.expected, _xlpm.header, _xlpm.guide_value, _xlpm.guide_score),     _xlpm.is_num, ISNUMBER(_xlpm.merit),     _xlpm.return, AND(_xlpm.mask, _xlpm.is_num, _xlpm.merit &gt;= _xlpm.max_demerit),     _xlpm.return )</formula>
    </cfRule>
  </conditionalFormatting>
  <conditionalFormatting sqref="R250:R253">
    <cfRule type="expression" dxfId="1" priority="1">
      <formula>R250&lt;&gt;""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5F79E-9BE3-4314-82CB-749EB61D3D75}">
  <dimension ref="A14:A31"/>
  <sheetViews>
    <sheetView workbookViewId="0">
      <selection activeCell="A14" sqref="A14:A31"/>
    </sheetView>
  </sheetViews>
  <sheetFormatPr defaultRowHeight="14.25"/>
  <cols>
    <col min="1" max="1" width="39.75" customWidth="1"/>
  </cols>
  <sheetData>
    <row r="14" spans="1:1">
      <c r="A14" t="s">
        <v>613</v>
      </c>
    </row>
    <row r="15" spans="1:1">
      <c r="A15" t="s">
        <v>628</v>
      </c>
    </row>
    <row r="16" spans="1:1">
      <c r="A16" t="s">
        <v>629</v>
      </c>
    </row>
    <row r="17" spans="1:1">
      <c r="A17" t="s">
        <v>630</v>
      </c>
    </row>
    <row r="19" spans="1:1">
      <c r="A19" t="s">
        <v>631</v>
      </c>
    </row>
    <row r="20" spans="1:1">
      <c r="A20" t="s">
        <v>619</v>
      </c>
    </row>
    <row r="22" spans="1:1">
      <c r="A22" t="s">
        <v>616</v>
      </c>
    </row>
    <row r="23" spans="1:1">
      <c r="A23" t="s">
        <v>617</v>
      </c>
    </row>
    <row r="25" spans="1:1">
      <c r="A25" t="s">
        <v>618</v>
      </c>
    </row>
    <row r="27" spans="1:1">
      <c r="A27" t="s">
        <v>624</v>
      </c>
    </row>
    <row r="28" spans="1:1">
      <c r="A28" s="154" t="s">
        <v>623</v>
      </c>
    </row>
    <row r="29" spans="1:1">
      <c r="A29" s="154" t="s">
        <v>609</v>
      </c>
    </row>
    <row r="30" spans="1:1">
      <c r="A30" s="154" t="s">
        <v>608</v>
      </c>
    </row>
    <row r="31" spans="1:1">
      <c r="A31" s="154" t="s">
        <v>610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FkATQBE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D7A8D956-6E0E-47D1-9180-8F905735AA0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Introduction</vt:lpstr>
      <vt:lpstr>Excel Labs</vt:lpstr>
      <vt:lpstr>LET</vt:lpstr>
      <vt:lpstr>LAMBDA</vt:lpstr>
      <vt:lpstr>Examples</vt:lpstr>
      <vt:lpstr>Sheet2</vt:lpstr>
    </vt:vector>
  </TitlesOfParts>
  <Company>CGC-CCG Office SAC Bilingue - patched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Bestvater (CGC/CCG)</dc:creator>
  <cp:lastModifiedBy>Michael Bestvater</cp:lastModifiedBy>
  <dcterms:created xsi:type="dcterms:W3CDTF">2025-10-31T14:22:38Z</dcterms:created>
  <dcterms:modified xsi:type="dcterms:W3CDTF">2026-07-06T19:00:52Z</dcterms:modified>
</cp:coreProperties>
</file>