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bestvater\Downloads\"/>
    </mc:Choice>
  </mc:AlternateContent>
  <xr:revisionPtr revIDLastSave="0" documentId="13_ncr:1_{93F07865-C512-4116-AA4E-D33A31FDC699}" xr6:coauthVersionLast="47" xr6:coauthVersionMax="47" xr10:uidLastSave="{00000000-0000-0000-0000-000000000000}"/>
  <bookViews>
    <workbookView xWindow="-120" yWindow="-120" windowWidth="29040" windowHeight="15720" tabRatio="689" activeTab="4" xr2:uid="{EA5502AB-B07A-4DFD-8E93-AE0D9A6CC473}"/>
  </bookViews>
  <sheets>
    <sheet name="Introduction" sheetId="21" r:id="rId1"/>
    <sheet name="Excel Labs" sheetId="7" r:id="rId2"/>
    <sheet name="LET" sheetId="2" r:id="rId3"/>
    <sheet name="LAMBDA" sheetId="18" r:id="rId4"/>
    <sheet name="Examples" sheetId="14" r:id="rId5"/>
    <sheet name="Sheet2" sheetId="24" r:id="rId6"/>
  </sheets>
  <definedNames>
    <definedName name="DESC_STATS" comment="Outputs a table of descriptive statistics. Calculation options: sum, mean, med, mode, mad, sem, std, var, rsd, iqr, p02, p2, p16, p25, p75, p84, p98, p99, min, max, rng, kurt, skew, vmr.">_xlfn.LAMBDA(_xlpm.data,_xlop.functions,_xlfn.LET(_xlpm.get_agg, _xlfn.LAMBDA(_xlpm.name,_xlpm.x, _xlfn.LET(_xlpm.avg, AVERAGE(_xlpm.x), _xlpm.std, _xlfn.STDEV.S(_xlpm.x), _xlpm.var, _xlfn.VAR.S(_xlpm.x), _xlpm.cnt, COUNT(_xlpm.x), _xlpm.sq_cnt, SQRT(_xlpm.cnt), _xlpm.mn, MIN(_xlpm.x), _xlpm.mx, MAX(_xlpm.x), _xlpm.get_pct, _xlfn.LAMBDA(_xlpm.x,_xlpm.p, _xlfn.PERCENTILE.INC(_xlpm.x, _xlpm.p)), _xlpm.p_25, _xlpm.get_pct(_xlpm.x, 0.25), _xlpm.p_75, _xlpm.get_pct(_xlpm.x, 0.75), _xlpm.return, _xlfn.SWITCH(_xlpm.name, "sum", SUM(_xlpm.x), "mean", _xlpm.avg, "med", MEDIAN(_xlpm.x), "mode", _xlfn.MODE.SNGL(_xlpm.x), "mad", AVERAGE(ABS(_xlpm.x - _xlpm.avg)), "sem", _xlpm.std / _xlpm.sq_cnt, "std", _xlpm.std, "var", _xlpm.var, "rsd", _xlpm.std / _xlpm.avg, "iqr", _xlpm.p_75 - _xlpm.p_25, "p02", _xlpm.get_pct(_xlpm.x, 0.002), "p2", _xlpm.get_pct(_xlpm.x, 0.023), "p16", _xlpm.get_pct(_xlpm.x, 0.159), "p25", _xlpm.p_25, "p75", _xlpm.p_75, "p84", _xlpm.get_pct(_xlpm.x, 0.841), "p98", _xlpm.get_pct(_xlpm.x, 0.977), "p99", _xlpm.get_pct(_xlpm.x, 0.998), "min", _xlpm.mn, "max", _xlpm.mx, "rng", _xlpm.mx - _xlpm.mn, "kurt", KURT(_xlpm.x), "skew", SKEW(_xlpm.x), "vmr", _xlpm.var / _xlpm.avg, "moe", _xlfn.T.INV.2T(0.05, _xlpm.cnt - 1) * (_xlpm.std / _xlpm.sq_cnt)), _xlpm.return)), _xlpm.supported_funcs, {"sum";"mean";"med";"mode";"mad";"sem";"std";"var";"rsd";"iqr";"p02";"p2";"p16";"p25";"p75";"p84";"p98";"p99";"min";"max";"rng";"kurt";"skew";"vmr";"moe"}, _xlpm.funcs, IF(_xlfn.ISOMITTED(_xlpm.functions), _xlpm.supported_funcs, _xlfn.TOCOL(_xlpm.functions, 1)), _xlpm.tbl, _xlfn.MAKEARRAY(ROWS(_xlpm.funcs), COLUMNS(_xlpm.data) + 1, _xlfn.LAMBDA(_xlpm.r,_xlpm.c, _xlfn.LET(_xlpm.func_name, INDEX(_xlpm.funcs, _xlpm.r), IF(_xlpm.c = 1, _xlpm.func_name, _xlpm.get_agg(_xlpm.func_name, _xlpm.data))))), _xlpm.unk_funcs, _xlfn._xlws.FILTER(_xlpm.funcs, ISERROR(_xlfn.XMATCH(_xlpm.funcs, _xlpm.supported_funcs, 0))), _xlpm.unk_msg, "#FUNC! [" &amp; _xlfn.ARRAYTOTEXT(_xlpm.unk_funcs) &amp; "]", _xlpm.is_unk, TYPE(_xlpm.unk_funcs) = 64, _xlpm.return, IF(_xlpm.is_unk, _xlpm.unk_msg, _xlpm.tbl), _xlpm.return))</definedName>
    <definedName name="DILUTIONEQ" comment="Solves the dilution equation when one parameter is omitted or blank.">_xlfn.LAMBDA(_xlop.conc_1,_xlop.vol_1,_xlop.conc_2,_xlop.vol_2,_xlfn.LET(_xlpm.is_miss, _xlfn.LAMBDA(_xlpm.value, OR(_xlfn.ISOMITTED(_xlpm.value), _xlpm.value = "")), _xlpm.c_1_miss, _xlpm.is_miss(_xlpm.conc_1), _xlpm.v_1_miss, _xlpm.is_miss(_xlpm.vol_1), _xlpm.c_2_miss, _xlpm.is_miss(_xlpm.conc_2), _xlpm.v_2_miss, _xlpm.is_miss(_xlpm.vol_2), _xlpm.n_miss, SUM(--_xlpm.c_1_miss, --_xlpm.v_1_miss, --_xlpm.c_2_miss, --_xlpm.v_2_miss), _xlpm.return, _xlfn.IFS(_xlpm.n_miss &lt;&gt; 1, "#UNKs!", _xlpm.c_1_miss, (_xlpm.conc_2 * _xlpm.vol_2) / _xlpm.vol_1, _xlpm.v_1_miss, (_xlpm.conc_2 * _xlpm.vol_2) / _xlpm.conc_1, _xlpm.c_2_miss, (_xlpm.conc_1 * _xlpm.vol_1) / _xlpm.vol_2, _xlpm.v_2_miss, (_xlpm.conc_1 * _xlpm.vol_1) / _xlpm.conc_2), _xlpm.return))</definedName>
    <definedName name="DILUTIONEQ_ADV" comment="Solves the dilution equation when one parameter is omitted or blank.">_xlfn.LAMBDA(_xlop.c_1,_xlop.v_1,_xlop.c_2,_xlop.v_2,_xlfn.LET(_xlpm.is_miss, _xlfn.LAMBDA(_xlpm.value, OR(_xlfn.ISOMITTED(_xlpm.value), _xlpm.value = "")), _xlpm.solve, _xlfn.LAMBDA(_xlpm.i, CHOOSE(_xlpm.i, (_xlpm.c_2 * _xlpm.v_2) / _xlpm.v_1, (_xlpm.c_2 * _xlpm.v_2) / _xlpm.c_1, (_xlpm.c_1 * _xlpm.v_1) / _xlpm.v_2, (_xlpm.c_1 * _xlpm.v_1) / _xlpm.c_2)), _xlpm.miss_mask, _xlfn.VSTACK(_xlpm.is_miss(_xlpm.c_1), _xlpm.is_miss(_xlpm.v_1), _xlpm.is_miss(_xlpm.c_2), _xlpm.is_miss(_xlpm.v_2)), _xlpm.n_miss, SUM(--_xlpm.miss_mask), _xlpm.idx, _xlfn.XMATCH(TRUE, _xlpm.miss_mask), _xlpm.return, IF(_xlpm.n_miss &lt;&gt; 1, "#UNKs!", _xlpm.solve(_xlpm.idx)), _xlpm.return))</definedName>
    <definedName name="IQR" comment="Calculates the interquartile range.">_xlfn.LAMBDA(_xlpm.data,_xlfn.LET(_xlpm.q_1, _xlfn.QUARTILE.INC(_xlpm.data, 1), _xlpm.q_3, _xlfn.QUARTILE.INC(_xlpm.data, 3), _xlpm.iqr, _xlpm.q_3 - _xlpm.q_1, _xlpm.return, _xlpm.iqr, _xlpm.return))</definedName>
    <definedName name="MERIT_ASSESSMENT">_xlfn.LAMBDA(_xlpm.data,_xlpm.expected,_xlpm.headers,_xlpm.guideline_values,_xlpm.guideline_scores,_xlpm.max_demerits,_xlfn.LET(_xlpm.get_merit, _xlfn.LAMBDA(_xlpm.array, _xlfn.MAKEARRAY(ROWS(_xlpm.array), COLUMNS(_xlpm.array), _xlfn.LAMBDA(_xlpm.r,_xlpm.c, _xlfn.LET(_xlpm.i, _xlfn.LAMBDA(_xlpm.x, INDEX(_xlpm.x, _xlpm.r)), _xlpm.j, _xlfn.LAMBDA(_xlpm.x, INDEX(_xlpm.x, , _xlpm.c)), _xlpm.val, _xlpm.i(_xlpm.j(_xlpm.array)), _xlpm.diff, ABS(_xlpm.val - _xlpm.j(_xlpm.expected)), _xlpm.is_blk, ISBLANK(_xlpm.val), _xlpm.msg, _xlpm.j(_xlpm.headers), _xlpm.score, _xlfn.XLOOKUP(_xlpm.diff, _xlpm.j(_xlpm.guideline_values), _xlpm.guideline_scores, 0, -1), _xlpm.return, IF(_xlpm.is_blk, _xlpm.msg, _xlpm.score), _xlpm.return)))), _xlpm.merit_arr, _xlpm.get_merit(_xlpm.data),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_xlpm.return, IF(_xlpm.blk_lbls = "", _xlpm.msg, _xlpm.msg_blks), _xlpm.return))</definedName>
    <definedName name="MERIT_ASSESSMENT_ARRAY">_xlfn.LAMBDA(_xlpm.data,_xlpm.expected,_xlpm.headers,_xlpm.guideline_values,_xlpm.guideline_scores,_xlpm.max_demerits,_xlpm.method_mask,_xlop.debug,_xlfn.LET(_xlpm.db, IF(OR(_xlfn.ISOMITTED(_xlpm.debug), ISBLANK(_xlpm.debug)), FALSE, _xlpm.debug), _xlpm.get_merit, _xlfn.LAMBDA(_xlpm.array, _xlfn.MAKEARRAY(ROWS(_xlpm.array), COLUMNS(_xlpm.array), _xlfn.LAMBDA(_xlpm.r,_xlpm.c, MERIT_SCORE(INDEX(_xlpm.data, _xlpm.r, _xlpm.c), INDEX(_xlpm.expected, , _xlpm.c), INDEX(_xlpm.headers, , _xlpm.c), INDEX(_xlpm.guideline_values, , _xlpm.c), _xlpm.guideline_scores)))), _xlpm.mask_arr, _xlfn.MAKEARRAY(ROWS(_xlpm.data), COLUMNS(_xlpm.data), _xlfn.LAMBDA(_xlpm.r,_xlpm.c, INDEX(_xlpm.method_mask, , _xlpm.c))), _xlpm.merit_arr, IF(_xlpm.mask_arr, _xlpm.get_merit(_xlpm.data), 0),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_xlpm.msg_out, IF(_xlpm.blk_lbls = "", _xlpm.msg, _xlpm.msg_blks), _xlpm.return, _xlfn.IFS(NOT(OR(_xlpm.method_mask)), "#MASK!", NOT(ISLOGICAL(_xlpm.db)), "#DEBUG!", _xlpm.db, _xlpm.merit_arr, TRUE, _xlpm.msg_out), _xlpm.return))</definedName>
    <definedName name="MERIT_SCORE">_xlfn.LAMBDA(_xlpm.val,_xlpm.exp,_xlpm.hdr,_xlpm.g_val,_xlpm.g_scr,_xlfn.LET(_xlpm.diff, ABS(_xlpm.val - _xlpm.exp), _xlpm.score, _xlfn.XLOOKUP(_xlpm.diff, _xlpm.g_val, _xlpm.g_scr, 0, -1), _xlpm.return, IF(ISBLANK(_xlpm.val), _xlpm.hdr, _xlpm.score), _xlpm.return))</definedName>
    <definedName name="MOE" comment="Calculates the margin of error using t-crit.">_xlfn.LAMBDA(_xlpm.data,_xlpm.confidence_interval,_xlfn.LET(_xlpm.alpha, 1 - _xlpm.confidence_interval, _xlpm.df, COUNT(_xlpm.data) - 1, _xlpm.t_crit, _xlfn.T.INV.2T(_xlpm.alpha, _xlpm.df), _xlpm.moe, _xlpm.t_crit * SEM(_xlpm.data), _xlpm.return, _xlpm.moe, _xlpm.return))</definedName>
    <definedName name="MOE_ADV" comment="Calculates the margin of error using t-crit or z-score. If n &lt; threshold uses t-crit.">_xlfn.LAMBDA(_xlpm.data,_xlop.confidence_interval,_xlop.threshold,_xlfn.LET(_xlpm.set_default, _xlfn.LAMBDA(_xlpm.x,_xlpm.default, IF(OR(_xlfn.ISOMITTED(_xlpm.x), _xlpm.x = ""), _xlpm.default, _xlpm.x)), _xlpm.ci, _xlpm.set_default(_xlpm.confidence_interval, 0.95), _xlpm.th, _xlpm.set_default(_xlpm.threshold, 15), _xlpm.n, COUNT(_xlpm.data), _xlpm.sem, _xlfn.STDEV.S(_xlpm.data) / SQRT(_xlpm.n), _xlpm.err_arr, _xlfn.LET(_xlpm.err, _xlfn.LAMBDA(_xlpm.check,_xlpm.err_msg, IF(_xlpm.check, _xlpm.err_msg, "")), _xlpm.n_insuf, _xlpm.err(_xlpm.n &lt;= 1, "#N&lt;=1!"), _xlpm.ci_rng, _xlpm.err(OR(_xlpm.ci &lt; 0, _xlpm.ci &gt; 1), "#CI RNG!"), _xlpm.ci_isnum, _xlpm.err(NOT(ISNUMBER(_xlpm.ci)), "#CI NaN!"), _xlpm.th_isnum, _xlpm.err(NOT(ISNUMBER(_xlpm.th)), "#TH NaN!"), _xlpm.data_isnum, _xlpm.err(OR(NOT(ISNUMBER(_xlpm.data))), "#DATA NaN!"), _xlpm.return, _xlfn.VSTACK(_xlpm.n_insuf, _xlpm.ci_rng, _xlpm.ci_isnum, _xlpm.th_isnum, _xlpm.data_isnum), _xlpm.return), _xlpm.err_list, _xlfn.TEXTJOIN("; ", TRUE, _xlfn._xlws.FILTER(_xlpm.err_arr, _xlpm.err_arr &lt;&gt; "", "")), _xlpm.moe, IF(_xlpm.n &lt; _xlpm.th, _xlfn.LET(_xlpm.alpha, 1 - _xlpm.ci, _xlpm.df, _xlpm.n - 1, _xlpm.t_crit, _xlfn.T.INV.2T(_xlpm.alpha, _xlpm.df), _xlpm.return, _xlpm.t_crit * _xlpm.sem, _xlpm.return), _xlfn.LET(_xlpm.prob, 1 - ((1 - _xlpm.ci) / 2), _xlpm.z_idx, _xlfn.NORM.S.INV(_xlpm.prob), _xlpm.return, _xlpm.z_idx * _xlpm.sem, _xlpm.return)), _xlpm.return, IF(_xlpm.err_list &lt;&gt; "", _xlpm.err_list, _xlpm.moe), _xlpm.return))</definedName>
    <definedName name="myPOWER" comment="Replicates the built-in Excel function POWER">_xlfn.LAMBDA(_xlpm.num,_xlpm.pwr,_xlpm.num ^ _xlpm.pwr)</definedName>
    <definedName name="RANGE" comment="Calculates the range.">_xlfn.LAMBDA(_xlpm.data,_xlfn.LET(_xlpm.mn, MIN(_xlpm.data), _xlpm.mx, MAX(_xlpm.data), _xlpm.rng, _xlpm.mx - _xlpm.mn, _xlpm.return, _xlpm.rng, _xlpm.return))</definedName>
    <definedName name="RSD" comment="Calculate the relative standard deviation of an array or range.">_xlfn.LAMBDA(_xlpm.data,_xlfn.LET(_xlpm.avg, AVERAGE(_xlpm.data), _xlpm.std, _xlfn.STDEV.S(_xlpm.data), _xlpm.rsd, _xlpm.std / _xlpm.avg, _xlpm.return, _xlpm.rsd, _xlpm.return))</definedName>
    <definedName name="RSD_ADV" comment="Calculate the relative standard deviation of an array or range. Optional parameter to output the average and standard deviation.">_xlfn.LAMBDA(_xlpm.data,_xlop.summary_stats,_xlfn.LET(_xlpm.stats, IF(_xlfn.ISOMITTED(_xlpm.summary_stats), FALSE, _xlpm.summary_stats), _xlpm.avg, AVERAGE(_xlpm.data), _xlpm.std, _xlfn.STDEV.S(_xlpm.data), _xlpm.rsd, _xlpm.std / _xlpm.avg, _xlpm.lbls, {"Avg";"Std";"RSD"}, _xlpm.vals, _xlfn.VSTACK(_xlpm.avg, _xlpm.std, _xlpm.rsd), _xlpm.tbl, _xlfn.HSTACK(_xlpm.lbls, _xlpm.vals), _xlpm.return, IF(_xlpm.stats, _xlpm.tbl, _xlpm.rsd), _xlpm.return))</definedName>
    <definedName name="SEM" comment="Calculates the standard error of the mean.">_xlfn.LAMBDA(_xlpm.data,_xlfn.LET(_xlpm.std, _xlfn.STDEV.S(_xlpm.data), _xlpm.n, COUNT(_xlpm.data), _xlpm.sem, _xlpm.std / SQRT(_xlpm.n), _xlpm.return, _xlpm.sem, _xlpm.return))</definedName>
    <definedName name="ZSCORE" comment="Calculates the z score of an array.">_xlfn.LAMBDA(_xlpm.data,_xlfn.LET(_xlpm.avg, AVERAGE(_xlpm.data), _xlpm.std, _xlfn.STDEV.S(_xlpm.data), _xlpm.zscore, (_xlpm.data - _xlpm.avg) / _xlpm.std, _xlpm.return, _xlpm.zscore, _xlpm.return))</definedName>
    <definedName name="ZSCORE_TABLE" comment="Calculates the z score of values in a table or range">_xlfn.LAMBDA(_xlpm.x,_xlpm.data,_xlfn.LET(_xlpm.avg, AVERAGE(_xlpm.data), _xlpm.std, _xlfn.STDEV.S(_xlpm.data), _xlpm.zscore, (_xlpm.x - _xlpm.avg) / _xlpm.std, _xlpm.return, _xlpm.zscore, _xlpm.return))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2" i="14" l="1"/>
  <c r="F116" i="14"/>
  <c r="H160" i="14" l="1" a="1"/>
  <c r="H160" i="14" s="1"/>
  <c r="P140" i="14" a="1"/>
  <c r="P140" i="14" s="1"/>
  <c r="R300" i="14" a="1"/>
  <c r="R300" i="14" s="1"/>
  <c r="P129" i="14" a="1"/>
  <c r="P129" i="14" s="1"/>
  <c r="E148" i="14"/>
  <c r="E88" i="14"/>
  <c r="F106" i="14"/>
  <c r="E84" i="14"/>
  <c r="K105" i="14" a="1"/>
  <c r="K105" i="14" s="1"/>
  <c r="L69" i="14" a="1"/>
  <c r="L69" i="14" s="1"/>
  <c r="J69" i="14"/>
  <c r="E16" i="14"/>
  <c r="E64" i="14"/>
  <c r="E40" i="14"/>
  <c r="N5" i="14" a="1"/>
  <c r="N5" i="14" s="1"/>
  <c r="L5" i="14" a="1"/>
  <c r="L5" i="14" s="1"/>
  <c r="J5" i="14"/>
  <c r="E14" i="14"/>
  <c r="E13" i="14"/>
  <c r="J45" i="14"/>
  <c r="E39" i="14"/>
  <c r="E38" i="14"/>
  <c r="E85" i="14"/>
  <c r="M339" i="14" a="1"/>
  <c r="M339" i="14" s="1"/>
  <c r="K340" i="14" a="1"/>
  <c r="K340" i="14" s="1"/>
  <c r="K339" i="14" a="1"/>
  <c r="K339" i="14" s="1"/>
  <c r="D278" i="14" a="1"/>
  <c r="D278" i="14" s="1"/>
  <c r="D269" i="14" a="1"/>
  <c r="D269" i="14" s="1"/>
  <c r="B227" i="14"/>
  <c r="N313" i="14" a="1"/>
  <c r="N313" i="14" s="1"/>
  <c r="N300" i="14" a="1"/>
  <c r="N300" i="14" s="1"/>
  <c r="N69" i="14" a="1"/>
  <c r="N69" i="14" s="1"/>
  <c r="E86" i="14"/>
  <c r="M464" i="14" a="1"/>
  <c r="M464" i="14" s="1"/>
  <c r="U464" i="14" a="1"/>
  <c r="U464" i="14" s="1"/>
  <c r="E15" i="14" l="1"/>
  <c r="E87" i="14"/>
  <c r="E160" i="14" a="1"/>
  <c r="E160" i="14" s="1"/>
  <c r="J339" i="14"/>
  <c r="J348" i="14"/>
  <c r="J347" i="14"/>
  <c r="J346" i="14"/>
  <c r="J345" i="14"/>
  <c r="J344" i="14"/>
  <c r="J343" i="14"/>
  <c r="J342" i="14"/>
  <c r="J341" i="14"/>
  <c r="J340" i="14"/>
  <c r="I43" i="18" a="1"/>
  <c r="I43" i="18" s="1"/>
  <c r="B246" i="14"/>
  <c r="B231" i="14"/>
  <c r="B234" i="14"/>
  <c r="B235" i="14"/>
  <c r="B236" i="14"/>
  <c r="B237" i="14"/>
  <c r="B239" i="14"/>
  <c r="B242" i="14"/>
  <c r="B243" i="14"/>
  <c r="B244" i="14"/>
  <c r="A220" i="14"/>
  <c r="I227" i="14" s="1" a="1"/>
  <c r="I227" i="14" s="1"/>
  <c r="A222" i="14"/>
  <c r="A221" i="14"/>
  <c r="R189" i="14" a="1"/>
  <c r="R189" i="14" s="1"/>
  <c r="B189" i="14"/>
  <c r="J129" i="14"/>
  <c r="L129" i="14" a="1"/>
  <c r="L129" i="14" s="1"/>
  <c r="I39" i="2"/>
  <c r="I33" i="2"/>
  <c r="I28" i="2"/>
  <c r="A326" i="14"/>
  <c r="K342" i="14" a="1"/>
  <c r="K342" i="14" s="1"/>
  <c r="K341" i="14" a="1"/>
  <c r="K341" i="14" s="1"/>
  <c r="K343" i="14" a="1"/>
  <c r="K343" i="14" s="1"/>
  <c r="K344" i="14" a="1"/>
  <c r="K344" i="14" s="1"/>
  <c r="K345" i="14" a="1"/>
  <c r="K345" i="14" s="1"/>
  <c r="K346" i="14" a="1"/>
  <c r="K346" i="14" s="1"/>
  <c r="K347" i="14" a="1"/>
  <c r="K347" i="14" s="1"/>
  <c r="K348" i="14" a="1"/>
  <c r="K348" i="14" s="1"/>
  <c r="B232" i="14" l="1"/>
  <c r="B233" i="14"/>
  <c r="B229" i="14"/>
  <c r="B245" i="14"/>
  <c r="B241" i="14"/>
  <c r="B240" i="14"/>
  <c r="B238" i="14"/>
  <c r="B230" i="14"/>
  <c r="B228" i="14"/>
  <c r="B295" i="14"/>
  <c r="N189" i="14" a="1"/>
  <c r="N189" i="14" s="1"/>
  <c r="P189" i="14" a="1"/>
  <c r="P189" i="14" s="1"/>
  <c r="J189" i="14"/>
  <c r="E207" i="14"/>
  <c r="N90" i="18" a="1"/>
  <c r="N90" i="18" s="1"/>
  <c r="N79" i="18" a="1"/>
  <c r="N79" i="18" s="1"/>
  <c r="N65" i="18" a="1"/>
  <c r="N65" i="18" s="1"/>
  <c r="I32" i="18"/>
  <c r="I37" i="18" a="1"/>
  <c r="I37" i="18" s="1"/>
  <c r="L21" i="14" a="1"/>
  <c r="L21" i="14" s="1"/>
  <c r="L45" i="14" a="1"/>
  <c r="L45" i="14" s="1"/>
  <c r="B313" i="14"/>
  <c r="B307" i="14"/>
  <c r="B301" i="14"/>
  <c r="J313" i="14"/>
  <c r="J307" i="14"/>
  <c r="J301" i="14"/>
  <c r="J295" i="14"/>
  <c r="N129" i="14" a="1"/>
  <c r="N129" i="14" s="1"/>
  <c r="N21" i="14" a="1"/>
  <c r="N21" i="14" s="1"/>
  <c r="J21" i="14"/>
  <c r="N45" i="14" a="1"/>
  <c r="N45" i="14" s="1"/>
  <c r="E62" i="14"/>
  <c r="E63" i="14"/>
  <c r="E147" i="14"/>
  <c r="E146" i="14"/>
  <c r="B190" i="14"/>
  <c r="E208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L189" i="14" l="1"/>
  <c r="L196" i="14"/>
  <c r="L206" i="14"/>
  <c r="L203" i="14"/>
  <c r="L202" i="14"/>
  <c r="L208" i="14"/>
  <c r="L200" i="14"/>
  <c r="L207" i="14"/>
  <c r="L201" i="14"/>
  <c r="L199" i="14"/>
  <c r="L195" i="14"/>
  <c r="L205" i="14"/>
  <c r="L204" i="14"/>
  <c r="L198" i="14"/>
  <c r="L197" i="14"/>
  <c r="L192" i="14"/>
  <c r="L191" i="14"/>
  <c r="L190" i="14"/>
  <c r="L194" i="14"/>
  <c r="L193" i="1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<sst xmlns="http://schemas.openxmlformats.org/spreadsheetml/2006/main" count="942" uniqueCount="650">
  <si>
    <t>RSD</t>
  </si>
  <si>
    <t>RANGE</t>
  </si>
  <si>
    <t>Data</t>
  </si>
  <si>
    <t>LAMBDA</t>
  </si>
  <si>
    <t>LET</t>
  </si>
  <si>
    <t>avg</t>
  </si>
  <si>
    <t>std</t>
  </si>
  <si>
    <t>Range</t>
  </si>
  <si>
    <t>Output</t>
  </si>
  <si>
    <t>c_1</t>
  </si>
  <si>
    <t>v_2</t>
  </si>
  <si>
    <t>c_2</t>
  </si>
  <si>
    <t>v_1</t>
  </si>
  <si>
    <t>name1</t>
  </si>
  <si>
    <t>value1</t>
  </si>
  <si>
    <t>Argument</t>
  </si>
  <si>
    <t>Description</t>
  </si>
  <si>
    <t>Required. The first name to assign. Must start with a letter. Cannot be the output of a formula or conflict with range syntax.</t>
  </si>
  <si>
    <t>Required. The value that is assigned to name1.</t>
  </si>
  <si>
    <t>name2</t>
  </si>
  <si>
    <t>value2</t>
  </si>
  <si>
    <t>…</t>
  </si>
  <si>
    <t>Optional. The second name to assign.</t>
  </si>
  <si>
    <t>Optional. The value that is assigned to name2.</t>
  </si>
  <si>
    <t>calculation</t>
  </si>
  <si>
    <t>Improved Performance</t>
  </si>
  <si>
    <t>Why Use LET?</t>
  </si>
  <si>
    <t>What is LET?</t>
  </si>
  <si>
    <t>Syntax</t>
  </si>
  <si>
    <t>Readability</t>
  </si>
  <si>
    <t>Required. The last argument in the LET function which returns a result. This can be a calculation or a reference to a previous named variable.</t>
  </si>
  <si>
    <t>References</t>
  </si>
  <si>
    <t>Excel Requirements:</t>
  </si>
  <si>
    <t>Name</t>
  </si>
  <si>
    <t>Rating</t>
  </si>
  <si>
    <t>Clear, descriptive, easy to read</t>
  </si>
  <si>
    <t>Explains the transformation</t>
  </si>
  <si>
    <t>Self-explanatory</t>
  </si>
  <si>
    <t>Justification for Rating</t>
  </si>
  <si>
    <t>Good</t>
  </si>
  <si>
    <t>filtered_data</t>
  </si>
  <si>
    <t>x</t>
  </si>
  <si>
    <t>temp</t>
  </si>
  <si>
    <t>data</t>
  </si>
  <si>
    <t>value</t>
  </si>
  <si>
    <t>a1calc</t>
  </si>
  <si>
    <t>Usage dependent; requires additional context</t>
  </si>
  <si>
    <t>Unclear (temperature, temporary)</t>
  </si>
  <si>
    <t>Ambiguous in multi-step formula</t>
  </si>
  <si>
    <t>Fair</t>
  </si>
  <si>
    <t>Poor</t>
  </si>
  <si>
    <t>A1</t>
  </si>
  <si>
    <t>Looks like a cell reference (confusing / invalid)</t>
  </si>
  <si>
    <t>SUM</t>
  </si>
  <si>
    <t>Conflicts with built-in function</t>
  </si>
  <si>
    <t>1total</t>
  </si>
  <si>
    <t>Cannot start with a number</t>
  </si>
  <si>
    <t>total sales</t>
  </si>
  <si>
    <t>Spaces not allowed</t>
  </si>
  <si>
    <t>tax-rate</t>
  </si>
  <si>
    <t>Hyphens not allowed</t>
  </si>
  <si>
    <t>@value</t>
  </si>
  <si>
    <t>Special characters not allowed</t>
  </si>
  <si>
    <t>Unacceptable</t>
  </si>
  <si>
    <t>var_1</t>
  </si>
  <si>
    <t>Optional. Additional name-value pairs (up to 126 in total).</t>
  </si>
  <si>
    <t>Other Tips and Tricks</t>
  </si>
  <si>
    <t>Example Formulas Using LET</t>
  </si>
  <si>
    <t>LET()</t>
  </si>
  <si>
    <t>• Must begin with a letter and are not case-sensitive (i.e., ASDF = asdf).</t>
  </si>
  <si>
    <t>• Can contain numbers, but not in the first character (i.e., step1, step2).</t>
  </si>
  <si>
    <t>• Cannot mimic cell reference names (i.e., ct1, ct2); Excel will treat these as cell references instead of names.</t>
  </si>
  <si>
    <t>• The only other allowable non-alphanumeric value is an underscore (_) (i.e., step_1, step_2)</t>
  </si>
  <si>
    <t>• Use camelCase, snake_case, or single words</t>
  </si>
  <si>
    <t>• Name should reflect what the variable represents</t>
  </si>
  <si>
    <t>• Be specific, but not too long</t>
  </si>
  <si>
    <t>• Avoid using one-letter variables (unless within a math formula)</t>
  </si>
  <si>
    <t>• Use line breaks (ALT + ENTER) and spaces to help give structure to formulas.</t>
  </si>
  <si>
    <t>Example Variable Names</t>
  </si>
  <si>
    <t>Concise and meaningful</t>
  </si>
  <si>
    <t>zscore</t>
  </si>
  <si>
    <t>z</t>
  </si>
  <si>
    <t>Ambiguous; z-score, z-axis?</t>
  </si>
  <si>
    <t>this_is_the_sum</t>
  </si>
  <si>
    <t>Too long and vauge; sum of what?</t>
  </si>
  <si>
    <t>General Naming Recommendations:</t>
  </si>
  <si>
    <t>moles</t>
  </si>
  <si>
    <t>volume_L</t>
  </si>
  <si>
    <t>totalVolume</t>
  </si>
  <si>
    <t>where,</t>
  </si>
  <si>
    <t>z = z score</t>
  </si>
  <si>
    <t>x = value of element</t>
  </si>
  <si>
    <t>Z-Score</t>
  </si>
  <si>
    <t xml:space="preserve">Z-score is a statistical measure that </t>
  </si>
  <si>
    <t xml:space="preserve">mean of a group of values. It is expressed </t>
  </si>
  <si>
    <t xml:space="preserve">in terms of standard deviations from the </t>
  </si>
  <si>
    <t xml:space="preserve">mean. The Z-score indicates how many </t>
  </si>
  <si>
    <t xml:space="preserve">standard deviations an element is from the </t>
  </si>
  <si>
    <t>mean.</t>
  </si>
  <si>
    <t>What is Z-Score?</t>
  </si>
  <si>
    <t>Z-Score Formula</t>
  </si>
  <si>
    <t>no LET</t>
  </si>
  <si>
    <t>LET spill</t>
  </si>
  <si>
    <t>Variable Naming</t>
  </si>
  <si>
    <t>Range Formula</t>
  </si>
  <si>
    <t>max = maximum value</t>
  </si>
  <si>
    <t>min = minimum value</t>
  </si>
  <si>
    <t>min</t>
  </si>
  <si>
    <t>max</t>
  </si>
  <si>
    <t xml:space="preserve">The relative standard deviation, or </t>
  </si>
  <si>
    <t xml:space="preserve">coefficient of variation, is a relative </t>
  </si>
  <si>
    <t xml:space="preserve">measure that expresses the ratio of standard </t>
  </si>
  <si>
    <t xml:space="preserve">deviation to the Mean. It is useful for </t>
  </si>
  <si>
    <t xml:space="preserve">comparing datasets in terms of stability, </t>
  </si>
  <si>
    <t xml:space="preserve">homogeneity or consistency and for analyzing </t>
  </si>
  <si>
    <t>variability.</t>
  </si>
  <si>
    <t>What is Relative Stanard Deviation?</t>
  </si>
  <si>
    <t>RSD Formula</t>
  </si>
  <si>
    <t>RSD = relative standard deviation</t>
  </si>
  <si>
    <t>IQR</t>
  </si>
  <si>
    <t>What is Interquartile Range?</t>
  </si>
  <si>
    <t xml:space="preserve">The Interquartile Range (IQR) tells us how </t>
  </si>
  <si>
    <t xml:space="preserve">spread out the middle 50% of the data is. </t>
  </si>
  <si>
    <t xml:space="preserve">It is less affected by extreme values and </t>
  </si>
  <si>
    <t xml:space="preserve">calculated using the first quartile (Q1) and </t>
  </si>
  <si>
    <t>third quartile (Q3).</t>
  </si>
  <si>
    <t xml:space="preserve">gives a better idea of how tightly/loosely </t>
  </si>
  <si>
    <t xml:space="preserve">the central data points are grouped. It is </t>
  </si>
  <si>
    <t>IQR =  Q3 - Q1</t>
  </si>
  <si>
    <t>IQR = interquartile range</t>
  </si>
  <si>
    <t>Q1 = first quartile</t>
  </si>
  <si>
    <t>Q3 = third quartile</t>
  </si>
  <si>
    <t>q1</t>
  </si>
  <si>
    <t>q3</t>
  </si>
  <si>
    <t>SEM</t>
  </si>
  <si>
    <t>What is Standard Error of Mean?</t>
  </si>
  <si>
    <t>SEM =  s / √n</t>
  </si>
  <si>
    <t>s</t>
  </si>
  <si>
    <t>n</t>
  </si>
  <si>
    <t xml:space="preserve">The standard error of the mean measures how </t>
  </si>
  <si>
    <t xml:space="preserve">much the sample mean is expected to vary </t>
  </si>
  <si>
    <t xml:space="preserve">from the true population mean. It is </t>
  </si>
  <si>
    <t xml:space="preserve">calculated by dividing the standard </t>
  </si>
  <si>
    <t xml:space="preserve">deviation of the sample by the square root </t>
  </si>
  <si>
    <t>of the sample size.</t>
  </si>
  <si>
    <t>SEM = standard deviation of mean</t>
  </si>
  <si>
    <t>s = sample standard deviation</t>
  </si>
  <si>
    <t>n = number of observations</t>
  </si>
  <si>
    <t>rng = max - min</t>
  </si>
  <si>
    <t>rng = range</t>
  </si>
  <si>
    <t>• Use Excel Labs - Grid.</t>
  </si>
  <si>
    <t>)</t>
  </si>
  <si>
    <t>RSD_ADV</t>
  </si>
  <si>
    <t>z = (x - avg) / std</t>
  </si>
  <si>
    <t>avg = mean</t>
  </si>
  <si>
    <t>std = standard deviation</t>
  </si>
  <si>
    <t>RSD =  std / avg</t>
  </si>
  <si>
    <t>std = mean</t>
  </si>
  <si>
    <t>avg = standard deviation</t>
  </si>
  <si>
    <t>Dilution Equation</t>
  </si>
  <si>
    <t>c1 = intial concentration</t>
  </si>
  <si>
    <t>v1 = intial volume</t>
  </si>
  <si>
    <t>c2 = final concentration</t>
  </si>
  <si>
    <t>v2 = final volume</t>
  </si>
  <si>
    <t>summary_stats</t>
  </si>
  <si>
    <t>Without LAMBDA or LET</t>
  </si>
  <si>
    <t>=LET(</t>
  </si>
  <si>
    <t>ppm</t>
  </si>
  <si>
    <t>mL</t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</si>
  <si>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</si>
  <si>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</si>
  <si>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</si>
  <si>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</si>
  <si>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</si>
  <si>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</si>
  <si>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</si>
  <si>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</si>
  <si>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</si>
  <si>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t>Too general if there are multiple sources of data</t>
  </si>
  <si>
    <t>Vague, reverting back to cell reference</t>
  </si>
  <si>
    <t>LAMBDA()</t>
  </si>
  <si>
    <t>What is LAMBDA?</t>
  </si>
  <si>
    <r>
      <t xml:space="preserve">• The </t>
    </r>
    <r>
      <rPr>
        <sz val="14"/>
        <color theme="8"/>
        <rFont val="Segoe UI"/>
        <family val="2"/>
      </rPr>
      <t>LAMBDA</t>
    </r>
    <r>
      <rPr>
        <sz val="14"/>
        <color theme="1"/>
        <rFont val="Segoe UI"/>
        <family val="2"/>
      </rPr>
      <t xml:space="preserve"> function allows you to create custom reusable functions in Excel.</t>
    </r>
  </si>
  <si>
    <t>Reusability</t>
  </si>
  <si>
    <t>• Write a formula once and reuse it across worksheets without copying and pasting.</t>
  </si>
  <si>
    <t>Maintainability</t>
  </si>
  <si>
    <t>• Update logic in one place instead of editing multiple formulas.</t>
  </si>
  <si>
    <t>Abstraction/Protection</t>
  </si>
  <si>
    <t>• Build modular, layered functions (combine with LET for advanced solutions).</t>
  </si>
  <si>
    <t>Scalability</t>
  </si>
  <si>
    <t>No VBA Required</t>
  </si>
  <si>
    <t>• Create custom functions using native Excel formulas only.</t>
  </si>
  <si>
    <t>• The LAMBDA function can have up to 253 parameters.</t>
  </si>
  <si>
    <t>parameter1</t>
  </si>
  <si>
    <t>parameter2</t>
  </si>
  <si>
    <t>Optional. First input to the function. Name must follow variable rules.</t>
  </si>
  <si>
    <t>Optional. Additional inputs (up to 253 parameters).</t>
  </si>
  <si>
    <t>Optional. More parameters as needed.</t>
  </si>
  <si>
    <t>Required. The formula that uses the parameters and returns a result.</t>
  </si>
  <si>
    <t>Calling a LAMBDA</t>
  </si>
  <si>
    <t>• A LAMBDA by itself does nothing until it is invoked (called).</t>
  </si>
  <si>
    <t>Formula</t>
  </si>
  <si>
    <t>• The function is called, assigning values 2 and 5 to number and power respectively</t>
  </si>
  <si>
    <t>• Built in Excel function POWER requires two arguments: number and power</t>
  </si>
  <si>
    <t>• LAMBDA with equivalent logic to POWER</t>
  </si>
  <si>
    <t>• Has two parameters: num and pwr</t>
  </si>
  <si>
    <t>• Call the LAMBDA in the same manner as POWER</t>
  </si>
  <si>
    <t>• Assign values 2 and 5 to num and pwr respectively</t>
  </si>
  <si>
    <t>Example: Replicate the POWER function using LAMBDA</t>
  </si>
  <si>
    <t>• Without calling the LAMBDA, the output results in a #CALC! error</t>
  </si>
  <si>
    <t>Parameter Naming</t>
  </si>
  <si>
    <t>• Name should reflect what the parameter represents</t>
  </si>
  <si>
    <t>• Avoid overly generic names in multi-parameter functions</t>
  </si>
  <si>
    <t>Why Use LAMBDA?</t>
  </si>
  <si>
    <t>• This is an example of an inline call. When the logic is immediately followed by the call.</t>
  </si>
  <si>
    <t>• Essentially the same naming requirements as LET().</t>
  </si>
  <si>
    <t>• LET function with one name-value pair</t>
  </si>
  <si>
    <t>• calculation is the value of a</t>
  </si>
  <si>
    <t>• variable a is referencing cell $G$36</t>
  </si>
  <si>
    <t>• LET function with one name-value pair (a=5)</t>
  </si>
  <si>
    <t>• LET function with two name-value pairs referencing cells $G$42 and $G$43</t>
  </si>
  <si>
    <t>• Used line breaks to give formula structure and clarity</t>
  </si>
  <si>
    <t>• Calculates the hypotenuse (Pythagorean theorem)</t>
  </si>
  <si>
    <t>Getting Familiar with LET</t>
  </si>
  <si>
    <t>Reference</t>
  </si>
  <si>
    <t xml:space="preserve">    SQRT(a^2 + b^2)</t>
  </si>
  <si>
    <t>• Encapsulate complex logic into a clean, simple function call.
• Logic can gain a layer of protection by saving the function in the Name Manager.</t>
  </si>
  <si>
    <r>
      <t>=LAMBDA(</t>
    </r>
    <r>
      <rPr>
        <sz val="28"/>
        <color theme="9"/>
        <rFont val="Consolas"/>
        <family val="3"/>
      </rPr>
      <t>[parameter1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parameter2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</si>
  <si>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r>
      <t>=LET(</t>
    </r>
    <r>
      <rPr>
        <sz val="28"/>
        <color theme="9"/>
        <rFont val="Consolas"/>
        <family val="3"/>
      </rPr>
      <t>name1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value1</t>
    </r>
    <r>
      <rPr>
        <sz val="28"/>
        <color theme="1"/>
        <rFont val="Consolas"/>
        <family val="3"/>
      </rPr>
      <t xml:space="preserve">, </t>
    </r>
    <r>
      <rPr>
        <sz val="28"/>
        <color theme="7"/>
        <rFont val="Consolas"/>
        <family val="3"/>
      </rPr>
      <t>[name2</t>
    </r>
    <r>
      <rPr>
        <sz val="28"/>
        <rFont val="Consolas"/>
        <family val="3"/>
      </rPr>
      <t>,</t>
    </r>
    <r>
      <rPr>
        <sz val="28"/>
        <color theme="7"/>
        <rFont val="Consolas"/>
        <family val="3"/>
      </rPr>
      <t xml:space="preserve"> value2</t>
    </r>
    <r>
      <rPr>
        <sz val="28"/>
        <rFont val="Consolas"/>
        <family val="3"/>
      </rPr>
      <t xml:space="preserve">, </t>
    </r>
    <r>
      <rPr>
        <sz val="28"/>
        <color theme="7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</si>
  <si>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t>• The LAMBDA function consists of parameters (inputs) followed by a calculation.</t>
  </si>
  <si>
    <r>
      <t>=POWER</t>
    </r>
    <r>
      <rPr>
        <sz val="16"/>
        <color theme="5"/>
        <rFont val="Consolas"/>
        <family val="3"/>
      </rPr>
      <t>(2, 5)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</si>
  <si>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</si>
  <si>
    <t>• Reduce redundant calculations.
• Expressions can be stored in a variable, calculated once, and called multiple times.</t>
  </si>
  <si>
    <t>• Give meanful context to range/cell references by declaring them as named variables.
• Easily interalize intermediate calculations.
• As complexity/size increases, nested LET() fucntions allow for modularity within the formula (more advanced)</t>
  </si>
  <si>
    <r>
      <t xml:space="preserve">• The </t>
    </r>
    <r>
      <rPr>
        <sz val="14"/>
        <rFont val="Consolas"/>
        <family val="3"/>
      </rPr>
      <t>LET</t>
    </r>
    <r>
      <rPr>
        <sz val="14"/>
        <rFont val="Segoe UI"/>
        <family val="2"/>
      </rPr>
      <t xml:space="preserve"> function is comprised of at least one name-value pair (i.e., name1, value1) and the final output (i.e., calculation).</t>
    </r>
  </si>
  <si>
    <r>
      <t xml:space="preserve">• The </t>
    </r>
    <r>
      <rPr>
        <sz val="14"/>
        <rFont val="Consolas"/>
        <family val="3"/>
      </rPr>
      <t>LET</t>
    </r>
    <r>
      <rPr>
        <sz val="14"/>
        <rFont val="Segoe UI"/>
        <family val="2"/>
      </rPr>
      <t xml:space="preserve"> function can have up to 126 name-value pairs.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</si>
  <si>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5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</si>
  <si>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1. Go to </t>
    </r>
    <r>
      <rPr>
        <b/>
        <sz val="14"/>
        <rFont val="Segoe UI"/>
        <family val="2"/>
      </rPr>
      <t>Formulas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Name Manager</t>
    </r>
  </si>
  <si>
    <t>3. Enter:</t>
  </si>
  <si>
    <r>
      <t xml:space="preserve">2. Click </t>
    </r>
    <r>
      <rPr>
        <b/>
        <sz val="14"/>
        <rFont val="Segoe UI"/>
        <family val="2"/>
      </rPr>
      <t>New</t>
    </r>
    <r>
      <rPr>
        <sz val="14"/>
        <rFont val="Segoe UI"/>
        <family val="2"/>
      </rPr>
      <t>…</t>
    </r>
  </si>
  <si>
    <r>
      <t xml:space="preserve">• </t>
    </r>
    <r>
      <rPr>
        <b/>
        <sz val="14"/>
        <rFont val="Segoe UI"/>
        <family val="2"/>
      </rPr>
      <t>Refers to</t>
    </r>
    <r>
      <rPr>
        <sz val="14"/>
        <rFont val="Segoe UI"/>
        <family val="2"/>
      </rPr>
      <t>: the LAMBDA formula (without the call)</t>
    </r>
  </si>
  <si>
    <r>
      <t xml:space="preserve">4. Click </t>
    </r>
    <r>
      <rPr>
        <b/>
        <sz val="14"/>
        <rFont val="Segoe UI"/>
        <family val="2"/>
      </rPr>
      <t>OK</t>
    </r>
  </si>
  <si>
    <r>
      <t xml:space="preserve">• </t>
    </r>
    <r>
      <rPr>
        <b/>
        <sz val="14"/>
        <rFont val="Segoe UI"/>
        <family val="2"/>
      </rPr>
      <t>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</si>
  <si>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Comment</t>
    </r>
    <r>
      <rPr>
        <sz val="14"/>
        <rFont val="Segoe UI"/>
        <family val="2"/>
      </rPr>
      <t>: optionally add a brief description of the LAMBDA formula</t>
    </r>
  </si>
  <si>
    <t>Install Excel Labs add-in:</t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</si>
  <si>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Add-ins</t>
    </r>
  </si>
  <si>
    <r>
      <t xml:space="preserve">2. Click </t>
    </r>
    <r>
      <rPr>
        <b/>
        <sz val="14"/>
        <rFont val="Segoe UI"/>
        <family val="2"/>
      </rPr>
      <t>More Add-ins</t>
    </r>
  </si>
  <si>
    <r>
      <t xml:space="preserve">3. Search for </t>
    </r>
    <r>
      <rPr>
        <b/>
        <sz val="14"/>
        <rFont val="Segoe UI"/>
        <family val="2"/>
      </rPr>
      <t>Excel Labs</t>
    </r>
  </si>
  <si>
    <r>
      <t xml:space="preserve">4. Click </t>
    </r>
    <r>
      <rPr>
        <b/>
        <sz val="14"/>
        <rFont val="Segoe UI"/>
        <family val="2"/>
      </rPr>
      <t>Add</t>
    </r>
  </si>
  <si>
    <t>Installing Excel Labs:</t>
  </si>
  <si>
    <r>
      <t xml:space="preserve">5.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</si>
  <si>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</si>
  <si>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2. Under the Advanced formula environment section click </t>
    </r>
    <r>
      <rPr>
        <b/>
        <sz val="14"/>
        <rFont val="Segoe UI"/>
        <family val="2"/>
      </rPr>
      <t>Open</t>
    </r>
  </si>
  <si>
    <r>
      <t xml:space="preserve">3. Select the </t>
    </r>
    <r>
      <rPr>
        <b/>
        <sz val="14"/>
        <rFont val="Segoe UI"/>
        <family val="2"/>
      </rPr>
      <t>Names</t>
    </r>
    <r>
      <rPr>
        <sz val="14"/>
        <rFont val="Segoe UI"/>
        <family val="2"/>
      </rPr>
      <t xml:space="preserve"> ribbon</t>
    </r>
  </si>
  <si>
    <r>
      <t xml:space="preserve">4. Click </t>
    </r>
    <r>
      <rPr>
        <b/>
        <sz val="14"/>
        <rFont val="Segoe UI"/>
        <family val="2"/>
      </rPr>
      <t>Add</t>
    </r>
    <r>
      <rPr>
        <sz val="14"/>
        <rFont val="Segoe UI"/>
        <family val="2"/>
      </rPr>
      <t xml:space="preserve"> </t>
    </r>
    <r>
      <rPr>
        <b/>
        <sz val="14"/>
        <rFont val="Segoe UI"/>
        <family val="2"/>
      </rPr>
      <t>New</t>
    </r>
  </si>
  <si>
    <t>5. Enter:</t>
  </si>
  <si>
    <r>
      <t xml:space="preserve">• </t>
    </r>
    <r>
      <rPr>
        <b/>
        <sz val="14"/>
        <rFont val="Segoe UI"/>
        <family val="2"/>
      </rPr>
      <t>Function 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</si>
  <si>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Description</t>
    </r>
    <r>
      <rPr>
        <sz val="14"/>
        <rFont val="Segoe UI"/>
        <family val="2"/>
      </rPr>
      <t>: optionally add a brief description of the LAMBDA formula</t>
    </r>
  </si>
  <si>
    <r>
      <t xml:space="preserve">• </t>
    </r>
    <r>
      <rPr>
        <b/>
        <sz val="14"/>
        <rFont val="Segoe UI"/>
        <family val="2"/>
      </rPr>
      <t>Arguments</t>
    </r>
    <r>
      <rPr>
        <sz val="14"/>
        <rFont val="Segoe UI"/>
        <family val="2"/>
      </rPr>
      <t>: the names of the LAMBDA parameters</t>
    </r>
  </si>
  <si>
    <r>
      <t xml:space="preserve">• </t>
    </r>
    <r>
      <rPr>
        <b/>
        <sz val="14"/>
        <rFont val="Segoe UI"/>
        <family val="2"/>
      </rPr>
      <t>Function definition</t>
    </r>
    <r>
      <rPr>
        <sz val="14"/>
        <rFont val="Segoe UI"/>
        <family val="2"/>
      </rPr>
      <t>: the calculation step of the LAMBDA</t>
    </r>
  </si>
  <si>
    <t>Comparison: Name Manager vs Excel Labs - Names</t>
  </si>
  <si>
    <t>Name Manager</t>
  </si>
  <si>
    <t>Availability</t>
  </si>
  <si>
    <t>Excel Labs</t>
  </si>
  <si>
    <t>Purpose</t>
  </si>
  <si>
    <t>Interface</t>
  </si>
  <si>
    <t>✅ High (formatting, structure)</t>
  </si>
  <si>
    <t>❌ Limited</t>
  </si>
  <si>
    <t>Organization</t>
  </si>
  <si>
    <t>✅ Centralized, structured</t>
  </si>
  <si>
    <t>Best Use Case</t>
  </si>
  <si>
    <t>Feature/Aspect</t>
  </si>
  <si>
    <t>❌ Single line</t>
  </si>
  <si>
    <t>• Build &amp; manage LAMBDAs
• UI layer on top of Name Manager</t>
  </si>
  <si>
    <t>• Stores LAMBDAs</t>
  </si>
  <si>
    <r>
      <t xml:space="preserve">• Modern, code-editor-like interface
</t>
    </r>
    <r>
      <rPr>
        <i/>
        <sz val="14"/>
        <color theme="1"/>
        <rFont val="Segoe UI"/>
        <family val="2"/>
      </rPr>
      <t>• LAMBDA becomes partially abstracted in the UI</t>
    </r>
  </si>
  <si>
    <t>• Basic dialog box</t>
  </si>
  <si>
    <t>• Quick / simple functions</t>
  </si>
  <si>
    <t>• Complex / multiple functions</t>
  </si>
  <si>
    <t>• Add-in required</t>
  </si>
  <si>
    <t>• Built-in</t>
  </si>
  <si>
    <t>To make an exisiting LAMBDA function reusable using Name Manager:</t>
  </si>
  <si>
    <t>To make a new reusable LABMDA function using Excel Labs:</t>
  </si>
  <si>
    <t>Creating Re-usable LAMBDA Functions With Excel Labs - Names:</t>
  </si>
  <si>
    <t>Creating Re-usable LAMBDA Functions With Name Manager:</t>
  </si>
  <si>
    <t>Optional Parameters &amp; Omission Handling</t>
  </si>
  <si>
    <t>What are Optional Parameters?</t>
  </si>
  <si>
    <t>• This allows functions to be more flexible and reusable</t>
  </si>
  <si>
    <t>• Unlike regular parameters, optional parameters are not required for every call</t>
  </si>
  <si>
    <t>• If a parameter is omitted, Excel will normally return a #VALUE! Error unless handled explicity</t>
  </si>
  <si>
    <t>• Optional parameters are demarcated by enclosing the parameter name in square brackets [ ]</t>
  </si>
  <si>
    <t>• Optional parameters must appear after all required parameters during naming</t>
  </si>
  <si>
    <t>ISOMITTED Function</t>
  </si>
  <si>
    <t>• Specifically designed for LAMBDA functions</t>
  </si>
  <si>
    <t>• Returns TRUE if an argument was not supplied at all</t>
  </si>
  <si>
    <r>
      <t>=ISOMITTED(</t>
    </r>
    <r>
      <rPr>
        <sz val="28"/>
        <color theme="9"/>
        <rFont val="Consolas"/>
        <family val="3"/>
      </rPr>
      <t>parameter</t>
    </r>
    <r>
      <rPr>
        <sz val="28"/>
        <color theme="1"/>
        <rFont val="Consolas"/>
        <family val="3"/>
      </rPr>
      <t>)</t>
    </r>
  </si>
  <si>
    <t xml:space="preserve">    LET(</t>
  </si>
  <si>
    <t xml:space="preserve">        pwr, IF(ISOMITTED(power), 2, power),</t>
  </si>
  <si>
    <r>
      <t>=LAMBDA(</t>
    </r>
    <r>
      <rPr>
        <sz val="16"/>
        <color theme="9"/>
        <rFont val="Consolas"/>
        <family val="3"/>
      </rPr>
      <t>number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[power]</t>
    </r>
    <r>
      <rPr>
        <sz val="16"/>
        <rFont val="Consolas"/>
        <family val="3"/>
      </rPr>
      <t>,</t>
    </r>
  </si>
  <si>
    <t xml:space="preserve">    )</t>
  </si>
  <si>
    <r>
      <t>)</t>
    </r>
    <r>
      <rPr>
        <sz val="16"/>
        <color theme="5"/>
        <rFont val="Consolas"/>
        <family val="3"/>
      </rPr>
      <t>(2)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</si>
  <si>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  <r>
      <rPr>
        <sz val="16"/>
        <color theme="5"/>
        <rFont val="Consolas"/>
        <family val="3"/>
      </rPr>
      <t>(2</t>
    </r>
    <r>
      <rPr>
        <sz val="16"/>
        <rFont val="Consolas"/>
        <family val="3"/>
      </rPr>
      <t>,</t>
    </r>
    <r>
      <rPr>
        <sz val="16"/>
        <color theme="5"/>
        <rFont val="Consolas"/>
        <family val="3"/>
      </rPr>
      <t xml:space="preserve"> 5)</t>
    </r>
  </si>
  <si>
    <t xml:space="preserve">        number^pwr</t>
  </si>
  <si>
    <t>• power is defined as an optional parameter, with a default value of 2</t>
  </si>
  <si>
    <t>• The IF() statement checks whether the power parameter is omitted from the call</t>
  </si>
  <si>
    <r>
      <t>)</t>
    </r>
    <r>
      <rPr>
        <sz val="16"/>
        <color theme="5"/>
        <rFont val="Consolas"/>
        <family val="3"/>
      </rPr>
      <t>($K$81, $K$82)</t>
    </r>
  </si>
  <si>
    <r>
      <t>)</t>
    </r>
    <r>
      <rPr>
        <sz val="16"/>
        <color theme="5"/>
        <rFont val="Consolas"/>
        <family val="3"/>
      </rPr>
      <t>($K$87, $K$88)</t>
    </r>
  </si>
  <si>
    <t xml:space="preserve">        pwr, IF(OR(ISOMITTED(power), ISBLANK(power)), 2, power),</t>
  </si>
  <si>
    <t>• Using the same omission handling as above, but using cell references, we can an incorrent output</t>
  </si>
  <si>
    <t>• Excel will read this as 0, resulting in an output of 1 (i.e., 2^0), when the default should be number^2</t>
  </si>
  <si>
    <t>Example: Replicate the POWER function using LAMBDA with optional power parameter</t>
  </si>
  <si>
    <t>error</t>
  </si>
  <si>
    <t>wrong output</t>
  </si>
  <si>
    <t>• To account for the possibility of a blank cell reference:</t>
  </si>
  <si>
    <t>• Added ISBLANK check of the optional power parameter</t>
  </si>
  <si>
    <t>• Add OR logic to the ISOMITTED and ISBLANK checks; if either is TRUE, then return the default of 2</t>
  </si>
  <si>
    <t>REUSABLE LAMBDA</t>
  </si>
  <si>
    <t>Style Coding</t>
  </si>
  <si>
    <t>Cell Reference</t>
  </si>
  <si>
    <t>LET Helper</t>
  </si>
  <si>
    <t>What is Excel Labs?</t>
  </si>
  <si>
    <t>• An add-in that provides a modern development environment for advanced Excel formulas</t>
  </si>
  <si>
    <t>• Especially useful for debugging formulas and creating LAMBDA functions</t>
  </si>
  <si>
    <t>Features</t>
  </si>
  <si>
    <t>Use Cases</t>
  </si>
  <si>
    <t>Grid View</t>
  </si>
  <si>
    <t>Names View</t>
  </si>
  <si>
    <t>• A worksheet-like interface for building, testing, and experimenting with formulas</t>
  </si>
  <si>
    <t>• A centralized interface for creating, editing, and managing LAMBDA functions</t>
  </si>
  <si>
    <t>• Prototyping formulas
• Testing intermediate calculations
• Learning and experimenting with new functions</t>
  </si>
  <si>
    <t>• Finalizing reusable functions
• Managing multiple LAMBDAs
• Editing existing named functions</t>
  </si>
  <si>
    <t>• Acts as a UI layer over Name Manager
• Create named LAMBDAs with a clean editor
• Supports multi-line formulas and formatting
• View all named functions in one place
• Easier editing compared to Name Manager
• Functions created here are saved directly to Name Manager</t>
  </si>
  <si>
    <t>• Write formulas in a structured, multi-cell layout
• Supports inline testing with immediate results
• Easier debugging through step-by-step inspection
• Ideal for developing logic before finalizing a LAMBDA
• Advanced formula debugging interface</t>
  </si>
  <si>
    <t>Views Summary:</t>
  </si>
  <si>
    <t>• ISOMITTED returns FALSE because the power parameter is being called, however, the cell value is blank</t>
  </si>
  <si>
    <t>Microsoft Resources: LAMBDA Function</t>
  </si>
  <si>
    <t>Microsoft Resources: ISOMITTED Function</t>
  </si>
  <si>
    <t>ExcelJet: LAMBDA Function</t>
  </si>
  <si>
    <t>ExcelJet: ISOMITTED Functions</t>
  </si>
  <si>
    <t>Resources and References</t>
  </si>
  <si>
    <t>TrumpEXCEL: Excel LAMBDA Function</t>
  </si>
  <si>
    <t>Example Formulas Using LAMBDA</t>
  </si>
  <si>
    <t>TrumpEXCEL: LET Function in Excel</t>
  </si>
  <si>
    <t>ExcelJet: LET Function</t>
  </si>
  <si>
    <t>Microsoft Resources: LET Function</t>
  </si>
  <si>
    <t>DILUTIONEQ</t>
  </si>
  <si>
    <t>No LAMBDA or LET</t>
  </si>
  <si>
    <t>Excel Labs Add-in</t>
  </si>
  <si>
    <t>GitHub: Excel Labs Advanced Formula Environment</t>
  </si>
  <si>
    <t>DESC_STATS</t>
  </si>
  <si>
    <t>Default Output</t>
  </si>
  <si>
    <t>Selective</t>
  </si>
  <si>
    <t>Excel Essentials: Working With Complex Functions in Excel Labs</t>
  </si>
  <si>
    <t>Topics</t>
  </si>
  <si>
    <t>Goals</t>
  </si>
  <si>
    <t>Sample</t>
  </si>
  <si>
    <t>FN</t>
  </si>
  <si>
    <t>Cd</t>
  </si>
  <si>
    <t>HVK</t>
  </si>
  <si>
    <t>Mill</t>
  </si>
  <si>
    <t>Ash</t>
  </si>
  <si>
    <t>GI</t>
  </si>
  <si>
    <t>Flag</t>
  </si>
  <si>
    <t>Expected</t>
  </si>
  <si>
    <t>Status</t>
  </si>
  <si>
    <r>
      <t>=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</si>
  <si>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</si>
  <si>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</si>
  <si>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</si>
  <si>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</si>
  <si>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</si>
  <si>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</si>
  <si>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</si>
  <si>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</si>
  <si>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</si>
  <si>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</si>
  <si>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</si>
  <si>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</t>
    </r>
  </si>
  <si>
    <t>    )</t>
  </si>
  <si>
    <t>Observations</t>
  </si>
  <si>
    <t>• Calculates the absolute difference from expected</t>
  </si>
  <si>
    <t>The maximum score is also universal and hard-coded</t>
  </si>
  <si>
    <t>For each column (i.e., FN, Cd, HVK, etc.):</t>
  </si>
  <si>
    <t>• Returns a numeric score depending on the guidelines</t>
  </si>
  <si>
    <t>Actions</t>
  </si>
  <si>
    <t>Create LABMDA for columns calculations</t>
  </si>
  <si>
    <t>Add variables:</t>
  </si>
  <si>
    <t>• max_demerit</t>
  </si>
  <si>
    <t>• is_blk</t>
  </si>
  <si>
    <t>Rev 1</t>
  </si>
  <si>
    <t>• msg</t>
  </si>
  <si>
    <t>• return (optional)</t>
  </si>
  <si>
    <r>
      <t xml:space="preserve">   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</si>
  <si>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</si>
  <si>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t>        )</t>
  </si>
  <si>
    <t>    ),</t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</si>
  <si>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</si>
  <si>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</si>
  <si>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</si>
  <si>
    <t>Modify formula to use dynamic arrays</t>
  </si>
  <si>
    <t>Rev 2</t>
  </si>
  <si>
    <t>• Problems could be hidden until all test results are input</t>
  </si>
  <si>
    <t>Turn into resuable LAMBDA</t>
  </si>
  <si>
    <t>Pro</t>
  </si>
  <si>
    <t>Give outputs of partially completed samples</t>
  </si>
  <si>
    <t>Guidelines: Results ± Expected</t>
  </si>
  <si>
    <t>Guidelines: Expected Values</t>
  </si>
  <si>
    <t>Demerits</t>
  </si>
  <si>
    <t>Scores are universal for all columns but are hard-coded (i.e., Poor = 3, Flag = 1)</t>
  </si>
  <si>
    <t>Calculation step feels busy with the blank checking and nested IF statement for message</t>
  </si>
  <si>
    <r>
      <t>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7"/>
        <rFont val="Consolas"/>
        <family val="3"/>
      </rPr>
      <t>$C$243</t>
    </r>
    <r>
      <rPr>
        <sz val="11"/>
        <rFont val="Consolas"/>
        <family val="3"/>
      </rPr>
      <t xml:space="preserve">,   </t>
    </r>
    <r>
      <rPr>
        <sz val="11"/>
        <color theme="5"/>
        <rFont val="Consolas"/>
        <family val="3"/>
      </rPr>
      <t xml:space="preserve">3 </t>
    </r>
    <r>
      <rPr>
        <sz val="11"/>
        <rFont val="Consolas"/>
        <family val="3"/>
      </rPr>
      <t xml:space="preserve">  , 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8"/>
        <rFont val="Consolas"/>
        <family val="3"/>
      </rPr>
      <t>$C$242</t>
    </r>
    <r>
      <rPr>
        <sz val="11"/>
        <rFont val="Consolas"/>
        <family val="3"/>
      </rPr>
      <t xml:space="preserve">,   </t>
    </r>
    <r>
      <rPr>
        <sz val="11"/>
        <color rgb="FFC00000"/>
        <rFont val="Consolas"/>
        <family val="3"/>
      </rPr>
      <t>1</t>
    </r>
    <r>
      <rPr>
        <sz val="11"/>
        <rFont val="Consolas"/>
        <family val="3"/>
      </rPr>
      <t xml:space="preserve">   , 0)),</t>
    </r>
  </si>
  <si>
    <r>
      <t xml:space="preserve">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7"/>
        <rFont val="Consolas"/>
        <family val="3"/>
      </rPr>
      <t xml:space="preserve">poor </t>
    </r>
    <r>
      <rPr>
        <sz val="11"/>
        <rFont val="Consolas"/>
        <family val="3"/>
      </rPr>
      <t xml:space="preserve">, </t>
    </r>
    <r>
      <rPr>
        <sz val="11"/>
        <color theme="5"/>
        <rFont val="Consolas"/>
        <family val="3"/>
      </rPr>
      <t>s_poor</t>
    </r>
    <r>
      <rPr>
        <sz val="11"/>
        <rFont val="Consolas"/>
        <family val="3"/>
      </rPr>
      <t xml:space="preserve">, 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8"/>
        <rFont val="Consolas"/>
        <family val="3"/>
      </rPr>
      <t xml:space="preserve">flag </t>
    </r>
    <r>
      <rPr>
        <sz val="11"/>
        <rFont val="Consolas"/>
        <family val="3"/>
      </rPr>
      <t xml:space="preserve">, </t>
    </r>
    <r>
      <rPr>
        <sz val="11"/>
        <color rgb="FFC00000"/>
        <rFont val="Consolas"/>
        <family val="3"/>
      </rPr>
      <t>s_flag</t>
    </r>
    <r>
      <rPr>
        <sz val="11"/>
        <rFont val="Consolas"/>
        <family val="3"/>
      </rPr>
      <t>, 0)),</t>
    </r>
  </si>
  <si>
    <t>• s_flag</t>
  </si>
  <si>
    <t>• s_poor</t>
  </si>
  <si>
    <t>• Compares the absolute difference to the guideline values</t>
  </si>
  <si>
    <r>
      <t xml:space="preserve">   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</si>
  <si>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</si>
  <si>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>,</t>
    </r>
  </si>
  <si>
    <r>
      <t xml:space="preserve">            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</si>
  <si>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</si>
  <si>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(C248, $C$241, $C$244, $C$245),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</si>
  <si>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(D248, $D$241, $D$244, $D$245),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</si>
  <si>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(E248, $E$241, $E$244, $E$245),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</si>
  <si>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(F248, $F$241, $F$244, $F$245),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</si>
  <si>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(G248, $G$241, $G$244, $G$245),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</si>
  <si>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(H248, $H$241, $H$244, $H$245),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</si>
  <si>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(I248, $I$241, $I$244, $I$245),</t>
    </r>
  </si>
  <si>
    <r>
      <t xml:space="preserve">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</si>
  <si>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</si>
  <si>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</si>
  <si>
    <r>
      <t xml:space="preserve">            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</si>
  <si>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</si>
  <si>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,</t>
    </r>
  </si>
  <si>
    <r>
      <t xml:space="preserve">        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</si>
  <si>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</si>
  <si>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</si>
  <si>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</si>
  <si>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</si>
  <si>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</si>
  <si>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</si>
  <si>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guideline_scores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</si>
  <si>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</si>
  <si>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</si>
  <si>
    <t>                )</t>
  </si>
  <si>
    <t>            )</t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</si>
  <si>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</si>
  <si>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</si>
  <si>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ISTEXT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</si>
  <si>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</si>
  <si>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TEXTJOIN</t>
    </r>
    <r>
      <rPr>
        <sz val="11"/>
        <color rgb="FF000000"/>
        <rFont val="Consolas"/>
        <family val="3"/>
      </rPr>
      <t>(</t>
    </r>
    <r>
      <rPr>
        <sz val="11"/>
        <color rgb="FFA31515"/>
        <rFont val="Consolas"/>
        <family val="3"/>
      </rPr>
      <t>", "</t>
    </r>
    <r>
      <rPr>
        <sz val="11"/>
        <color rgb="FF000000"/>
        <rFont val="Consolas"/>
        <family val="3"/>
      </rPr>
      <t xml:space="preserve">,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))),</t>
    </r>
  </si>
  <si>
    <r>
      <t xml:space="preserve">        </t>
    </r>
    <r>
      <rPr>
        <sz val="11"/>
        <color rgb="FF0969DA"/>
        <rFont val="Consolas"/>
        <family val="3"/>
      </rPr>
      <t>return</t>
    </r>
  </si>
  <si>
    <r>
      <t xml:space="preserve">   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</si>
  <si>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max_demerits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</si>
  <si>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"["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&amp; </t>
    </r>
    <r>
      <rPr>
        <sz val="11"/>
        <color rgb="FFA31515"/>
        <rFont val="Consolas"/>
        <family val="3"/>
      </rPr>
      <t>"] BLK: 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</si>
  <si>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</si>
  <si>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</si>
  <si>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</si>
  <si>
    <t>))</t>
  </si>
  <si>
    <t>Context</t>
  </si>
  <si>
    <t>Samples 1-10 are tested by seven different methods (i.e., FN, Cd, HVK, etc.)</t>
  </si>
  <si>
    <t>Create another column with the improvements</t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</si>
  <si>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flag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1</t>
    </r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</si>
  <si>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poor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3</t>
    </r>
  </si>
  <si>
    <t>For each result, compare to the expected value within a given range (±) and assign a demerit score:</t>
  </si>
  <si>
    <r>
      <t xml:space="preserve">• If the demerit score is </t>
    </r>
    <r>
      <rPr>
        <b/>
        <sz val="11"/>
        <color theme="1" tint="0.34998626667073579"/>
        <rFont val="Consolas"/>
        <family val="3"/>
      </rPr>
      <t>&lt; 3</t>
    </r>
    <r>
      <rPr>
        <sz val="11"/>
        <color theme="1" tint="0.34998626667073579"/>
        <rFont val="Consolas"/>
        <family val="3"/>
      </rPr>
      <t xml:space="preserve">, then output </t>
    </r>
    <r>
      <rPr>
        <b/>
        <sz val="11"/>
        <color theme="1" tint="0.34998626667073579"/>
        <rFont val="Consolas"/>
        <family val="3"/>
      </rPr>
      <t>"Pass"</t>
    </r>
  </si>
  <si>
    <r>
      <t>• If the demerit score is</t>
    </r>
    <r>
      <rPr>
        <b/>
        <sz val="11"/>
        <color theme="1" tint="0.34998626667073579"/>
        <rFont val="Consolas"/>
        <family val="3"/>
      </rPr>
      <t xml:space="preserve"> ≥ 3</t>
    </r>
    <r>
      <rPr>
        <sz val="11"/>
        <color theme="1" tint="0.34998626667073579"/>
        <rFont val="Consolas"/>
        <family val="3"/>
      </rPr>
      <t>, then output "</t>
    </r>
    <r>
      <rPr>
        <b/>
        <sz val="11"/>
        <color theme="1" tint="0.34998626667073579"/>
        <rFont val="Consolas"/>
        <family val="3"/>
      </rPr>
      <t>Discuss</t>
    </r>
    <r>
      <rPr>
        <sz val="11"/>
        <color theme="1" tint="0.34998626667073579"/>
        <rFont val="Consolas"/>
        <family val="3"/>
      </rPr>
      <t>"</t>
    </r>
  </si>
  <si>
    <t>For each sample, sum the demerit scores and output "Pass", "Discuss", or "" in the status column:</t>
  </si>
  <si>
    <r>
      <t xml:space="preserve">• If there is a </t>
    </r>
    <r>
      <rPr>
        <b/>
        <sz val="11"/>
        <color theme="1" tint="0.34998626667073579"/>
        <rFont val="Consolas"/>
        <family val="3"/>
      </rPr>
      <t>blank</t>
    </r>
    <r>
      <rPr>
        <sz val="11"/>
        <color theme="1" tint="0.34998626667073579"/>
        <rFont val="Consolas"/>
        <family val="3"/>
      </rPr>
      <t xml:space="preserve"> result, then output </t>
    </r>
    <r>
      <rPr>
        <b/>
        <sz val="11"/>
        <color theme="1" tint="0.34998626667073579"/>
        <rFont val="Consolas"/>
        <family val="3"/>
      </rPr>
      <t>""</t>
    </r>
  </si>
  <si>
    <r>
      <rPr>
        <i/>
        <sz val="11"/>
        <color theme="1" tint="0.34998626667073579"/>
        <rFont val="Consolas"/>
        <family val="3"/>
      </rPr>
      <t>BONUS</t>
    </r>
    <r>
      <rPr>
        <sz val="11"/>
        <color theme="1" tint="0.34998626667073579"/>
        <rFont val="Consolas"/>
        <family val="3"/>
      </rPr>
      <t xml:space="preserve"> Create a re-usable LAMBDA using dynamic arrays</t>
    </r>
  </si>
  <si>
    <t>Still a lot of cell references (5 per method x 7 methods = 35 references)</t>
  </si>
  <si>
    <t>Still have repeated cell references for each results (e.g., FN and within is_blk)</t>
  </si>
  <si>
    <t>• Excel Labs Add-in</t>
  </si>
  <si>
    <t>• LET Function</t>
  </si>
  <si>
    <t>• LAMBDA Function</t>
  </si>
  <si>
    <t>• Make formulas easier to read</t>
  </si>
  <si>
    <t>• Only reference a cell once</t>
  </si>
  <si>
    <t>• Minimize repeatitive blocks of code</t>
  </si>
  <si>
    <t>• Improve performance</t>
  </si>
  <si>
    <r>
      <t xml:space="preserve">• Focusing on the </t>
    </r>
    <r>
      <rPr>
        <b/>
        <sz val="14"/>
        <color theme="1"/>
        <rFont val="Segoe UI"/>
        <family val="2"/>
      </rPr>
      <t>Grid</t>
    </r>
    <r>
      <rPr>
        <sz val="14"/>
        <color theme="1"/>
        <rFont val="Segoe UI"/>
        <family val="2"/>
      </rPr>
      <t xml:space="preserve"> and </t>
    </r>
    <r>
      <rPr>
        <b/>
        <sz val="14"/>
        <color theme="1"/>
        <rFont val="Segoe UI"/>
        <family val="2"/>
      </rPr>
      <t>Names</t>
    </r>
    <r>
      <rPr>
        <sz val="14"/>
        <color theme="1"/>
        <rFont val="Segoe UI"/>
        <family val="2"/>
      </rPr>
      <t xml:space="preserve"> Views within the </t>
    </r>
    <r>
      <rPr>
        <b/>
        <sz val="14"/>
        <color theme="1"/>
        <rFont val="Segoe UI"/>
        <family val="2"/>
      </rPr>
      <t>Advanced Formula Environment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</si>
  <si>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$G$33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</si>
  <si>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    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$G$39</t>
    </r>
    <r>
      <rPr>
        <sz val="16"/>
        <rFont val="Consolas"/>
        <family val="3"/>
      </rPr>
      <t>,</t>
    </r>
  </si>
  <si>
    <r>
      <t xml:space="preserve">    </t>
    </r>
    <r>
      <rPr>
        <sz val="16"/>
        <color theme="7"/>
        <rFont val="Consolas"/>
        <family val="3"/>
      </rPr>
      <t>b</t>
    </r>
    <r>
      <rPr>
        <sz val="16"/>
        <rFont val="Consolas"/>
        <family val="3"/>
      </rPr>
      <t xml:space="preserve">, </t>
    </r>
    <r>
      <rPr>
        <sz val="16"/>
        <color theme="7"/>
        <rFont val="Consolas"/>
        <family val="3"/>
      </rPr>
      <t>$G$40</t>
    </r>
    <r>
      <rPr>
        <sz val="16"/>
        <rFont val="Consolas"/>
        <family val="3"/>
      </rPr>
      <t>,</t>
    </r>
  </si>
  <si>
    <t>• Expand and Re-size the formula bar.</t>
  </si>
  <si>
    <r>
      <t xml:space="preserve">• Use a </t>
    </r>
    <r>
      <rPr>
        <i/>
        <sz val="14"/>
        <color theme="1"/>
        <rFont val="Segoe UI"/>
        <family val="2"/>
      </rPr>
      <t>return</t>
    </r>
    <r>
      <rPr>
        <sz val="14"/>
        <color theme="1"/>
        <rFont val="Segoe UI"/>
        <family val="2"/>
      </rPr>
      <t xml:space="preserve"> variable for the final step instead of a calculation (useful for troubleshooting errors)</t>
    </r>
  </si>
  <si>
    <t>describes a value's position relative to</t>
  </si>
  <si>
    <t>Warning</t>
  </si>
  <si>
    <t>ZSCORE</t>
  </si>
  <si>
    <t>Label</t>
  </si>
  <si>
    <r>
      <t xml:space="preserve">• The </t>
    </r>
    <r>
      <rPr>
        <sz val="14"/>
        <color theme="8"/>
        <rFont val="Consolas"/>
        <family val="3"/>
      </rPr>
      <t>LET</t>
    </r>
    <r>
      <rPr>
        <sz val="14"/>
        <color theme="1"/>
        <rFont val="Segoe UI"/>
        <family val="2"/>
      </rPr>
      <t xml:space="preserve"> function allows you to create re-usable named variables within a formula.</t>
    </r>
  </si>
  <si>
    <t>• Calling a LAMBDA is the same as calling other Excel function. The function is followed by ( ); inside are the brackets are values.</t>
  </si>
  <si>
    <r>
      <t>=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</si>
  <si>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((A115-</t>
    </r>
    <r>
      <rPr>
        <sz val="11"/>
        <color rgb="FF033D8B"/>
        <rFont val="Consolas"/>
        <family val="3"/>
      </rPr>
      <t>AVERAGE</t>
    </r>
    <r>
      <rPr>
        <sz val="11"/>
        <color rgb="FF000000"/>
        <rFont val="Consolas"/>
        <family val="3"/>
      </rPr>
      <t>($A$115:$A$134))/</t>
    </r>
    <r>
      <rPr>
        <sz val="11"/>
        <color rgb="FF033D8B"/>
        <rFont val="Consolas"/>
        <family val="3"/>
      </rPr>
      <t>STDEV.S</t>
    </r>
    <r>
      <rPr>
        <sz val="11"/>
        <color rgb="FF000000"/>
        <rFont val="Consolas"/>
        <family val="3"/>
      </rPr>
      <t>($A$115:$A$134)),</t>
    </r>
  </si>
  <si>
    <t>    $E$116:$E$118,</t>
  </si>
  <si>
    <t>    $D$116:$D$118,</t>
  </si>
  <si>
    <r>
      <t xml:space="preserve">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</si>
  <si>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8658"/>
        <rFont val="Consolas"/>
        <family val="3"/>
      </rPr>
      <t>-1</t>
    </r>
  </si>
  <si>
    <r>
      <t xml:space="preserve">    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</si>
  <si>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</si>
  <si>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2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</si>
  <si>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</si>
  <si>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</si>
  <si>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t>    ))),</t>
  </si>
  <si>
    <t>Traditional</t>
  </si>
  <si>
    <t>LET with Dynamic Arrays</t>
  </si>
  <si>
    <t>Chars</t>
  </si>
  <si>
    <t>Style</t>
  </si>
  <si>
    <t>Lines</t>
  </si>
  <si>
    <t>• However, the Traditional method requires using that formula for each record in the dataset (n times)</t>
  </si>
  <si>
    <t>data (n)</t>
  </si>
  <si>
    <t>• In a simple side-by-side comparison of a single cell, Traditional appears to be much shorter.</t>
  </si>
  <si>
    <t>Data Ref</t>
  </si>
  <si>
    <t>Rule Ref</t>
  </si>
  <si>
    <t>• Furthermore, each Traditional formula makes multiple cell references to the dataset and to the rule table</t>
  </si>
  <si>
    <t>Formula Comparison</t>
  </si>
  <si>
    <t>Side-by-Side Stats</t>
  </si>
  <si>
    <t>All or nothing return; no information regarding partially complete/missing values</t>
  </si>
  <si>
    <t>Rev 3</t>
  </si>
  <si>
    <t>Mask</t>
  </si>
  <si>
    <t>What if I wanted to exclude a certain method from the demerit scoring?</t>
  </si>
  <si>
    <t>What if I wanted to see the demerit scores (i.e., debug)</t>
  </si>
  <si>
    <t>Add optional parameter [debug]</t>
  </si>
  <si>
    <t>With new features, should add some validation/edge case handling</t>
  </si>
  <si>
    <t>• What if no methods are selected?</t>
  </si>
  <si>
    <t>Add parameter method_mask</t>
  </si>
  <si>
    <t>Add a Mask row to dataset (T/F)</t>
  </si>
  <si>
    <t>Debug</t>
  </si>
  <si>
    <t>Conditional formatting?</t>
  </si>
  <si>
    <t>Add conditional formatting friendly output</t>
  </si>
  <si>
    <t>• Create second LAMBDA MERIT_SCORE (by cell calculation)</t>
  </si>
  <si>
    <t>• Use MERIT_SCORE for conditional formatting</t>
  </si>
  <si>
    <t>• Use MERIT_SCORE in MERIT_ASSESSEMENT to build array</t>
  </si>
  <si>
    <t>MERIT_ASSESSMENT</t>
  </si>
  <si>
    <t>MERIT_SCORE</t>
  </si>
  <si>
    <t>MERIT_ASSESSMENT_ARRAY</t>
  </si>
  <si>
    <t>Without Outer LAMBDA or LET</t>
  </si>
  <si>
    <t>• Minimize/remove helper formulas</t>
  </si>
  <si>
    <t>What is Margin of Error?</t>
  </si>
  <si>
    <t>MOE Formula</t>
  </si>
  <si>
    <t>MOE = margin of error</t>
  </si>
  <si>
    <t>MOE</t>
  </si>
  <si>
    <t>CI</t>
  </si>
  <si>
    <t xml:space="preserve">of uncertainty that tells you how much a </t>
  </si>
  <si>
    <t xml:space="preserve">true population value, given a chosen </t>
  </si>
  <si>
    <t>confidence level.</t>
  </si>
  <si>
    <t>DILUTIONEQ_V2</t>
  </si>
  <si>
    <r>
      <t xml:space="preserve">    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, $A$140:$A$159,</t>
    </r>
  </si>
  <si>
    <r>
      <t xml:space="preserve">    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>, D141:E143,</t>
    </r>
  </si>
  <si>
    <r>
      <t xml:space="preserve">    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 xml:space="preserve">, </t>
    </r>
    <r>
      <rPr>
        <sz val="11"/>
        <color rgb="FF8250DF"/>
        <rFont val="Consolas"/>
        <family val="3"/>
      </rPr>
      <t>ZSCORE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</si>
  <si>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>,</t>
    </r>
  </si>
  <si>
    <t>Accouting for Multiple Cells and External References</t>
  </si>
  <si>
    <t>Create a warnings column that returns a message for each record</t>
  </si>
  <si>
    <t>Rules Table</t>
  </si>
  <si>
    <t>Std (±)</t>
  </si>
  <si>
    <t>Dataset</t>
  </si>
  <si>
    <t>Revision 2 [Advnaced+]: Dynamic Arrays and Re-Usable LAMBDA</t>
  </si>
  <si>
    <t>Revision 1 [Moderate]: Add Variables and Helper LAMBDA</t>
  </si>
  <si>
    <t>Revision 3 [Advanced++]: Mask, Debug, Conditional Formatting (Second LAMBDA)</t>
  </si>
  <si>
    <t>• What if debug is not T/F (input error)?</t>
  </si>
  <si>
    <t>Conditional Formatting Rule Example</t>
  </si>
  <si>
    <t>Range [Easy]</t>
  </si>
  <si>
    <t>Interquartile Range [Easy]</t>
  </si>
  <si>
    <t>Standard Error of Mean [Easy]</t>
  </si>
  <si>
    <t>Calculate Z-Score of Each Record in Dataset [East - Moderate]</t>
  </si>
  <si>
    <t>Create Warning Column for Dataset Based on Rules [Advanced]</t>
  </si>
  <si>
    <t>Dilution Equation: Solve for the Unknown [Moderate - Advanced]</t>
  </si>
  <si>
    <t>Table of Descriptive Statistics [Advanced+]</t>
  </si>
  <si>
    <r>
      <t xml:space="preserve">Use the </t>
    </r>
    <r>
      <rPr>
        <b/>
        <sz val="11"/>
        <color theme="1" tint="0.34998626667073579"/>
        <rFont val="Consolas"/>
        <family val="3"/>
      </rPr>
      <t>Rules Table</t>
    </r>
    <r>
      <rPr>
        <sz val="11"/>
        <color theme="1" tint="0.34998626667073579"/>
        <rFont val="Consolas"/>
        <family val="3"/>
      </rPr>
      <t xml:space="preserve"> to determine the appropriate message to return:</t>
    </r>
  </si>
  <si>
    <r>
      <t xml:space="preserve">• Then return the message in the </t>
    </r>
    <r>
      <rPr>
        <b/>
        <sz val="11"/>
        <color theme="1" tint="0.34998626667073579"/>
        <rFont val="Consolas"/>
        <family val="3"/>
      </rPr>
      <t>Label</t>
    </r>
    <r>
      <rPr>
        <sz val="11"/>
        <color theme="1" tint="0.34998626667073579"/>
        <rFont val="Consolas"/>
        <family val="3"/>
      </rPr>
      <t xml:space="preserve"> column</t>
    </r>
  </si>
  <si>
    <r>
      <t xml:space="preserve">• If the absolute value of the z-score of a record is &gt;= the value in the </t>
    </r>
    <r>
      <rPr>
        <b/>
        <sz val="11"/>
        <color theme="1" tint="0.34998626667073579"/>
        <rFont val="Consolas"/>
        <family val="3"/>
      </rPr>
      <t>Std (±)</t>
    </r>
    <r>
      <rPr>
        <sz val="11"/>
        <color theme="1" tint="0.34998626667073579"/>
        <rFont val="Consolas"/>
        <family val="3"/>
      </rPr>
      <t xml:space="preserve"> column, </t>
    </r>
  </si>
  <si>
    <t>Original Status Formula [Easy - Moderate]</t>
  </si>
  <si>
    <t>LET's Make This Formula Better [Easy - Advanced++]</t>
  </si>
  <si>
    <t>Margin of Error [Easy]</t>
  </si>
  <si>
    <t>Relative Standard Deviation [Easy]</t>
  </si>
  <si>
    <t>IQR [Easy]</t>
  </si>
  <si>
    <t>SEM [Easy]</t>
  </si>
  <si>
    <t>MOE [Easy]</t>
  </si>
  <si>
    <t>RSD (w/ Optional Parameter) [Easy - Moderare]</t>
  </si>
  <si>
    <t>Dilution Equation: Solve for the Unknown (All Optional Parameter LAMBDA) [Moderate - Advanced]</t>
  </si>
  <si>
    <t>Relative Standard Deviation (With Optional Parameter LAMBDA) [Easy - Moderare]</t>
  </si>
  <si>
    <t>Dataset (Updated with Mask Row)</t>
  </si>
  <si>
    <t xml:space="preserve">A t-based margin of error is a measure </t>
  </si>
  <si>
    <t xml:space="preserve">sample estimate is expected to differ from </t>
  </si>
  <si>
    <t>using helpers</t>
  </si>
  <si>
    <t>no helpers</t>
  </si>
  <si>
    <r>
      <t>t</t>
    </r>
    <r>
      <rPr>
        <vertAlign val="subscript"/>
        <sz val="14"/>
        <color theme="1" tint="0.34998626667073579"/>
        <rFont val="Consolas"/>
        <family val="3"/>
      </rPr>
      <t>α/2, n-1</t>
    </r>
    <r>
      <rPr>
        <sz val="14"/>
        <color theme="1" tint="0.34998626667073579"/>
        <rFont val="Consolas"/>
        <family val="3"/>
      </rPr>
      <t xml:space="preserve"> = t critical value = </t>
    </r>
  </si>
  <si>
    <t>• If n &lt; threshold, then t-crit</t>
  </si>
  <si>
    <t>• If n ≥ threshold, then z-score</t>
  </si>
  <si>
    <t>Threshold</t>
  </si>
  <si>
    <t>MOE_ADV</t>
  </si>
  <si>
    <t>Set the default value of threshold to 15</t>
  </si>
  <si>
    <t>Set the default value of the confidence interval to 0.95</t>
  </si>
  <si>
    <t>MOE Formulas</t>
  </si>
  <si>
    <t>Create a formula that conditionally uses t-crit or z-index automatically to calculate MOE:</t>
  </si>
  <si>
    <r>
      <t xml:space="preserve">use </t>
    </r>
    <r>
      <rPr>
        <b/>
        <sz val="11"/>
        <color theme="1" tint="0.34998626667073579"/>
        <rFont val="Consolas"/>
        <family val="3"/>
      </rPr>
      <t>T.INV.2T</t>
    </r>
    <r>
      <rPr>
        <sz val="11"/>
        <color theme="1" tint="0.34998626667073579"/>
        <rFont val="Consolas"/>
        <family val="3"/>
      </rPr>
      <t xml:space="preserve"> to calculate t-crit</t>
    </r>
  </si>
  <si>
    <r>
      <t xml:space="preserve">use </t>
    </r>
    <r>
      <rPr>
        <b/>
        <sz val="11"/>
        <color theme="1" tint="0.34998626667073579"/>
        <rFont val="Consolas"/>
        <family val="3"/>
      </rPr>
      <t xml:space="preserve">NORM.S.INV </t>
    </r>
    <r>
      <rPr>
        <sz val="11"/>
        <color theme="1" tint="0.34998626667073579"/>
        <rFont val="Consolas"/>
        <family val="3"/>
      </rPr>
      <t>to calculate z-index</t>
    </r>
  </si>
  <si>
    <t>z-index</t>
  </si>
  <si>
    <t>t-crit</t>
  </si>
  <si>
    <t>α</t>
  </si>
  <si>
    <r>
      <t>MOE</t>
    </r>
    <r>
      <rPr>
        <b/>
        <vertAlign val="subscript"/>
        <sz val="28"/>
        <color theme="1" tint="0.34998626667073579"/>
        <rFont val="Consolas"/>
        <family val="3"/>
      </rPr>
      <t>z</t>
    </r>
    <r>
      <rPr>
        <b/>
        <sz val="28"/>
        <color theme="1" tint="0.34998626667073579"/>
        <rFont val="Consolas"/>
        <family val="3"/>
      </rPr>
      <t xml:space="preserve"> = </t>
    </r>
    <r>
      <rPr>
        <b/>
        <sz val="28"/>
        <color theme="8"/>
        <rFont val="Consolas"/>
        <family val="3"/>
      </rPr>
      <t>z</t>
    </r>
    <r>
      <rPr>
        <b/>
        <vertAlign val="subscript"/>
        <sz val="28"/>
        <color theme="8"/>
        <rFont val="Consolas"/>
        <family val="3"/>
      </rPr>
      <t>1-(α/2)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</si>
  <si>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>MOE</t>
    </r>
    <r>
      <rPr>
        <b/>
        <vertAlign val="subscript"/>
        <sz val="28"/>
        <color theme="1" tint="0.34998626667073579"/>
        <rFont val="Consolas"/>
        <family val="3"/>
      </rPr>
      <t>t</t>
    </r>
    <r>
      <rPr>
        <b/>
        <sz val="28"/>
        <color theme="1" tint="0.34998626667073579"/>
        <rFont val="Consolas"/>
        <family val="3"/>
      </rPr>
      <t xml:space="preserve"> = </t>
    </r>
    <r>
      <rPr>
        <b/>
        <sz val="28"/>
        <color theme="8"/>
        <rFont val="Consolas"/>
        <family val="3"/>
      </rPr>
      <t>t</t>
    </r>
    <r>
      <rPr>
        <b/>
        <vertAlign val="subscript"/>
        <sz val="28"/>
        <color theme="8"/>
        <rFont val="Consolas"/>
        <family val="3"/>
      </rPr>
      <t>α, n-1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</si>
  <si>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>MOE = t</t>
    </r>
    <r>
      <rPr>
        <b/>
        <vertAlign val="subscript"/>
        <sz val="28"/>
        <color theme="1" tint="0.34998626667073579"/>
        <rFont val="Consolas"/>
        <family val="3"/>
      </rPr>
      <t>α, n-1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</si>
  <si>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 xml:space="preserve">T.INV.2T uses </t>
    </r>
    <r>
      <rPr>
        <b/>
        <sz val="11"/>
        <color theme="1" tint="0.34998626667073579"/>
        <rFont val="Consolas"/>
        <family val="3"/>
      </rPr>
      <t>α</t>
    </r>
    <r>
      <rPr>
        <sz val="11"/>
        <color theme="1" tint="0.34998626667073579"/>
        <rFont val="Consolas"/>
        <family val="3"/>
      </rPr>
      <t xml:space="preserve"> as probability</t>
    </r>
  </si>
  <si>
    <r>
      <t>NORM.S.INV</t>
    </r>
    <r>
      <rPr>
        <b/>
        <sz val="11"/>
        <color theme="1" tint="0.34998626667073579"/>
        <rFont val="Consolas"/>
        <family val="3"/>
      </rPr>
      <t xml:space="preserve"> </t>
    </r>
    <r>
      <rPr>
        <sz val="11"/>
        <color theme="1" tint="0.34998626667073579"/>
        <rFont val="Consolas"/>
        <family val="3"/>
      </rPr>
      <t xml:space="preserve">uses </t>
    </r>
    <r>
      <rPr>
        <b/>
        <sz val="11"/>
        <color theme="1" tint="0.34998626667073579"/>
        <rFont val="Consolas"/>
        <family val="3"/>
      </rPr>
      <t xml:space="preserve">CI </t>
    </r>
    <r>
      <rPr>
        <sz val="11"/>
        <color theme="1" tint="0.34998626667073579"/>
        <rFont val="Consolas"/>
        <family val="3"/>
      </rPr>
      <t>as probability (need to adjust α to two tailed)</t>
    </r>
  </si>
  <si>
    <t>Create a formula that returns a 2 by x array of descriptive statistics</t>
  </si>
  <si>
    <t>• Column 1 is the name of the function being performed (i.e., sum, mean, med, sem, etc.)</t>
  </si>
  <si>
    <t>• Column 2 is the actual aggregated value</t>
  </si>
  <si>
    <t>If users provide a list of function names, then output only those aggregations</t>
  </si>
  <si>
    <t>Set the default value of functions to return all supported functions</t>
  </si>
  <si>
    <t>Validate functions parameters; if there are unknown functions, return it as a joined list</t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</si>
  <si>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method_mask</t>
    </r>
    <r>
      <rPr>
        <sz val="11"/>
        <rFont val="Consolas"/>
        <family val="3"/>
      </rPr>
      <t>, [</t>
    </r>
    <r>
      <rPr>
        <sz val="11"/>
        <color rgb="FF0969DA"/>
        <rFont val="Consolas"/>
        <family val="3"/>
      </rPr>
      <t>debug</t>
    </r>
    <r>
      <rPr>
        <sz val="11"/>
        <rFont val="Consolas"/>
        <family val="3"/>
      </rPr>
      <t>]</t>
    </r>
  </si>
  <si>
    <r>
      <t xml:space="preserve">    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ISOMITTED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 xml:space="preserve">),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 xml:space="preserve">)), </t>
    </r>
    <r>
      <rPr>
        <sz val="11"/>
        <color rgb="FF0000FF"/>
        <rFont val="Consolas"/>
        <family val="3"/>
      </rPr>
      <t>FALSE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>),</t>
    </r>
  </si>
  <si>
    <r>
      <t xml:space="preserve">                </t>
    </r>
    <r>
      <rPr>
        <sz val="11"/>
        <color rgb="FF8250DF"/>
        <rFont val="Consolas"/>
        <family val="3"/>
      </rPr>
      <t>MERIT_SCORE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</si>
  <si>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</si>
  <si>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</si>
  <si>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</si>
  <si>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</si>
  <si>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guideline_scores</t>
    </r>
  </si>
  <si>
    <r>
      <t xml:space="preserve">    </t>
    </r>
    <r>
      <rPr>
        <sz val="11"/>
        <color rgb="FF0969DA"/>
        <rFont val="Consolas"/>
        <family val="3"/>
      </rPr>
      <t>mask_arr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method_mask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))),</t>
    </r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</si>
  <si>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mask_arr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</si>
  <si>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msg_out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</si>
  <si>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IFS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</si>
  <si>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NOT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method_mask</t>
    </r>
    <r>
      <rPr>
        <sz val="11"/>
        <color rgb="FF000000"/>
        <rFont val="Consolas"/>
        <family val="3"/>
      </rPr>
      <t>)),</t>
    </r>
  </si>
  <si>
    <r>
      <t xml:space="preserve">        </t>
    </r>
    <r>
      <rPr>
        <sz val="11"/>
        <color rgb="FFA31515"/>
        <rFont val="Consolas"/>
        <family val="3"/>
      </rPr>
      <t>"#MASK!"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</si>
  <si>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NOT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ISLOGICAL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>)),</t>
    </r>
  </si>
  <si>
    <r>
      <t xml:space="preserve">        </t>
    </r>
    <r>
      <rPr>
        <sz val="11"/>
        <color rgb="FFA31515"/>
        <rFont val="Consolas"/>
        <family val="3"/>
      </rPr>
      <t>"#DEBUG!"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</si>
  <si>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</si>
  <si>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</si>
  <si>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</si>
  <si>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msg_out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</si>
  <si>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hdr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g_val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g_scr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</si>
  <si>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</si>
  <si>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g_scr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</si>
  <si>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hdr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</si>
  <si>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max_demerit</t>
    </r>
    <r>
      <rPr>
        <sz val="11"/>
        <color rgb="FF000000"/>
        <rFont val="Consolas"/>
        <family val="3"/>
      </rPr>
      <t>, $M$383,</t>
    </r>
  </si>
  <si>
    <r>
      <t xml:space="preserve">    </t>
    </r>
    <r>
      <rPr>
        <sz val="11"/>
        <color rgb="FF0969DA"/>
        <rFont val="Consolas"/>
        <family val="3"/>
      </rPr>
      <t>value</t>
    </r>
    <r>
      <rPr>
        <sz val="11"/>
        <color rgb="FF000000"/>
        <rFont val="Consolas"/>
        <family val="3"/>
      </rPr>
      <t>, C389,</t>
    </r>
  </si>
  <si>
    <r>
      <t xml:space="preserve">   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, C$379,</t>
    </r>
  </si>
  <si>
    <r>
      <t xml:space="preserve">    </t>
    </r>
    <r>
      <rPr>
        <sz val="11"/>
        <color rgb="FF0969DA"/>
        <rFont val="Consolas"/>
        <family val="3"/>
      </rPr>
      <t>header</t>
    </r>
    <r>
      <rPr>
        <sz val="11"/>
        <color rgb="FF000000"/>
        <rFont val="Consolas"/>
        <family val="3"/>
      </rPr>
      <t>, C$388,</t>
    </r>
  </si>
  <si>
    <r>
      <t xml:space="preserve">    </t>
    </r>
    <r>
      <rPr>
        <sz val="11"/>
        <color rgb="FF0969DA"/>
        <rFont val="Consolas"/>
        <family val="3"/>
      </rPr>
      <t>guide_value</t>
    </r>
    <r>
      <rPr>
        <sz val="11"/>
        <color rgb="FF000000"/>
        <rFont val="Consolas"/>
        <family val="3"/>
      </rPr>
      <t>, C$382:C$383,</t>
    </r>
  </si>
  <si>
    <r>
      <t xml:space="preserve">    </t>
    </r>
    <r>
      <rPr>
        <sz val="11"/>
        <color rgb="FF0969DA"/>
        <rFont val="Consolas"/>
        <family val="3"/>
      </rPr>
      <t>guide_score</t>
    </r>
    <r>
      <rPr>
        <sz val="11"/>
        <color rgb="FF000000"/>
        <rFont val="Consolas"/>
        <family val="3"/>
      </rPr>
      <t>, $M$382:$M$383,</t>
    </r>
  </si>
  <si>
    <r>
      <t xml:space="preserve">    </t>
    </r>
    <r>
      <rPr>
        <sz val="11"/>
        <color rgb="FF0969DA"/>
        <rFont val="Consolas"/>
        <family val="3"/>
      </rPr>
      <t>mask</t>
    </r>
    <r>
      <rPr>
        <sz val="11"/>
        <color rgb="FF000000"/>
        <rFont val="Consolas"/>
        <family val="3"/>
      </rPr>
      <t>, C$386,</t>
    </r>
  </si>
  <si>
    <r>
      <t xml:space="preserve">    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 xml:space="preserve">, </t>
    </r>
    <r>
      <rPr>
        <sz val="11"/>
        <color rgb="FF8250DF"/>
        <rFont val="Consolas"/>
        <family val="3"/>
      </rPr>
      <t>MERIT_SCORE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guide_value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guide_score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</si>
  <si>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is_num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ISNUMBER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</si>
  <si>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AND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mask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is_num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max_demerit</t>
    </r>
    <r>
      <rPr>
        <sz val="11"/>
        <color rgb="FF000000"/>
        <rFont val="Consolas"/>
        <family val="3"/>
      </rPr>
      <t>),</t>
    </r>
  </si>
  <si>
    <t>• If n &lt;= 1, return # N&lt;=1!</t>
  </si>
  <si>
    <t>• If confidence interval is not between 0-1, return #CI RNG!</t>
  </si>
  <si>
    <t>• If confidence interval is not a number, return #CI NaN!</t>
  </si>
  <si>
    <t>• If threshold is not a number, return #CI NaN!</t>
  </si>
  <si>
    <t>Margin of Error [Advanced++]: Dependant Calculation (w/ Optional Parameters and Validation)</t>
  </si>
  <si>
    <t>Validate parameters and if validation fails, return a message containing all issues:</t>
  </si>
  <si>
    <t>• If any records in the data are not numbers, return #DATA NaN!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</si>
</sst>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94" x14ac:knownFonts="1">
    <font>
      <sz val="11"/>
      <color theme="1"/>
      <name val="Aptos"/>
      <family val="2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  <font>
      <sz val="12"/>
      <color theme="1"/>
      <name val="Consolas"/>
      <family val="3"/>
    </font>
    <font>
      <sz val="14"/>
      <color theme="1"/>
      <name val="Consolas"/>
      <family val="3"/>
    </font>
    <font>
      <sz val="36"/>
      <color theme="1"/>
      <name val="Consolas"/>
      <family val="3"/>
    </font>
    <font>
      <b/>
      <sz val="12"/>
      <color theme="1"/>
      <name val="Consolas"/>
      <family val="3"/>
    </font>
    <font>
      <b/>
      <sz val="14"/>
      <color theme="1"/>
      <name val="Consolas"/>
      <family val="3"/>
    </font>
    <font>
      <sz val="12"/>
      <color rgb="FF212529"/>
      <name val="Segoe UI"/>
      <family val="2"/>
    </font>
    <font>
      <sz val="14"/>
      <color theme="1"/>
      <name val="Segoe UI"/>
      <family val="2"/>
    </font>
    <font>
      <b/>
      <sz val="16"/>
      <color theme="1"/>
      <name val="Segoe UI"/>
      <family val="2"/>
    </font>
    <font>
      <sz val="22"/>
      <color theme="9"/>
      <name val="Consolas"/>
      <family val="3"/>
    </font>
    <font>
      <sz val="22"/>
      <color theme="7"/>
      <name val="Consolas"/>
      <family val="3"/>
    </font>
    <font>
      <sz val="22"/>
      <color theme="8"/>
      <name val="Consolas"/>
      <family val="3"/>
    </font>
    <font>
      <b/>
      <sz val="14"/>
      <color theme="1"/>
      <name val="Segoe UI"/>
      <family val="2"/>
    </font>
    <font>
      <b/>
      <sz val="48"/>
      <color rgb="FF0070C0"/>
      <name val="Segoe UI"/>
      <family val="2"/>
    </font>
    <font>
      <b/>
      <sz val="14"/>
      <color rgb="FF0070C0"/>
      <name val="Segoe UI"/>
      <family val="2"/>
    </font>
    <font>
      <b/>
      <u/>
      <sz val="18"/>
      <color rgb="FF0070C0"/>
      <name val="Segoe UI"/>
      <family val="2"/>
    </font>
    <font>
      <sz val="14"/>
      <name val="Consolas"/>
      <family val="3"/>
    </font>
    <font>
      <i/>
      <sz val="11"/>
      <color theme="8"/>
      <name val="Consolas"/>
      <family val="3"/>
    </font>
    <font>
      <b/>
      <sz val="12"/>
      <color theme="8"/>
      <name val="Consolas"/>
      <family val="3"/>
    </font>
    <font>
      <i/>
      <sz val="11"/>
      <color theme="9"/>
      <name val="Consolas"/>
      <family val="3"/>
    </font>
    <font>
      <i/>
      <sz val="11"/>
      <color theme="5"/>
      <name val="Consolas"/>
      <family val="3"/>
    </font>
    <font>
      <b/>
      <i/>
      <sz val="11"/>
      <color theme="5"/>
      <name val="Consolas"/>
      <family val="3"/>
    </font>
    <font>
      <sz val="12"/>
      <color theme="8"/>
      <name val="Consolas"/>
      <family val="3"/>
    </font>
    <font>
      <b/>
      <sz val="14"/>
      <color theme="1" tint="0.34998626667073579"/>
      <name val="Consolas"/>
      <family val="3"/>
    </font>
    <font>
      <b/>
      <sz val="28"/>
      <color theme="1" tint="0.34998626667073579"/>
      <name val="Consolas"/>
      <family val="3"/>
    </font>
    <font>
      <sz val="14"/>
      <color theme="1" tint="0.34998626667073579"/>
      <name val="Consolas"/>
      <family val="3"/>
    </font>
    <font>
      <b/>
      <sz val="13"/>
      <color theme="1" tint="0.34998626667073579"/>
      <name val="Consolas"/>
      <family val="3"/>
    </font>
    <font>
      <sz val="11"/>
      <color theme="1" tint="0.34998626667073579"/>
      <name val="Consolas"/>
      <family val="3"/>
    </font>
    <font>
      <b/>
      <sz val="24"/>
      <color theme="1" tint="0.34998626667073579"/>
      <name val="Consolas"/>
      <family val="3"/>
    </font>
    <font>
      <b/>
      <vertAlign val="subscript"/>
      <sz val="28"/>
      <color theme="1" tint="0.34998626667073579"/>
      <name val="Consolas"/>
      <family val="3"/>
    </font>
    <font>
      <b/>
      <vertAlign val="subscript"/>
      <sz val="14"/>
      <color theme="1" tint="0.34998626667073579"/>
      <name val="Consolas"/>
      <family val="3"/>
    </font>
    <font>
      <i/>
      <sz val="11"/>
      <color theme="7"/>
      <name val="Consolas"/>
      <family val="3"/>
    </font>
    <font>
      <b/>
      <sz val="12"/>
      <color theme="7"/>
      <name val="Consolas"/>
      <family val="3"/>
    </font>
    <font>
      <sz val="14"/>
      <color theme="7"/>
      <name val="Consolas"/>
      <family val="3"/>
    </font>
    <font>
      <sz val="14"/>
      <color rgb="FFC00000"/>
      <name val="Consolas"/>
      <family val="3"/>
    </font>
    <font>
      <sz val="14"/>
      <color rgb="FFC00000"/>
      <name val="Segoe UI"/>
      <family val="2"/>
    </font>
    <font>
      <sz val="14"/>
      <name val="Segoe UI"/>
      <family val="2"/>
    </font>
    <font>
      <sz val="14"/>
      <color theme="8"/>
      <name val="Segoe UI"/>
      <family val="2"/>
    </font>
    <font>
      <sz val="11"/>
      <color theme="1"/>
      <name val="Segoe UI"/>
      <family val="2"/>
    </font>
    <font>
      <b/>
      <u/>
      <sz val="11"/>
      <color rgb="FF0070C0"/>
      <name val="Segoe UI"/>
      <family val="2"/>
    </font>
    <font>
      <sz val="28"/>
      <color theme="1"/>
      <name val="Consolas"/>
      <family val="3"/>
    </font>
    <font>
      <sz val="28"/>
      <color theme="9"/>
      <name val="Consolas"/>
      <family val="3"/>
    </font>
    <font>
      <sz val="28"/>
      <color theme="8"/>
      <name val="Consolas"/>
      <family val="3"/>
    </font>
    <font>
      <sz val="28"/>
      <color theme="7"/>
      <name val="Consolas"/>
      <family val="3"/>
    </font>
    <font>
      <sz val="28"/>
      <name val="Consolas"/>
      <family val="3"/>
    </font>
    <font>
      <sz val="16"/>
      <name val="Consolas"/>
      <family val="3"/>
    </font>
    <font>
      <sz val="16"/>
      <color theme="5"/>
      <name val="Consolas"/>
      <family val="3"/>
    </font>
    <font>
      <sz val="16"/>
      <color theme="9"/>
      <name val="Consolas"/>
      <family val="3"/>
    </font>
    <font>
      <sz val="16"/>
      <color theme="8"/>
      <name val="Consolas"/>
      <family val="3"/>
    </font>
    <font>
      <sz val="16"/>
      <color theme="1"/>
      <name val="Consolas"/>
      <family val="3"/>
    </font>
    <font>
      <sz val="16"/>
      <color theme="7"/>
      <name val="Consolas"/>
      <family val="3"/>
    </font>
    <font>
      <b/>
      <sz val="14"/>
      <name val="Segoe UI"/>
      <family val="2"/>
    </font>
    <font>
      <b/>
      <sz val="11"/>
      <color theme="1"/>
      <name val="Segoe UI"/>
      <family val="2"/>
    </font>
    <font>
      <i/>
      <sz val="14"/>
      <color theme="1"/>
      <name val="Segoe UI"/>
      <family val="2"/>
    </font>
    <font>
      <sz val="16"/>
      <color rgb="FFC00000"/>
      <name val="Consolas"/>
      <family val="3"/>
    </font>
    <font>
      <i/>
      <sz val="11"/>
      <color rgb="FFC00000"/>
      <name val="Consolas"/>
      <family val="3"/>
    </font>
    <font>
      <b/>
      <sz val="12"/>
      <color theme="5"/>
      <name val="Consolas"/>
      <family val="3"/>
    </font>
    <font>
      <u/>
      <sz val="14"/>
      <color theme="10"/>
      <name val="Segoe UI"/>
      <family val="2"/>
    </font>
    <font>
      <sz val="12"/>
      <color theme="1"/>
      <name val="Segoe UI"/>
      <family val="2"/>
    </font>
    <font>
      <sz val="11"/>
      <color rgb="FF000000"/>
      <name val="Consolas"/>
      <family val="3"/>
    </font>
    <font>
      <sz val="11"/>
      <color rgb="FF0969DA"/>
      <name val="Consolas"/>
      <family val="3"/>
    </font>
    <font>
      <sz val="11"/>
      <color rgb="FFC4432B"/>
      <name val="Consolas"/>
      <family val="3"/>
    </font>
    <font>
      <sz val="11"/>
      <color rgb="FF033D8B"/>
      <name val="Consolas"/>
      <family val="3"/>
    </font>
    <font>
      <sz val="11"/>
      <color rgb="FF098658"/>
      <name val="Consolas"/>
      <family val="3"/>
    </font>
    <font>
      <sz val="11"/>
      <color rgb="FFA31515"/>
      <name val="Consolas"/>
      <family val="3"/>
    </font>
    <font>
      <b/>
      <sz val="14"/>
      <color rgb="FF7030A0"/>
      <name val="Segoe UI"/>
      <family val="2"/>
    </font>
    <font>
      <b/>
      <sz val="12"/>
      <color rgb="FF0070C0"/>
      <name val="Segoe UI"/>
      <family val="2"/>
    </font>
    <font>
      <sz val="11"/>
      <color theme="7"/>
      <name val="Consolas"/>
      <family val="3"/>
    </font>
    <font>
      <sz val="11"/>
      <name val="Consolas"/>
      <family val="3"/>
    </font>
    <font>
      <sz val="11"/>
      <color theme="8"/>
      <name val="Consolas"/>
      <family val="3"/>
    </font>
    <font>
      <sz val="11"/>
      <color theme="9"/>
      <name val="Consolas"/>
      <family val="3"/>
    </font>
    <font>
      <sz val="11"/>
      <color theme="5"/>
      <name val="Consolas"/>
      <family val="3"/>
    </font>
    <font>
      <sz val="11"/>
      <color rgb="FFC00000"/>
      <name val="Consolas"/>
      <family val="3"/>
    </font>
    <font>
      <b/>
      <sz val="14"/>
      <color theme="7"/>
      <name val="Segoe UI"/>
      <family val="2"/>
    </font>
    <font>
      <sz val="11"/>
      <color rgb="FF0000FF"/>
      <name val="Consolas"/>
      <family val="3"/>
    </font>
    <font>
      <b/>
      <sz val="11"/>
      <color theme="1" tint="0.34998626667073579"/>
      <name val="Consolas"/>
      <family val="3"/>
    </font>
    <font>
      <i/>
      <sz val="11"/>
      <color theme="1" tint="0.34998626667073579"/>
      <name val="Consolas"/>
      <family val="3"/>
    </font>
    <font>
      <sz val="12"/>
      <color rgb="FFC00000"/>
      <name val="Consolas"/>
      <family val="3"/>
    </font>
    <font>
      <sz val="14"/>
      <color theme="8"/>
      <name val="Consolas"/>
      <family val="3"/>
    </font>
    <font>
      <i/>
      <sz val="12"/>
      <color theme="1"/>
      <name val="Consolas"/>
      <family val="3"/>
    </font>
    <font>
      <i/>
      <sz val="12"/>
      <color theme="1" tint="0.499984740745262"/>
      <name val="Consolas"/>
      <family val="3"/>
    </font>
    <font>
      <sz val="12"/>
      <color theme="1" tint="0.499984740745262"/>
      <name val="Consolas"/>
      <family val="3"/>
    </font>
    <font>
      <sz val="11"/>
      <color rgb="FF7030A0"/>
      <name val="Consolas"/>
      <family val="3"/>
    </font>
    <font>
      <sz val="11"/>
      <color rgb="FF8250DF"/>
      <name val="Consolas"/>
      <family val="3"/>
    </font>
    <font>
      <b/>
      <sz val="24"/>
      <color rgb="FF0070C0"/>
      <name val="Segoe UI"/>
      <family val="2"/>
    </font>
    <font>
      <sz val="12"/>
      <color theme="1"/>
      <name val="Aptos"/>
      <family val="2"/>
    </font>
    <font>
      <vertAlign val="subscript"/>
      <sz val="14"/>
      <color theme="1" tint="0.34998626667073579"/>
      <name val="Consolas"/>
      <family val="3"/>
    </font>
    <font>
      <b/>
      <sz val="12"/>
      <color rgb="FFC00000"/>
      <name val="Consolas"/>
      <family val="3"/>
    </font>
    <font>
      <b/>
      <sz val="28"/>
      <color theme="8"/>
      <name val="Consolas"/>
      <family val="3"/>
    </font>
    <font>
      <b/>
      <vertAlign val="subscript"/>
      <sz val="28"/>
      <color theme="8"/>
      <name val="Consolas"/>
      <family val="3"/>
    </font>
    <font>
      <i/>
      <sz val="14"/>
      <color theme="5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AEAF8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rgb="FFFEF5F0"/>
        <bgColor indexed="64"/>
      </patternFill>
    </fill>
    <fill>
      <patternFill patternType="solid">
        <fgColor rgb="FFECF9FE"/>
        <bgColor indexed="64"/>
      </patternFill>
    </fill>
  </fills>
  <borders count="13">
    <border>
      <left/>
      <right/>
      <top/>
      <bottom/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9" tint="0.79998168889431442"/>
      </left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5" tint="0.79998168889431442"/>
      </left>
      <right style="thin">
        <color theme="5" tint="0.79998168889431442"/>
      </right>
      <top style="thin">
        <color theme="5" tint="0.79998168889431442"/>
      </top>
      <bottom style="thin">
        <color theme="5" tint="0.79998168889431442"/>
      </bottom>
      <diagonal/>
    </border>
    <border>
      <left style="thin">
        <color theme="7" tint="0.79998168889431442"/>
      </left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5" tint="0.79998168889431442"/>
      </left>
      <right/>
      <top/>
      <bottom/>
      <diagonal/>
    </border>
    <border>
      <left style="thin">
        <color theme="7" tint="0.79998168889431442"/>
      </left>
      <right/>
      <top style="thin">
        <color theme="7" tint="0.79998168889431442"/>
      </top>
      <bottom style="thin">
        <color theme="7" tint="0.79998168889431442"/>
      </bottom>
      <diagonal/>
    </border>
    <border>
      <left/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9" tint="0.79998168889431442"/>
      </left>
      <right/>
      <top style="thin">
        <color theme="9" tint="0.79998168889431442"/>
      </top>
      <bottom style="thin">
        <color theme="9" tint="0.79998168889431442"/>
      </bottom>
      <diagonal/>
    </border>
    <border>
      <left/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5" tint="0.79998168889431442"/>
      </right>
      <top/>
      <bottom/>
      <diagonal/>
    </border>
  </borders>
  <cellStyleXfs count="6">
    <xf numFmtId="0" fontId="0" fillId="0" borderId="0"/>
    <xf numFmtId="0" fontId="60" fillId="0" borderId="0" applyNumberFormat="0" applyFill="0" applyBorder="0" applyAlignment="0" applyProtection="0"/>
    <xf numFmtId="0" fontId="4" fillId="3" borderId="1">
      <alignment horizontal="center"/>
    </xf>
    <xf numFmtId="0" fontId="4" fillId="4" borderId="2">
      <alignment horizontal="center"/>
    </xf>
    <xf numFmtId="0" fontId="4" fillId="5" borderId="3">
      <alignment horizontal="center"/>
    </xf>
    <xf numFmtId="0" fontId="4" fillId="6" borderId="4">
      <alignment horizontal="center"/>
    </xf>
  </cellStyleXfs>
  <cellXfs count="161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0" fontId="2" fillId="2" borderId="0" xfId="0" applyFont="1" applyFill="1"/>
    <xf numFmtId="0" fontId="4" fillId="2" borderId="0" xfId="0" applyFont="1" applyFill="1"/>
    <xf numFmtId="0" fontId="6" fillId="2" borderId="0" xfId="0" quotePrefix="1" applyFont="1" applyFill="1"/>
    <xf numFmtId="0" fontId="5" fillId="2" borderId="0" xfId="0" applyFont="1" applyFill="1"/>
    <xf numFmtId="0" fontId="10" fillId="2" borderId="0" xfId="0" applyFont="1" applyFill="1"/>
    <xf numFmtId="0" fontId="11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left"/>
    </xf>
    <xf numFmtId="0" fontId="16" fillId="2" borderId="0" xfId="0" applyFont="1" applyFill="1"/>
    <xf numFmtId="0" fontId="17" fillId="2" borderId="0" xfId="0" applyFont="1" applyFill="1"/>
    <xf numFmtId="0" fontId="18" fillId="2" borderId="0" xfId="0" applyFont="1" applyFill="1"/>
    <xf numFmtId="0" fontId="15" fillId="2" borderId="0" xfId="0" applyFont="1" applyFill="1"/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3" borderId="1" xfId="2">
      <alignment horizontal="center"/>
    </xf>
    <xf numFmtId="0" fontId="4" fillId="4" borderId="2" xfId="3">
      <alignment horizontal="center"/>
    </xf>
    <xf numFmtId="0" fontId="20" fillId="2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4" fillId="2" borderId="0" xfId="0" applyFont="1" applyFill="1" applyAlignment="1">
      <alignment horizontal="right" vertic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left" vertical="center"/>
    </xf>
    <xf numFmtId="0" fontId="4" fillId="5" borderId="3" xfId="4">
      <alignment horizontal="center"/>
    </xf>
    <xf numFmtId="0" fontId="7" fillId="5" borderId="3" xfId="4" applyFont="1">
      <alignment horizontal="center"/>
    </xf>
    <xf numFmtId="0" fontId="28" fillId="2" borderId="0" xfId="0" applyFont="1" applyFill="1"/>
    <xf numFmtId="0" fontId="4" fillId="6" borderId="4" xfId="5">
      <alignment horizontal="center"/>
    </xf>
    <xf numFmtId="0" fontId="34" fillId="2" borderId="0" xfId="0" applyFont="1" applyFill="1" applyAlignment="1">
      <alignment horizontal="center"/>
    </xf>
    <xf numFmtId="0" fontId="35" fillId="2" borderId="0" xfId="0" applyFont="1" applyFill="1" applyAlignment="1">
      <alignment horizontal="center"/>
    </xf>
    <xf numFmtId="0" fontId="36" fillId="2" borderId="0" xfId="0" applyFont="1" applyFill="1"/>
    <xf numFmtId="0" fontId="7" fillId="6" borderId="4" xfId="5" applyFont="1">
      <alignment horizontal="center"/>
    </xf>
    <xf numFmtId="0" fontId="30" fillId="2" borderId="0" xfId="0" applyFont="1" applyFill="1"/>
    <xf numFmtId="0" fontId="1" fillId="2" borderId="0" xfId="0" applyFont="1" applyFill="1"/>
    <xf numFmtId="0" fontId="42" fillId="2" borderId="0" xfId="0" applyFont="1" applyFill="1"/>
    <xf numFmtId="0" fontId="10" fillId="2" borderId="0" xfId="0" applyFont="1" applyFill="1" applyAlignment="1">
      <alignment horizontal="left" indent="1"/>
    </xf>
    <xf numFmtId="0" fontId="2" fillId="2" borderId="0" xfId="0" applyFont="1" applyFill="1" applyAlignment="1">
      <alignment vertical="center"/>
    </xf>
    <xf numFmtId="0" fontId="52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52" fillId="2" borderId="0" xfId="0" applyFont="1" applyFill="1" applyAlignment="1">
      <alignment vertical="center"/>
    </xf>
    <xf numFmtId="0" fontId="39" fillId="2" borderId="0" xfId="0" applyFont="1" applyFill="1" applyAlignment="1">
      <alignment horizontal="left" indent="1"/>
    </xf>
    <xf numFmtId="0" fontId="39" fillId="2" borderId="0" xfId="0" applyFont="1" applyFill="1" applyAlignment="1">
      <alignment horizontal="left" indent="2"/>
    </xf>
    <xf numFmtId="0" fontId="41" fillId="2" borderId="0" xfId="0" applyFont="1" applyFill="1"/>
    <xf numFmtId="0" fontId="30" fillId="2" borderId="0" xfId="0" applyFont="1" applyFill="1" applyAlignment="1">
      <alignment horizontal="left" indent="1"/>
    </xf>
    <xf numFmtId="0" fontId="57" fillId="0" borderId="0" xfId="0" applyFont="1" applyAlignment="1">
      <alignment horizontal="center" vertical="center"/>
    </xf>
    <xf numFmtId="0" fontId="58" fillId="2" borderId="0" xfId="0" applyFont="1" applyFill="1" applyAlignment="1">
      <alignment vertical="center"/>
    </xf>
    <xf numFmtId="0" fontId="30" fillId="2" borderId="0" xfId="0" applyFont="1" applyFill="1" applyAlignment="1">
      <alignment horizontal="left" indent="2"/>
    </xf>
    <xf numFmtId="0" fontId="59" fillId="2" borderId="0" xfId="0" applyFont="1" applyFill="1" applyAlignment="1">
      <alignment horizontal="center"/>
    </xf>
    <xf numFmtId="0" fontId="59" fillId="2" borderId="0" xfId="0" applyFont="1" applyFill="1" applyAlignment="1">
      <alignment horizontal="center" vertical="center"/>
    </xf>
    <xf numFmtId="0" fontId="59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60" fillId="2" borderId="0" xfId="1" applyFill="1" applyAlignment="1">
      <alignment horizontal="left" indent="1"/>
    </xf>
    <xf numFmtId="2" fontId="5" fillId="2" borderId="0" xfId="0" applyNumberFormat="1" applyFont="1" applyFill="1"/>
    <xf numFmtId="165" fontId="5" fillId="2" borderId="0" xfId="0" applyNumberFormat="1" applyFont="1" applyFill="1"/>
    <xf numFmtId="0" fontId="4" fillId="6" borderId="4" xfId="5" applyAlignment="1">
      <alignment horizontal="left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center"/>
    </xf>
    <xf numFmtId="2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left"/>
    </xf>
    <xf numFmtId="0" fontId="68" fillId="2" borderId="0" xfId="0" applyFont="1" applyFill="1" applyAlignment="1">
      <alignment horizontal="center"/>
    </xf>
    <xf numFmtId="0" fontId="30" fillId="2" borderId="0" xfId="0" applyFont="1" applyFill="1" applyAlignment="1">
      <alignment horizontal="left"/>
    </xf>
    <xf numFmtId="0" fontId="69" fillId="2" borderId="0" xfId="0" applyFont="1" applyFill="1"/>
    <xf numFmtId="0" fontId="76" fillId="2" borderId="0" xfId="0" applyFont="1" applyFill="1" applyAlignment="1">
      <alignment horizontal="center"/>
    </xf>
    <xf numFmtId="0" fontId="6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0" fillId="2" borderId="0" xfId="0" applyFill="1" applyAlignment="1">
      <alignment horizontal="left" indent="1"/>
    </xf>
    <xf numFmtId="0" fontId="2" fillId="2" borderId="0" xfId="0" applyFont="1" applyFill="1" applyAlignment="1">
      <alignment wrapText="1"/>
    </xf>
    <xf numFmtId="167" fontId="4" fillId="2" borderId="0" xfId="0" applyNumberFormat="1" applyFont="1" applyFill="1" applyAlignment="1">
      <alignment wrapText="1"/>
    </xf>
    <xf numFmtId="0" fontId="26" fillId="2" borderId="0" xfId="0" applyFont="1" applyFill="1"/>
    <xf numFmtId="0" fontId="80" fillId="0" borderId="0" xfId="0" applyFont="1" applyAlignment="1">
      <alignment horizontal="center"/>
    </xf>
    <xf numFmtId="166" fontId="4" fillId="3" borderId="1" xfId="2" applyNumberFormat="1">
      <alignment horizontal="center"/>
    </xf>
    <xf numFmtId="166" fontId="4" fillId="0" borderId="0" xfId="0" applyNumberFormat="1" applyFont="1" applyAlignment="1">
      <alignment horizontal="center"/>
    </xf>
    <xf numFmtId="2" fontId="4" fillId="2" borderId="0" xfId="0" applyNumberFormat="1" applyFont="1" applyFill="1" applyAlignment="1">
      <alignment horizontal="center" wrapText="1"/>
    </xf>
    <xf numFmtId="2" fontId="4" fillId="4" borderId="2" xfId="3" applyNumberFormat="1">
      <alignment horizontal="center"/>
    </xf>
    <xf numFmtId="0" fontId="82" fillId="2" borderId="0" xfId="0" applyFont="1" applyFill="1" applyAlignment="1">
      <alignment horizontal="center"/>
    </xf>
    <xf numFmtId="0" fontId="83" fillId="2" borderId="0" xfId="0" applyFont="1" applyFill="1" applyAlignment="1">
      <alignment horizontal="center"/>
    </xf>
    <xf numFmtId="0" fontId="84" fillId="2" borderId="0" xfId="0" applyFont="1" applyFill="1" applyAlignment="1">
      <alignment horizontal="center"/>
    </xf>
    <xf numFmtId="0" fontId="34" fillId="2" borderId="0" xfId="0" applyFont="1" applyFill="1" applyAlignment="1">
      <alignment horizontal="center"/>
    </xf>
    <xf numFmtId="1" fontId="4" fillId="0" borderId="0" xfId="0" applyNumberFormat="1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2" borderId="0" xfId="0" applyNumberFormat="1" applyFont="1" applyFill="1"/>
    <xf numFmtId="0" fontId="85" fillId="2" borderId="0" xfId="0" applyFont="1" applyFill="1"/>
    <xf numFmtId="0" fontId="78" fillId="2" borderId="0" xfId="0" applyFont="1" applyFill="1" applyAlignment="1">
      <alignment horizontal="left"/>
    </xf>
    <xf numFmtId="0" fontId="87" fillId="2" borderId="0" xfId="0" applyFont="1" applyFill="1"/>
    <xf numFmtId="0" fontId="88" fillId="2" borderId="0" xfId="0" applyFont="1" applyFill="1" applyAlignment="1">
      <alignment vertical="center"/>
    </xf>
    <xf numFmtId="0" fontId="28" fillId="2" borderId="0" xfId="0" applyFont="1" applyFill="1" applyAlignment="1"/>
    <xf numFmtId="0" fontId="90" fillId="2" borderId="0" xfId="0" applyFont="1" applyFill="1" applyAlignment="1">
      <alignment horizontal="center"/>
    </xf>
    <xf numFmtId="0" fontId="0" fillId="0" borderId="0" xfId="0" applyAlignment="1">
      <alignment horizontal="left" indent="1"/>
    </xf>
    <xf numFmtId="0" fontId="60" fillId="2" borderId="0" xfId="1" applyFill="1" applyAlignment="1">
      <alignment horizontal="left" indent="2"/>
    </xf>
    <xf numFmtId="0" fontId="17" fillId="0" borderId="0" xfId="0" applyFont="1" applyAlignment="1">
      <alignment vertical="center"/>
    </xf>
    <xf numFmtId="0" fontId="39" fillId="2" borderId="0" xfId="0" applyFont="1" applyFill="1" applyAlignment="1">
      <alignment horizontal="left" indent="1"/>
    </xf>
    <xf numFmtId="0" fontId="15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 indent="1"/>
    </xf>
    <xf numFmtId="0" fontId="10" fillId="0" borderId="0" xfId="0" applyFont="1" applyAlignment="1">
      <alignment vertical="center" wrapText="1"/>
    </xf>
    <xf numFmtId="0" fontId="10" fillId="0" borderId="0" xfId="0" applyFont="1"/>
    <xf numFmtId="0" fontId="15" fillId="2" borderId="0" xfId="0" applyFont="1" applyFill="1"/>
    <xf numFmtId="0" fontId="5" fillId="0" borderId="0" xfId="0" applyFont="1"/>
    <xf numFmtId="0" fontId="38" fillId="0" borderId="0" xfId="0" applyFont="1"/>
    <xf numFmtId="0" fontId="37" fillId="0" borderId="0" xfId="0" applyFont="1"/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48" fillId="0" borderId="0" xfId="0" quotePrefix="1" applyFont="1" applyAlignment="1">
      <alignment vertical="center"/>
    </xf>
    <xf numFmtId="0" fontId="43" fillId="0" borderId="0" xfId="0" quotePrefix="1" applyFont="1" applyAlignment="1">
      <alignment vertical="center"/>
    </xf>
    <xf numFmtId="0" fontId="10" fillId="0" borderId="0" xfId="0" applyFont="1" applyAlignment="1">
      <alignment vertical="center"/>
    </xf>
    <xf numFmtId="0" fontId="51" fillId="0" borderId="0" xfId="0" quotePrefix="1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39" fillId="2" borderId="0" xfId="0" applyFont="1" applyFill="1" applyAlignment="1">
      <alignment horizontal="left" indent="2"/>
    </xf>
    <xf numFmtId="0" fontId="17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39" fillId="2" borderId="0" xfId="0" applyFont="1" applyFill="1" applyAlignment="1">
      <alignment horizontal="left"/>
    </xf>
    <xf numFmtId="0" fontId="55" fillId="2" borderId="0" xfId="0" applyFont="1" applyFill="1" applyAlignment="1">
      <alignment horizontal="center" vertical="center" wrapText="1"/>
    </xf>
    <xf numFmtId="0" fontId="55" fillId="2" borderId="0" xfId="0" applyFont="1" applyFill="1" applyAlignment="1">
      <alignment horizontal="left" vertical="center" wrapText="1"/>
    </xf>
    <xf numFmtId="0" fontId="35" fillId="2" borderId="0" xfId="0" applyFont="1" applyFill="1" applyAlignment="1">
      <alignment horizontal="center"/>
    </xf>
    <xf numFmtId="0" fontId="34" fillId="2" borderId="0" xfId="0" applyFont="1" applyFill="1" applyAlignment="1">
      <alignment horizontal="center"/>
    </xf>
    <xf numFmtId="0" fontId="26" fillId="2" borderId="0" xfId="0" applyFont="1" applyFill="1" applyAlignment="1">
      <alignment horizontal="center"/>
    </xf>
    <xf numFmtId="0" fontId="30" fillId="2" borderId="0" xfId="0" applyFont="1" applyFill="1" applyAlignment="1"/>
    <xf numFmtId="0" fontId="27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62" fillId="0" borderId="0" xfId="0" applyFont="1" applyAlignment="1">
      <alignment vertical="center"/>
    </xf>
    <xf numFmtId="0" fontId="62" fillId="0" borderId="0" xfId="0" quotePrefix="1" applyFont="1" applyAlignment="1">
      <alignment vertical="center"/>
    </xf>
    <xf numFmtId="0" fontId="71" fillId="0" borderId="0" xfId="0" applyFont="1" applyAlignment="1">
      <alignment horizontal="center" vertical="center"/>
    </xf>
    <xf numFmtId="0" fontId="28" fillId="2" borderId="0" xfId="0" applyFont="1" applyFill="1"/>
    <xf numFmtId="0" fontId="30" fillId="2" borderId="0" xfId="0" applyFont="1" applyFill="1" applyAlignment="1">
      <alignment horizontal="justify"/>
    </xf>
    <xf numFmtId="0" fontId="30" fillId="2" borderId="0" xfId="0" applyFont="1" applyFill="1"/>
    <xf numFmtId="0" fontId="29" fillId="2" borderId="0" xfId="0" applyFont="1" applyFill="1" applyAlignment="1">
      <alignment horizontal="center"/>
    </xf>
    <xf numFmtId="0" fontId="4" fillId="5" borderId="5" xfId="4" applyBorder="1" applyAlignment="1">
      <alignment horizontal="center" vertical="center"/>
    </xf>
    <xf numFmtId="0" fontId="4" fillId="5" borderId="0" xfId="4" applyBorder="1" applyAlignment="1">
      <alignment horizontal="center" vertical="center"/>
    </xf>
    <xf numFmtId="0" fontId="4" fillId="3" borderId="10" xfId="2" applyBorder="1" applyAlignment="1">
      <alignment horizontal="center" vertical="center"/>
    </xf>
    <xf numFmtId="0" fontId="4" fillId="3" borderId="11" xfId="2" applyBorder="1" applyAlignment="1">
      <alignment horizontal="center" vertical="center"/>
    </xf>
    <xf numFmtId="0" fontId="4" fillId="4" borderId="8" xfId="3" applyBorder="1" applyAlignment="1">
      <alignment horizontal="center" vertical="center"/>
    </xf>
    <xf numFmtId="0" fontId="4" fillId="4" borderId="9" xfId="3" applyBorder="1" applyAlignment="1">
      <alignment horizontal="center" vertical="center"/>
    </xf>
    <xf numFmtId="0" fontId="4" fillId="6" borderId="6" xfId="5" applyBorder="1" applyAlignment="1">
      <alignment horizontal="center" vertical="center"/>
    </xf>
    <xf numFmtId="0" fontId="4" fillId="6" borderId="7" xfId="5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23" fillId="2" borderId="0" xfId="0" applyFont="1" applyFill="1" applyAlignment="1">
      <alignment horizontal="left" vertical="center" indent="1"/>
    </xf>
    <xf numFmtId="0" fontId="27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5" borderId="3" xfId="4" applyAlignment="1">
      <alignment horizontal="center" vertical="center"/>
    </xf>
    <xf numFmtId="0" fontId="4" fillId="6" borderId="4" xfId="5" applyAlignment="1">
      <alignment horizontal="center" vertical="center"/>
    </xf>
    <xf numFmtId="0" fontId="30" fillId="2" borderId="0" xfId="0" applyFont="1" applyFill="1" applyAlignment="1">
      <alignment horizontal="center"/>
    </xf>
    <xf numFmtId="0" fontId="24" fillId="2" borderId="0" xfId="0" applyFont="1" applyFill="1" applyAlignment="1">
      <alignment horizontal="left"/>
    </xf>
    <xf numFmtId="0" fontId="93" fillId="2" borderId="0" xfId="0" applyFont="1" applyFill="1"/>
    <xf numFmtId="0" fontId="4" fillId="0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</cellXfs>
  <cellStyles count="6">
    <cellStyle name="Hyperlink" xfId="1" builtinId="8" customBuiltin="1"/>
    <cellStyle name="LAMBDA" xfId="3" xr:uid="{20087EC8-BC88-4923-A4F2-DE57CFE0068E}"/>
    <cellStyle name="LET" xfId="2" xr:uid="{5796B971-90B3-4979-9167-680EDB8A70CF}"/>
    <cellStyle name="Normal" xfId="0" builtinId="0"/>
    <cellStyle name="REUSABLE" xfId="5" xr:uid="{F4F28207-B61F-44B3-94FD-2C7B9DE3403C}"/>
    <cellStyle name="WITHOUT" xfId="4" xr:uid="{B2DDB3CC-AFC5-4647-ADDB-30DE69D077A4}"/>
  </cellStyles>
  <dxfs count="9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FFB3B3"/>
      <color rgb="FFECF9FE"/>
      <color rgb="FFFEF5F0"/>
      <color rgb="FFEFF9EB"/>
      <color rgb="FFF0FAEC"/>
      <color rgb="FFFAEAF8"/>
      <color rgb="FFFBEF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409575</xdr:colOff>
      <xdr:row>1</xdr:row>
      <xdr:rowOff>66675</xdr:rowOff>
    </xdr:from>
    <xdr:to>
      <xdr:col>12</xdr:col>
      <xdr:colOff>410724</xdr:colOff>
      <xdr:row>27</xdr:row>
      <xdr:rowOff>38753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A4FD0C-C2E1-F203-AB13-7FFFDAFAB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40000"/>
        </a:blip>
        <a:stretch>
          <a:fillRect/>
        </a:stretch>
      </xdr:blipFill>
      <xdr:spPr>
        <a:xfrm>
          <a:off x="409575" y="545646"/>
          <a:ext cx="8230749" cy="4642050"/>
        </a:xfrm>
        <a:prstGeom prst="rect">
          <a:avLst/>
        </a:prstGeom>
      </xdr:spPr>
    </xdr:pic>
    <xdr:clientData/>
  </xdr:twoCellAnchor>
  <xdr:twoCellAnchor>
    <xdr:from>
      <xdr:col>1</xdr:col>
      <xdr:colOff>38144</xdr:colOff>
      <xdr:row>13</xdr:row>
      <xdr:rowOff>106327</xdr:rowOff>
    </xdr:from>
    <xdr:to>
      <xdr:col>12</xdr:col>
      <xdr:colOff>96355</xdr:colOff>
      <xdr:row>14</xdr:row>
      <xdr:rowOff>178716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E42DF3-5D17-5626-F997-C221A3E0C26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1290"/>
        <a:stretch>
          <a:fillRect/>
        </a:stretch>
      </xdr:blipFill>
      <xdr:spPr>
        <a:xfrm>
          <a:off x="723944" y="2740670"/>
          <a:ext cx="7602011" cy="252003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13</v>
    <v>24</v>
  </rv>
  <rv s="1">
    <v>0</v>
    <v>5</v>
  </rv>
  <rv s="1">
    <v>1</v>
    <v>5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51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F00965-E9C1-4990-A603-12C26A17E04B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D7A8D956-6E0E-47D1-9180-8F905735AA0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icrosoft/Excel-Labs/tree/main/advanced-formula-environmen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upport.microsoft.com/en-us/excel/let-function" TargetMode="External"/><Relationship Id="rId2" Type="http://schemas.openxmlformats.org/officeDocument/2006/relationships/hyperlink" Target="https://trumpexcel.com/excel-functions/let-function/" TargetMode="External"/><Relationship Id="rId1" Type="http://schemas.openxmlformats.org/officeDocument/2006/relationships/hyperlink" Target="https://exceljet.net/functions/let-functio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exceljet.net/functions/isomitted-function" TargetMode="External"/><Relationship Id="rId2" Type="http://schemas.openxmlformats.org/officeDocument/2006/relationships/hyperlink" Target="https://support.microsoft.com/en-US/Excel/isomitted-function" TargetMode="External"/><Relationship Id="rId1" Type="http://schemas.openxmlformats.org/officeDocument/2006/relationships/hyperlink" Target="https://support.microsoft.com/en-us/excel/lambda-function" TargetMode="External"/><Relationship Id="rId5" Type="http://schemas.openxmlformats.org/officeDocument/2006/relationships/hyperlink" Target="https://trumpexcel.com/excel-functions/lambda/" TargetMode="External"/><Relationship Id="rId4" Type="http://schemas.openxmlformats.org/officeDocument/2006/relationships/hyperlink" Target="https://exceljet.net/functions/lambda-fun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A1BDC-6BBA-4BE0-B960-713387FF2C09}">
  <dimension ref="A1:N48"/>
  <sheetViews>
    <sheetView topLeftCell="A24" zoomScaleNormal="100" workbookViewId="0">
      <selection activeCell="C51" sqref="C51"/>
    </sheetView>
  </sheetViews>
  <sheetFormatPr defaultRowHeight="15" outlineLevelRow="1" x14ac:dyDescent="0.25"/>
  <cols>
    <col min="1" max="16384" width="9" style="1"/>
  </cols>
  <sheetData>
    <row r="1" spans="1:14" ht="37.5" x14ac:dyDescent="0.7">
      <c r="A1" s="96" t="s">
        <v>352</v>
      </c>
    </row>
    <row r="2" spans="1:14" ht="14.25" customHeight="1" outlineLevel="1" x14ac:dyDescent="0.25">
      <c r="A2" s="97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</row>
    <row r="3" spans="1:14" ht="14.25" customHeight="1" outlineLevel="1" x14ac:dyDescent="0.25">
      <c r="A3" s="97"/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</row>
    <row r="4" spans="1:14" ht="14.25" customHeight="1" outlineLevel="1" x14ac:dyDescent="0.25">
      <c r="A4" s="97"/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</row>
    <row r="5" spans="1:14" ht="14.25" customHeight="1" outlineLevel="1" x14ac:dyDescent="0.25">
      <c r="A5" s="97"/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7"/>
      <c r="N5" s="97"/>
    </row>
    <row r="6" spans="1:14" ht="14.25" customHeight="1" outlineLevel="1" x14ac:dyDescent="0.25">
      <c r="A6" s="97"/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</row>
    <row r="7" spans="1:14" ht="14.25" customHeight="1" outlineLevel="1" x14ac:dyDescent="0.25">
      <c r="A7" s="97"/>
      <c r="B7" s="97"/>
      <c r="C7" s="97"/>
      <c r="D7" s="97"/>
      <c r="E7" s="97"/>
      <c r="F7" s="97"/>
      <c r="G7" s="97"/>
      <c r="H7" s="97"/>
      <c r="I7" s="97"/>
      <c r="J7" s="97"/>
      <c r="K7" s="97"/>
      <c r="L7" s="97"/>
      <c r="M7" s="97"/>
      <c r="N7" s="97"/>
    </row>
    <row r="8" spans="1:14" ht="14.25" customHeight="1" outlineLevel="1" x14ac:dyDescent="0.25">
      <c r="A8" s="97"/>
      <c r="B8" s="97"/>
      <c r="C8" s="97"/>
      <c r="D8" s="97"/>
      <c r="E8" s="97"/>
      <c r="F8" s="97"/>
      <c r="G8" s="97"/>
      <c r="H8" s="97"/>
      <c r="I8" s="97"/>
      <c r="J8" s="97"/>
      <c r="K8" s="97"/>
      <c r="L8" s="97"/>
      <c r="M8" s="97"/>
      <c r="N8" s="97"/>
    </row>
    <row r="9" spans="1:14" ht="14.25" customHeight="1" outlineLevel="1" x14ac:dyDescent="0.25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</row>
    <row r="10" spans="1:14" ht="14.25" customHeight="1" outlineLevel="1" x14ac:dyDescent="0.25">
      <c r="A10" s="97"/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</row>
    <row r="11" spans="1:14" ht="14.25" customHeight="1" outlineLevel="1" x14ac:dyDescent="0.25">
      <c r="A11" s="97"/>
      <c r="B11" s="97"/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</row>
    <row r="12" spans="1:14" ht="14.25" customHeight="1" outlineLevel="1" x14ac:dyDescent="0.25">
      <c r="A12" s="97"/>
      <c r="B12" s="97"/>
      <c r="C12" s="97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</row>
    <row r="13" spans="1:14" ht="14.25" customHeight="1" outlineLevel="1" x14ac:dyDescent="0.25">
      <c r="A13" s="97"/>
      <c r="B13" s="97"/>
      <c r="C13" s="97"/>
      <c r="D13" s="97"/>
      <c r="E13" s="97"/>
      <c r="F13" s="97"/>
      <c r="G13" s="97"/>
      <c r="H13" s="97"/>
      <c r="I13" s="97"/>
      <c r="J13" s="97"/>
      <c r="K13" s="97"/>
      <c r="L13" s="97"/>
      <c r="M13" s="97"/>
      <c r="N13" s="97"/>
    </row>
    <row r="14" spans="1:14" ht="14.25" customHeight="1" outlineLevel="1" x14ac:dyDescent="0.25">
      <c r="A14" s="97"/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</row>
    <row r="15" spans="1:14" ht="14.25" customHeight="1" outlineLevel="1" x14ac:dyDescent="0.25">
      <c r="A15" s="97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</row>
    <row r="16" spans="1:14" ht="14.25" customHeight="1" outlineLevel="1" x14ac:dyDescent="0.25">
      <c r="A16" s="97"/>
      <c r="B16" s="97"/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</row>
    <row r="17" spans="1:14" ht="14.25" customHeight="1" outlineLevel="1" x14ac:dyDescent="0.25">
      <c r="A17" s="97"/>
      <c r="B17" s="97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</row>
    <row r="18" spans="1:14" ht="14.25" customHeight="1" outlineLevel="1" x14ac:dyDescent="0.25">
      <c r="A18" s="97"/>
      <c r="B18" s="97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</row>
    <row r="19" spans="1:14" ht="14.25" customHeight="1" outlineLevel="1" x14ac:dyDescent="0.25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</row>
    <row r="20" spans="1:14" ht="14.25" customHeight="1" outlineLevel="1" x14ac:dyDescent="0.25">
      <c r="A20" s="97"/>
      <c r="B20" s="97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</row>
    <row r="21" spans="1:14" ht="14.25" customHeight="1" outlineLevel="1" x14ac:dyDescent="0.25">
      <c r="A21" s="97"/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</row>
    <row r="22" spans="1:14" ht="14.25" customHeight="1" outlineLevel="1" x14ac:dyDescent="0.25">
      <c r="A22" s="97"/>
      <c r="B22" s="97"/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</row>
    <row r="23" spans="1:14" ht="14.25" customHeight="1" outlineLevel="1" x14ac:dyDescent="0.25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</row>
    <row r="24" spans="1:14" ht="14.25" customHeight="1" outlineLevel="1" x14ac:dyDescent="0.25">
      <c r="A24" s="97"/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</row>
    <row r="25" spans="1:14" ht="14.25" customHeight="1" outlineLevel="1" x14ac:dyDescent="0.25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</row>
    <row r="26" spans="1:14" ht="14.25" customHeight="1" outlineLevel="1" x14ac:dyDescent="0.25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</row>
    <row r="27" spans="1:14" ht="14.25" customHeight="1" outlineLevel="1" x14ac:dyDescent="0.25">
      <c r="A27" s="97"/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</row>
    <row r="28" spans="1:14" ht="14.25" customHeight="1" outlineLevel="1" x14ac:dyDescent="0.25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</row>
    <row r="29" spans="1:14" ht="14.25" customHeight="1" outlineLevel="1" x14ac:dyDescent="0.25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</row>
    <row r="30" spans="1:14" ht="14.25" customHeight="1" outlineLevel="1" x14ac:dyDescent="0.25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</row>
    <row r="31" spans="1:14" ht="14.25" customHeight="1" outlineLevel="1" x14ac:dyDescent="0.25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</row>
    <row r="32" spans="1:14" ht="14.25" customHeight="1" outlineLevel="1" x14ac:dyDescent="0.25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</row>
    <row r="33" spans="1:14" ht="14.25" customHeight="1" outlineLevel="1" x14ac:dyDescent="0.25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</row>
    <row r="34" spans="1:14" ht="14.25" customHeight="1" outlineLevel="1" x14ac:dyDescent="0.25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</row>
    <row r="35" spans="1:14" outlineLevel="1" x14ac:dyDescent="0.25"/>
    <row r="36" spans="1:14" outlineLevel="1" x14ac:dyDescent="0.25"/>
    <row r="38" spans="1:14" ht="26.25" x14ac:dyDescent="0.45">
      <c r="A38" s="13" t="s">
        <v>353</v>
      </c>
    </row>
    <row r="39" spans="1:14" x14ac:dyDescent="0.25">
      <c r="A39" s="79" t="s">
        <v>471</v>
      </c>
    </row>
    <row r="40" spans="1:14" x14ac:dyDescent="0.25">
      <c r="A40" s="79" t="s">
        <v>472</v>
      </c>
    </row>
    <row r="41" spans="1:14" x14ac:dyDescent="0.25">
      <c r="A41" s="79" t="s">
        <v>473</v>
      </c>
    </row>
    <row r="43" spans="1:14" ht="26.25" x14ac:dyDescent="0.45">
      <c r="A43" s="13" t="s">
        <v>354</v>
      </c>
    </row>
    <row r="44" spans="1:14" x14ac:dyDescent="0.25">
      <c r="A44" s="79" t="s">
        <v>474</v>
      </c>
    </row>
    <row r="45" spans="1:14" x14ac:dyDescent="0.25">
      <c r="A45" s="79" t="s">
        <v>476</v>
      </c>
    </row>
    <row r="46" spans="1:14" x14ac:dyDescent="0.25">
      <c r="A46" s="79" t="s">
        <v>477</v>
      </c>
    </row>
    <row r="47" spans="1:14" x14ac:dyDescent="0.25">
      <c r="A47" s="79" t="s">
        <v>475</v>
      </c>
    </row>
    <row r="48" spans="1:14" x14ac:dyDescent="0.25">
      <c r="A48" s="79" t="s">
        <v>535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24562-5576-4961-B0A1-690DBF0BD2B4}">
  <dimension ref="A1:O24"/>
  <sheetViews>
    <sheetView zoomScaleNormal="100" workbookViewId="0">
      <selection activeCell="O7" sqref="O7"/>
    </sheetView>
  </sheetViews>
  <sheetFormatPr defaultRowHeight="15" outlineLevelRow="1" x14ac:dyDescent="0.25"/>
  <cols>
    <col min="1" max="16384" width="9" style="1"/>
  </cols>
  <sheetData>
    <row r="1" spans="1:15" ht="69" x14ac:dyDescent="1.1499999999999999">
      <c r="A1" s="11" t="s">
        <v>347</v>
      </c>
    </row>
    <row r="3" spans="1:15" ht="26.25" x14ac:dyDescent="0.45">
      <c r="A3" s="13" t="s">
        <v>320</v>
      </c>
    </row>
    <row r="4" spans="1:15" ht="20.25" hidden="1" outlineLevel="1" x14ac:dyDescent="0.35">
      <c r="A4" s="105" t="s">
        <v>321</v>
      </c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</row>
    <row r="5" spans="1:15" ht="20.25" hidden="1" outlineLevel="1" x14ac:dyDescent="0.35">
      <c r="A5" s="105" t="s">
        <v>322</v>
      </c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</row>
    <row r="6" spans="1:15" ht="20.25" hidden="1" outlineLevel="1" x14ac:dyDescent="0.35">
      <c r="A6" s="105" t="s">
        <v>478</v>
      </c>
      <c r="B6" s="105"/>
      <c r="C6" s="105"/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</row>
    <row r="7" spans="1:15" collapsed="1" x14ac:dyDescent="0.25"/>
    <row r="8" spans="1:15" ht="26.25" x14ac:dyDescent="0.45">
      <c r="A8" s="13" t="s">
        <v>249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ht="20.25" hidden="1" outlineLevel="1" x14ac:dyDescent="0.35">
      <c r="A9" s="7" t="s">
        <v>244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ht="20.25" hidden="1" outlineLevel="1" x14ac:dyDescent="0.35">
      <c r="A10" s="103" t="s">
        <v>245</v>
      </c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</row>
    <row r="11" spans="1:15" ht="20.25" hidden="1" outlineLevel="1" x14ac:dyDescent="0.35">
      <c r="A11" s="103" t="s">
        <v>246</v>
      </c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3"/>
      <c r="N11" s="103"/>
      <c r="O11" s="103"/>
    </row>
    <row r="12" spans="1:15" ht="20.25" hidden="1" outlineLevel="1" x14ac:dyDescent="0.35">
      <c r="A12" s="103" t="s">
        <v>247</v>
      </c>
      <c r="B12" s="103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</row>
    <row r="13" spans="1:15" ht="20.25" hidden="1" outlineLevel="1" x14ac:dyDescent="0.35">
      <c r="A13" s="103" t="s">
        <v>248</v>
      </c>
      <c r="B13" s="103"/>
      <c r="C13" s="103"/>
      <c r="D13" s="103"/>
      <c r="E13" s="103"/>
      <c r="F13" s="103"/>
      <c r="G13" s="103"/>
      <c r="H13" s="103"/>
      <c r="I13" s="103"/>
      <c r="J13" s="103"/>
      <c r="K13" s="103"/>
      <c r="L13" s="103"/>
      <c r="M13" s="103"/>
      <c r="N13" s="103"/>
      <c r="O13" s="103"/>
    </row>
    <row r="14" spans="1:15" ht="20.25" hidden="1" outlineLevel="1" x14ac:dyDescent="0.35">
      <c r="A14" s="103" t="s">
        <v>250</v>
      </c>
      <c r="B14" s="103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</row>
    <row r="15" spans="1:15" collapsed="1" x14ac:dyDescent="0.25"/>
    <row r="16" spans="1:15" ht="26.25" x14ac:dyDescent="0.45">
      <c r="A16" s="13" t="s">
        <v>333</v>
      </c>
    </row>
    <row r="17" spans="1:15" ht="20.25" hidden="1" outlineLevel="1" x14ac:dyDescent="0.35">
      <c r="D17" s="104" t="s">
        <v>325</v>
      </c>
      <c r="E17" s="104"/>
      <c r="F17" s="104"/>
      <c r="G17" s="104"/>
      <c r="H17" s="104"/>
      <c r="I17" s="104"/>
      <c r="J17" s="104" t="s">
        <v>326</v>
      </c>
      <c r="K17" s="104"/>
      <c r="L17" s="104"/>
      <c r="M17" s="104"/>
      <c r="N17" s="104"/>
      <c r="O17" s="104"/>
    </row>
    <row r="18" spans="1:15" ht="44.25" hidden="1" customHeight="1" outlineLevel="1" x14ac:dyDescent="0.25">
      <c r="A18" s="102" t="s">
        <v>264</v>
      </c>
      <c r="B18" s="102"/>
      <c r="C18" s="102"/>
      <c r="D18" s="106" t="s">
        <v>327</v>
      </c>
      <c r="E18" s="106"/>
      <c r="F18" s="106"/>
      <c r="G18" s="106"/>
      <c r="H18" s="106"/>
      <c r="I18" s="106"/>
      <c r="J18" s="106" t="s">
        <v>328</v>
      </c>
      <c r="K18" s="106"/>
      <c r="L18" s="106"/>
      <c r="M18" s="106"/>
      <c r="N18" s="106"/>
      <c r="O18" s="106"/>
    </row>
    <row r="19" spans="1:15" ht="155.25" hidden="1" customHeight="1" outlineLevel="1" x14ac:dyDescent="0.25">
      <c r="A19" s="102" t="s">
        <v>323</v>
      </c>
      <c r="B19" s="102"/>
      <c r="C19" s="102"/>
      <c r="D19" s="106" t="s">
        <v>332</v>
      </c>
      <c r="E19" s="106"/>
      <c r="F19" s="106"/>
      <c r="G19" s="106"/>
      <c r="H19" s="106"/>
      <c r="I19" s="106"/>
      <c r="J19" s="106" t="s">
        <v>331</v>
      </c>
      <c r="K19" s="106"/>
      <c r="L19" s="106"/>
      <c r="M19" s="106"/>
      <c r="N19" s="106"/>
      <c r="O19" s="106"/>
    </row>
    <row r="20" spans="1:15" ht="70.5" hidden="1" customHeight="1" outlineLevel="1" x14ac:dyDescent="0.25">
      <c r="A20" s="102" t="s">
        <v>324</v>
      </c>
      <c r="B20" s="102"/>
      <c r="C20" s="102"/>
      <c r="D20" s="106" t="s">
        <v>329</v>
      </c>
      <c r="E20" s="106"/>
      <c r="F20" s="106"/>
      <c r="G20" s="106"/>
      <c r="H20" s="106"/>
      <c r="I20" s="106"/>
      <c r="J20" s="106" t="s">
        <v>330</v>
      </c>
      <c r="K20" s="106"/>
      <c r="L20" s="106"/>
      <c r="M20" s="106"/>
      <c r="N20" s="106"/>
      <c r="O20" s="106"/>
    </row>
    <row r="21" spans="1:15" collapsed="1" x14ac:dyDescent="0.25"/>
    <row r="22" spans="1:15" ht="26.25" x14ac:dyDescent="0.45">
      <c r="A22" s="13" t="s">
        <v>339</v>
      </c>
    </row>
    <row r="23" spans="1:15" ht="20.25" hidden="1" outlineLevel="1" x14ac:dyDescent="0.35">
      <c r="A23" s="60" t="s">
        <v>348</v>
      </c>
    </row>
    <row r="24" spans="1:15" collapsed="1" x14ac:dyDescent="0.25"/>
  </sheetData>
  <mergeCells count="19">
    <mergeCell ref="A4:O4"/>
    <mergeCell ref="A5:O5"/>
    <mergeCell ref="A6:O6"/>
    <mergeCell ref="A18:C18"/>
    <mergeCell ref="A19:C19"/>
    <mergeCell ref="D18:I18"/>
    <mergeCell ref="J18:O18"/>
    <mergeCell ref="D19:I19"/>
    <mergeCell ref="J19:O19"/>
    <mergeCell ref="A20:C20"/>
    <mergeCell ref="A10:O10"/>
    <mergeCell ref="A11:O11"/>
    <mergeCell ref="A12:O12"/>
    <mergeCell ref="A13:O13"/>
    <mergeCell ref="A14:O14"/>
    <mergeCell ref="D17:I17"/>
    <mergeCell ref="J17:O17"/>
    <mergeCell ref="D20:I20"/>
    <mergeCell ref="J20:O20"/>
  </mergeCells>
  <hyperlinks>
    <hyperlink ref="A23" r:id="rId1" xr:uid="{1955A324-4B35-42AE-BED6-7FB0A24AD18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C2E6-87C4-46AD-ADA9-D44C1E8BEF56}">
  <dimension ref="A1:Y158"/>
  <sheetViews>
    <sheetView topLeftCell="A82" zoomScaleNormal="100" workbookViewId="0">
      <selection activeCell="A98" sqref="A98"/>
    </sheetView>
  </sheetViews>
  <sheetFormatPr defaultRowHeight="15" outlineLevelRow="1" x14ac:dyDescent="0.25"/>
  <cols>
    <col min="1" max="15" width="9" style="3"/>
    <col min="16" max="16" width="9" style="3" customWidth="1"/>
    <col min="17" max="16384" width="9" style="3"/>
  </cols>
  <sheetData>
    <row r="1" spans="1:25" ht="69" x14ac:dyDescent="1.1499999999999999">
      <c r="A1" s="11" t="s">
        <v>68</v>
      </c>
    </row>
    <row r="3" spans="1:25" ht="26.25" x14ac:dyDescent="0.45">
      <c r="A3" s="13" t="s">
        <v>27</v>
      </c>
    </row>
    <row r="4" spans="1:25" ht="20.25" outlineLevel="1" x14ac:dyDescent="0.35">
      <c r="A4" s="105" t="s">
        <v>488</v>
      </c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</row>
    <row r="6" spans="1:25" ht="26.25" x14ac:dyDescent="0.45">
      <c r="A6" s="13" t="s">
        <v>26</v>
      </c>
    </row>
    <row r="7" spans="1:25" ht="16.5" outlineLevel="1" x14ac:dyDescent="0.3">
      <c r="A7" s="41"/>
    </row>
    <row r="8" spans="1:25" ht="41.25" customHeight="1" outlineLevel="1" x14ac:dyDescent="0.25">
      <c r="A8" s="102" t="s">
        <v>25</v>
      </c>
      <c r="B8" s="102"/>
      <c r="C8" s="102"/>
      <c r="D8" s="106" t="s">
        <v>232</v>
      </c>
      <c r="E8" s="117"/>
      <c r="F8" s="117"/>
      <c r="G8" s="117"/>
      <c r="H8" s="117"/>
      <c r="I8" s="117"/>
      <c r="J8" s="117"/>
      <c r="K8" s="117"/>
      <c r="L8" s="117"/>
      <c r="M8" s="117"/>
      <c r="N8" s="117"/>
      <c r="O8" s="117"/>
    </row>
    <row r="9" spans="1:25" ht="85.5" customHeight="1" outlineLevel="1" x14ac:dyDescent="0.25">
      <c r="A9" s="102" t="s">
        <v>29</v>
      </c>
      <c r="B9" s="102"/>
      <c r="C9" s="102"/>
      <c r="D9" s="106" t="s">
        <v>233</v>
      </c>
      <c r="E9" s="117"/>
      <c r="F9" s="117"/>
      <c r="G9" s="117"/>
      <c r="H9" s="117"/>
      <c r="I9" s="117"/>
      <c r="J9" s="117"/>
      <c r="K9" s="117"/>
      <c r="L9" s="117"/>
      <c r="M9" s="117"/>
      <c r="N9" s="117"/>
      <c r="O9" s="117"/>
    </row>
    <row r="11" spans="1:25" ht="26.25" x14ac:dyDescent="0.45">
      <c r="A11" s="13" t="s">
        <v>28</v>
      </c>
    </row>
    <row r="12" spans="1:25" ht="20.25" outlineLevel="1" x14ac:dyDescent="0.35">
      <c r="A12" s="103" t="s">
        <v>234</v>
      </c>
      <c r="B12" s="103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</row>
    <row r="13" spans="1:25" ht="20.25" outlineLevel="1" x14ac:dyDescent="0.35">
      <c r="A13" s="103" t="s">
        <v>235</v>
      </c>
      <c r="B13" s="103"/>
      <c r="C13" s="103"/>
      <c r="D13" s="103"/>
      <c r="E13" s="103"/>
      <c r="F13" s="103"/>
      <c r="G13" s="103"/>
      <c r="H13" s="103"/>
      <c r="I13" s="103"/>
      <c r="J13" s="103"/>
      <c r="K13" s="103"/>
      <c r="L13" s="103"/>
      <c r="M13" s="103"/>
      <c r="N13" s="103"/>
      <c r="O13" s="103"/>
    </row>
    <row r="14" spans="1:25" ht="20.25" outlineLevel="1" x14ac:dyDescent="0.35">
      <c r="A14" s="7"/>
    </row>
    <row r="15" spans="1:25" ht="54" customHeight="1" outlineLevel="1" x14ac:dyDescent="0.65">
      <c r="A15" s="116" t="s">
        <v>228</v>
      </c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Y15" s="5"/>
    </row>
    <row r="16" spans="1:25" outlineLevel="1" x14ac:dyDescent="0.25"/>
    <row r="17" spans="1:15" ht="25.5" outlineLevel="1" x14ac:dyDescent="0.5">
      <c r="A17" s="8" t="s">
        <v>15</v>
      </c>
      <c r="B17" s="8"/>
      <c r="C17" s="8"/>
      <c r="D17" s="8" t="s">
        <v>16</v>
      </c>
      <c r="E17" s="8"/>
      <c r="F17" s="8"/>
      <c r="G17" s="8"/>
      <c r="H17" s="8"/>
      <c r="I17" s="8"/>
      <c r="J17" s="8"/>
      <c r="K17" s="8"/>
      <c r="L17" s="8"/>
      <c r="M17" s="8"/>
    </row>
    <row r="18" spans="1:15" ht="39.75" customHeight="1" outlineLevel="1" x14ac:dyDescent="0.25">
      <c r="A18" s="114" t="s">
        <v>13</v>
      </c>
      <c r="B18" s="114"/>
      <c r="C18" s="114"/>
      <c r="D18" s="106" t="s">
        <v>17</v>
      </c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ht="27.75" outlineLevel="1" x14ac:dyDescent="0.25">
      <c r="A19" s="114" t="s">
        <v>14</v>
      </c>
      <c r="B19" s="114"/>
      <c r="C19" s="114"/>
      <c r="D19" s="117" t="s">
        <v>18</v>
      </c>
      <c r="E19" s="117"/>
      <c r="F19" s="117"/>
      <c r="G19" s="117"/>
      <c r="H19" s="117"/>
      <c r="I19" s="117"/>
      <c r="J19" s="117"/>
      <c r="K19" s="117"/>
      <c r="L19" s="117"/>
      <c r="M19" s="117"/>
      <c r="N19" s="117"/>
      <c r="O19" s="117"/>
    </row>
    <row r="20" spans="1:15" ht="27.75" outlineLevel="1" x14ac:dyDescent="0.25">
      <c r="A20" s="112" t="s">
        <v>19</v>
      </c>
      <c r="B20" s="112"/>
      <c r="C20" s="112"/>
      <c r="D20" s="117" t="s">
        <v>22</v>
      </c>
      <c r="E20" s="117"/>
      <c r="F20" s="117"/>
      <c r="G20" s="117"/>
      <c r="H20" s="117"/>
      <c r="I20" s="117"/>
      <c r="J20" s="117"/>
      <c r="K20" s="117"/>
      <c r="L20" s="117"/>
      <c r="M20" s="117"/>
      <c r="N20" s="117"/>
      <c r="O20" s="117"/>
    </row>
    <row r="21" spans="1:15" ht="27.75" outlineLevel="1" x14ac:dyDescent="0.25">
      <c r="A21" s="112" t="s">
        <v>20</v>
      </c>
      <c r="B21" s="112"/>
      <c r="C21" s="112"/>
      <c r="D21" s="117" t="s">
        <v>23</v>
      </c>
      <c r="E21" s="117"/>
      <c r="F21" s="117"/>
      <c r="G21" s="117"/>
      <c r="H21" s="117"/>
      <c r="I21" s="117"/>
      <c r="J21" s="117"/>
      <c r="K21" s="117"/>
      <c r="L21" s="117"/>
      <c r="M21" s="117"/>
      <c r="N21" s="117"/>
      <c r="O21" s="117"/>
    </row>
    <row r="22" spans="1:15" ht="27.75" outlineLevel="1" x14ac:dyDescent="0.25">
      <c r="A22" s="112" t="s">
        <v>21</v>
      </c>
      <c r="B22" s="112"/>
      <c r="C22" s="112"/>
      <c r="D22" s="117" t="s">
        <v>65</v>
      </c>
      <c r="E22" s="117"/>
      <c r="F22" s="117"/>
      <c r="G22" s="117"/>
      <c r="H22" s="117"/>
      <c r="I22" s="117"/>
      <c r="J22" s="117"/>
      <c r="K22" s="117"/>
      <c r="L22" s="117"/>
      <c r="M22" s="117"/>
      <c r="N22" s="117"/>
      <c r="O22" s="117"/>
    </row>
    <row r="23" spans="1:15" ht="42" customHeight="1" outlineLevel="1" x14ac:dyDescent="0.25">
      <c r="A23" s="113" t="s">
        <v>24</v>
      </c>
      <c r="B23" s="113"/>
      <c r="C23" s="113"/>
      <c r="D23" s="106" t="s">
        <v>30</v>
      </c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</row>
    <row r="24" spans="1:15" ht="18" customHeight="1" x14ac:dyDescent="0.25"/>
    <row r="25" spans="1:15" ht="26.25" x14ac:dyDescent="0.45">
      <c r="A25" s="13" t="s">
        <v>223</v>
      </c>
    </row>
    <row r="26" spans="1:15" ht="18" customHeight="1" outlineLevel="1" x14ac:dyDescent="0.25"/>
    <row r="27" spans="1:15" ht="18" customHeight="1" outlineLevel="1" x14ac:dyDescent="0.25">
      <c r="B27" s="40" t="s">
        <v>201</v>
      </c>
      <c r="I27" s="2" t="s">
        <v>8</v>
      </c>
    </row>
    <row r="28" spans="1:15" s="46" customFormat="1" ht="20.25" outlineLevel="1" x14ac:dyDescent="0.25">
      <c r="B28" s="115" t="s">
        <v>236</v>
      </c>
      <c r="C28" s="115"/>
      <c r="D28" s="115"/>
      <c r="E28" s="115"/>
      <c r="I28" s="44">
        <f>_xlfn.LET(_xlpm.a, 5, _xlpm.a)</f>
        <v>5</v>
      </c>
    </row>
    <row r="29" spans="1:15" ht="18" customHeight="1" outlineLevel="1" x14ac:dyDescent="0.25">
      <c r="B29" s="39" t="s">
        <v>219</v>
      </c>
    </row>
    <row r="30" spans="1:15" ht="18" customHeight="1" outlineLevel="1" x14ac:dyDescent="0.25">
      <c r="B30" s="39" t="s">
        <v>217</v>
      </c>
    </row>
    <row r="31" spans="1:15" ht="18" customHeight="1" outlineLevel="1" x14ac:dyDescent="0.25">
      <c r="B31" s="39"/>
    </row>
    <row r="32" spans="1:15" ht="18" customHeight="1" outlineLevel="1" x14ac:dyDescent="0.25">
      <c r="B32" s="40" t="s">
        <v>201</v>
      </c>
      <c r="G32" s="2" t="s">
        <v>224</v>
      </c>
      <c r="I32" s="2" t="s">
        <v>8</v>
      </c>
    </row>
    <row r="33" spans="1:9" s="46" customFormat="1" ht="20.25" outlineLevel="1" x14ac:dyDescent="0.25">
      <c r="B33" s="115" t="s">
        <v>479</v>
      </c>
      <c r="C33" s="115"/>
      <c r="D33" s="115"/>
      <c r="E33" s="115"/>
      <c r="G33" s="44">
        <v>5</v>
      </c>
      <c r="I33" s="44">
        <f>_xlfn.LET(_xlpm.a, $G$33, _xlpm.a)</f>
        <v>5</v>
      </c>
    </row>
    <row r="34" spans="1:9" ht="18" customHeight="1" outlineLevel="1" x14ac:dyDescent="0.25">
      <c r="B34" s="39" t="s">
        <v>216</v>
      </c>
    </row>
    <row r="35" spans="1:9" ht="18" customHeight="1" outlineLevel="1" x14ac:dyDescent="0.25">
      <c r="B35" s="39" t="s">
        <v>218</v>
      </c>
    </row>
    <row r="36" spans="1:9" ht="18" customHeight="1" outlineLevel="1" x14ac:dyDescent="0.25">
      <c r="B36" s="39" t="s">
        <v>217</v>
      </c>
    </row>
    <row r="37" spans="1:9" ht="18" customHeight="1" outlineLevel="1" x14ac:dyDescent="0.25"/>
    <row r="38" spans="1:9" ht="18" customHeight="1" outlineLevel="1" x14ac:dyDescent="0.25">
      <c r="B38" s="40" t="s">
        <v>201</v>
      </c>
      <c r="G38" s="2" t="s">
        <v>31</v>
      </c>
      <c r="I38" s="2" t="s">
        <v>8</v>
      </c>
    </row>
    <row r="39" spans="1:9" s="46" customFormat="1" ht="20.25" outlineLevel="1" x14ac:dyDescent="0.25">
      <c r="B39" s="115" t="s">
        <v>166</v>
      </c>
      <c r="C39" s="115"/>
      <c r="D39" s="115"/>
      <c r="E39" s="115"/>
      <c r="G39" s="44">
        <v>3</v>
      </c>
      <c r="I39" s="44">
        <f>_xlfn.LET(
    _xlpm.a, $G$39,
    _xlpm.b, $G$40,
    SQRT(_xlpm.a^2 + _xlpm.b^2)
)</f>
        <v>5</v>
      </c>
    </row>
    <row r="40" spans="1:9" s="46" customFormat="1" ht="20.25" outlineLevel="1" x14ac:dyDescent="0.25">
      <c r="B40" s="115" t="s">
        <v>480</v>
      </c>
      <c r="C40" s="115"/>
      <c r="D40" s="115"/>
      <c r="E40" s="115"/>
      <c r="G40" s="44">
        <v>4</v>
      </c>
    </row>
    <row r="41" spans="1:9" s="46" customFormat="1" ht="20.25" outlineLevel="1" x14ac:dyDescent="0.25">
      <c r="B41" s="115" t="s">
        <v>481</v>
      </c>
      <c r="C41" s="115"/>
      <c r="D41" s="115"/>
      <c r="E41" s="115"/>
    </row>
    <row r="42" spans="1:9" s="46" customFormat="1" ht="20.25" outlineLevel="1" x14ac:dyDescent="0.25">
      <c r="B42" s="118" t="s">
        <v>225</v>
      </c>
      <c r="C42" s="118"/>
      <c r="D42" s="118"/>
      <c r="E42" s="118"/>
    </row>
    <row r="43" spans="1:9" s="46" customFormat="1" ht="20.25" outlineLevel="1" x14ac:dyDescent="0.25">
      <c r="B43" s="115" t="s">
        <v>151</v>
      </c>
      <c r="C43" s="115"/>
      <c r="D43" s="115"/>
      <c r="E43" s="115"/>
    </row>
    <row r="44" spans="1:9" ht="18" customHeight="1" outlineLevel="1" x14ac:dyDescent="0.25">
      <c r="B44" s="39" t="s">
        <v>220</v>
      </c>
    </row>
    <row r="45" spans="1:9" ht="18" customHeight="1" outlineLevel="1" x14ac:dyDescent="0.25">
      <c r="B45" s="39" t="s">
        <v>221</v>
      </c>
    </row>
    <row r="46" spans="1:9" ht="18" customHeight="1" outlineLevel="1" x14ac:dyDescent="0.25">
      <c r="B46" s="39" t="s">
        <v>222</v>
      </c>
    </row>
    <row r="47" spans="1:9" ht="18" customHeight="1" x14ac:dyDescent="0.25"/>
    <row r="48" spans="1:9" ht="26.25" x14ac:dyDescent="0.45">
      <c r="A48" s="13" t="s">
        <v>103</v>
      </c>
    </row>
    <row r="49" spans="1:11" ht="20.25" outlineLevel="1" x14ac:dyDescent="0.35">
      <c r="A49" s="12" t="s">
        <v>32</v>
      </c>
    </row>
    <row r="50" spans="1:11" ht="20.25" outlineLevel="1" x14ac:dyDescent="0.35">
      <c r="A50" s="10" t="s">
        <v>69</v>
      </c>
    </row>
    <row r="51" spans="1:11" ht="20.25" outlineLevel="1" x14ac:dyDescent="0.35">
      <c r="A51" s="10" t="s">
        <v>70</v>
      </c>
    </row>
    <row r="52" spans="1:11" ht="20.25" outlineLevel="1" x14ac:dyDescent="0.35">
      <c r="A52" s="10" t="s">
        <v>71</v>
      </c>
    </row>
    <row r="53" spans="1:11" ht="20.25" outlineLevel="1" x14ac:dyDescent="0.35">
      <c r="A53" s="10" t="s">
        <v>72</v>
      </c>
    </row>
    <row r="54" spans="1:11" outlineLevel="1" x14ac:dyDescent="0.25"/>
    <row r="55" spans="1:11" ht="20.25" outlineLevel="1" x14ac:dyDescent="0.35">
      <c r="A55" s="12" t="s">
        <v>85</v>
      </c>
    </row>
    <row r="56" spans="1:11" ht="20.25" outlineLevel="1" x14ac:dyDescent="0.35">
      <c r="A56" s="7" t="s">
        <v>73</v>
      </c>
    </row>
    <row r="57" spans="1:11" ht="20.25" outlineLevel="1" x14ac:dyDescent="0.35">
      <c r="A57" s="7" t="s">
        <v>74</v>
      </c>
    </row>
    <row r="58" spans="1:11" ht="20.25" outlineLevel="1" x14ac:dyDescent="0.35">
      <c r="A58" s="7" t="s">
        <v>75</v>
      </c>
    </row>
    <row r="59" spans="1:11" ht="20.25" outlineLevel="1" x14ac:dyDescent="0.35">
      <c r="A59" s="7" t="s">
        <v>76</v>
      </c>
    </row>
    <row r="60" spans="1:11" outlineLevel="1" x14ac:dyDescent="0.25"/>
    <row r="61" spans="1:11" ht="20.25" outlineLevel="1" x14ac:dyDescent="0.35">
      <c r="A61" s="12" t="s">
        <v>78</v>
      </c>
    </row>
    <row r="62" spans="1:11" ht="20.25" outlineLevel="1" x14ac:dyDescent="0.35">
      <c r="A62" s="108" t="s">
        <v>33</v>
      </c>
      <c r="B62" s="108"/>
      <c r="C62" s="108"/>
      <c r="D62" s="108" t="s">
        <v>34</v>
      </c>
      <c r="E62" s="108"/>
      <c r="F62" s="108" t="s">
        <v>38</v>
      </c>
      <c r="G62" s="108"/>
      <c r="H62" s="108"/>
      <c r="I62" s="108"/>
      <c r="J62" s="108"/>
      <c r="K62" s="108"/>
    </row>
    <row r="63" spans="1:11" ht="20.25" outlineLevel="1" x14ac:dyDescent="0.35">
      <c r="A63" s="109" t="s">
        <v>88</v>
      </c>
      <c r="B63" s="109"/>
      <c r="C63" s="109"/>
      <c r="D63" s="107" t="s">
        <v>39</v>
      </c>
      <c r="E63" s="107"/>
      <c r="F63" s="107" t="s">
        <v>35</v>
      </c>
      <c r="G63" s="107"/>
      <c r="H63" s="107"/>
      <c r="I63" s="107"/>
      <c r="J63" s="107"/>
      <c r="K63" s="107"/>
    </row>
    <row r="64" spans="1:11" ht="20.25" outlineLevel="1" x14ac:dyDescent="0.35">
      <c r="A64" s="109" t="s">
        <v>87</v>
      </c>
      <c r="B64" s="109"/>
      <c r="C64" s="109"/>
      <c r="D64" s="107" t="s">
        <v>39</v>
      </c>
      <c r="E64" s="107"/>
      <c r="F64" s="107" t="s">
        <v>79</v>
      </c>
      <c r="G64" s="107"/>
      <c r="H64" s="107"/>
      <c r="I64" s="107"/>
      <c r="J64" s="107"/>
      <c r="K64" s="107"/>
    </row>
    <row r="65" spans="1:11" ht="20.25" outlineLevel="1" x14ac:dyDescent="0.35">
      <c r="A65" s="109" t="s">
        <v>40</v>
      </c>
      <c r="B65" s="109"/>
      <c r="C65" s="109"/>
      <c r="D65" s="107" t="s">
        <v>39</v>
      </c>
      <c r="E65" s="107"/>
      <c r="F65" s="107" t="s">
        <v>36</v>
      </c>
      <c r="G65" s="107"/>
      <c r="H65" s="107"/>
      <c r="I65" s="107"/>
      <c r="J65" s="107"/>
      <c r="K65" s="107"/>
    </row>
    <row r="66" spans="1:11" ht="20.25" outlineLevel="1" x14ac:dyDescent="0.35">
      <c r="A66" s="109" t="s">
        <v>86</v>
      </c>
      <c r="B66" s="109"/>
      <c r="C66" s="109"/>
      <c r="D66" s="107" t="s">
        <v>39</v>
      </c>
      <c r="E66" s="107"/>
      <c r="F66" s="107" t="s">
        <v>37</v>
      </c>
      <c r="G66" s="107"/>
      <c r="H66" s="107"/>
      <c r="I66" s="107"/>
      <c r="J66" s="107"/>
      <c r="K66" s="107"/>
    </row>
    <row r="67" spans="1:11" ht="20.25" outlineLevel="1" x14ac:dyDescent="0.35">
      <c r="A67" s="109" t="s">
        <v>80</v>
      </c>
      <c r="B67" s="109"/>
      <c r="C67" s="109"/>
      <c r="D67" s="107" t="s">
        <v>39</v>
      </c>
      <c r="E67" s="107"/>
      <c r="F67" s="107" t="s">
        <v>35</v>
      </c>
      <c r="G67" s="107"/>
      <c r="H67" s="107"/>
      <c r="I67" s="107"/>
      <c r="J67" s="107"/>
      <c r="K67" s="107"/>
    </row>
    <row r="68" spans="1:11" ht="20.25" outlineLevel="1" x14ac:dyDescent="0.35">
      <c r="A68" s="109" t="s">
        <v>41</v>
      </c>
      <c r="B68" s="109"/>
      <c r="C68" s="109"/>
      <c r="D68" s="107" t="s">
        <v>49</v>
      </c>
      <c r="E68" s="107"/>
      <c r="F68" s="107" t="s">
        <v>46</v>
      </c>
      <c r="G68" s="107"/>
      <c r="H68" s="107"/>
      <c r="I68" s="107"/>
      <c r="J68" s="107"/>
      <c r="K68" s="107"/>
    </row>
    <row r="69" spans="1:11" ht="20.25" outlineLevel="1" x14ac:dyDescent="0.35">
      <c r="A69" s="109" t="s">
        <v>64</v>
      </c>
      <c r="B69" s="109"/>
      <c r="C69" s="109"/>
      <c r="D69" s="107" t="s">
        <v>49</v>
      </c>
      <c r="E69" s="107"/>
      <c r="F69" s="107" t="s">
        <v>46</v>
      </c>
      <c r="G69" s="107"/>
      <c r="H69" s="107"/>
      <c r="I69" s="107"/>
      <c r="J69" s="107"/>
      <c r="K69" s="107"/>
    </row>
    <row r="70" spans="1:11" ht="20.25" outlineLevel="1" x14ac:dyDescent="0.35">
      <c r="A70" s="109" t="s">
        <v>43</v>
      </c>
      <c r="B70" s="109"/>
      <c r="C70" s="109"/>
      <c r="D70" s="107" t="s">
        <v>49</v>
      </c>
      <c r="E70" s="107"/>
      <c r="F70" s="107" t="s">
        <v>178</v>
      </c>
      <c r="G70" s="107"/>
      <c r="H70" s="107"/>
      <c r="I70" s="107"/>
      <c r="J70" s="107"/>
      <c r="K70" s="107"/>
    </row>
    <row r="71" spans="1:11" ht="20.25" outlineLevel="1" x14ac:dyDescent="0.35">
      <c r="A71" s="109" t="s">
        <v>44</v>
      </c>
      <c r="B71" s="109"/>
      <c r="C71" s="109"/>
      <c r="D71" s="107" t="s">
        <v>49</v>
      </c>
      <c r="E71" s="107"/>
      <c r="F71" s="107" t="s">
        <v>48</v>
      </c>
      <c r="G71" s="107"/>
      <c r="H71" s="107"/>
      <c r="I71" s="107"/>
      <c r="J71" s="107"/>
      <c r="K71" s="107"/>
    </row>
    <row r="72" spans="1:11" ht="20.25" outlineLevel="1" x14ac:dyDescent="0.35">
      <c r="A72" s="109" t="s">
        <v>81</v>
      </c>
      <c r="B72" s="109"/>
      <c r="C72" s="109"/>
      <c r="D72" s="107" t="s">
        <v>49</v>
      </c>
      <c r="E72" s="107"/>
      <c r="F72" s="107" t="s">
        <v>82</v>
      </c>
      <c r="G72" s="107"/>
      <c r="H72" s="107"/>
      <c r="I72" s="107"/>
      <c r="J72" s="107"/>
      <c r="K72" s="107"/>
    </row>
    <row r="73" spans="1:11" ht="20.25" outlineLevel="1" x14ac:dyDescent="0.35">
      <c r="A73" s="109" t="s">
        <v>83</v>
      </c>
      <c r="B73" s="109"/>
      <c r="C73" s="109"/>
      <c r="D73" s="107" t="s">
        <v>50</v>
      </c>
      <c r="E73" s="107"/>
      <c r="F73" s="107" t="s">
        <v>84</v>
      </c>
      <c r="G73" s="107"/>
      <c r="H73" s="107"/>
      <c r="I73" s="107"/>
      <c r="J73" s="107"/>
      <c r="K73" s="107"/>
    </row>
    <row r="74" spans="1:11" ht="20.25" outlineLevel="1" x14ac:dyDescent="0.35">
      <c r="A74" s="109" t="s">
        <v>45</v>
      </c>
      <c r="B74" s="109"/>
      <c r="C74" s="109"/>
      <c r="D74" s="107" t="s">
        <v>50</v>
      </c>
      <c r="E74" s="107"/>
      <c r="F74" s="107" t="s">
        <v>179</v>
      </c>
      <c r="G74" s="107"/>
      <c r="H74" s="107"/>
      <c r="I74" s="107"/>
      <c r="J74" s="107"/>
      <c r="K74" s="107"/>
    </row>
    <row r="75" spans="1:11" ht="20.25" outlineLevel="1" x14ac:dyDescent="0.35">
      <c r="A75" s="109" t="s">
        <v>42</v>
      </c>
      <c r="B75" s="109"/>
      <c r="C75" s="109"/>
      <c r="D75" s="107" t="s">
        <v>50</v>
      </c>
      <c r="E75" s="107"/>
      <c r="F75" s="107" t="s">
        <v>47</v>
      </c>
      <c r="G75" s="107"/>
      <c r="H75" s="107"/>
      <c r="I75" s="107"/>
      <c r="J75" s="107"/>
      <c r="K75" s="107"/>
    </row>
    <row r="76" spans="1:11" ht="20.25" outlineLevel="1" x14ac:dyDescent="0.35">
      <c r="A76" s="111" t="s">
        <v>51</v>
      </c>
      <c r="B76" s="111"/>
      <c r="C76" s="111"/>
      <c r="D76" s="110" t="s">
        <v>63</v>
      </c>
      <c r="E76" s="110"/>
      <c r="F76" s="110" t="s">
        <v>52</v>
      </c>
      <c r="G76" s="110"/>
      <c r="H76" s="110"/>
      <c r="I76" s="110"/>
      <c r="J76" s="110"/>
      <c r="K76" s="110"/>
    </row>
    <row r="77" spans="1:11" ht="20.25" outlineLevel="1" x14ac:dyDescent="0.35">
      <c r="A77" s="111" t="s">
        <v>53</v>
      </c>
      <c r="B77" s="111"/>
      <c r="C77" s="111"/>
      <c r="D77" s="110" t="s">
        <v>63</v>
      </c>
      <c r="E77" s="110"/>
      <c r="F77" s="110" t="s">
        <v>54</v>
      </c>
      <c r="G77" s="110"/>
      <c r="H77" s="110"/>
      <c r="I77" s="110"/>
      <c r="J77" s="110"/>
      <c r="K77" s="110"/>
    </row>
    <row r="78" spans="1:11" ht="20.25" outlineLevel="1" x14ac:dyDescent="0.35">
      <c r="A78" s="111" t="s">
        <v>55</v>
      </c>
      <c r="B78" s="111"/>
      <c r="C78" s="111"/>
      <c r="D78" s="110" t="s">
        <v>63</v>
      </c>
      <c r="E78" s="110"/>
      <c r="F78" s="110" t="s">
        <v>56</v>
      </c>
      <c r="G78" s="110"/>
      <c r="H78" s="110"/>
      <c r="I78" s="110"/>
      <c r="J78" s="110"/>
      <c r="K78" s="110"/>
    </row>
    <row r="79" spans="1:11" ht="20.25" outlineLevel="1" x14ac:dyDescent="0.35">
      <c r="A79" s="111" t="s">
        <v>57</v>
      </c>
      <c r="B79" s="111"/>
      <c r="C79" s="111"/>
      <c r="D79" s="110" t="s">
        <v>63</v>
      </c>
      <c r="E79" s="110"/>
      <c r="F79" s="110" t="s">
        <v>58</v>
      </c>
      <c r="G79" s="110"/>
      <c r="H79" s="110"/>
      <c r="I79" s="110"/>
      <c r="J79" s="110"/>
      <c r="K79" s="110"/>
    </row>
    <row r="80" spans="1:11" ht="20.25" outlineLevel="1" x14ac:dyDescent="0.35">
      <c r="A80" s="111" t="s">
        <v>59</v>
      </c>
      <c r="B80" s="111"/>
      <c r="C80" s="111"/>
      <c r="D80" s="110" t="s">
        <v>63</v>
      </c>
      <c r="E80" s="110"/>
      <c r="F80" s="110" t="s">
        <v>60</v>
      </c>
      <c r="G80" s="110"/>
      <c r="H80" s="110"/>
      <c r="I80" s="110"/>
      <c r="J80" s="110"/>
      <c r="K80" s="110"/>
    </row>
    <row r="81" spans="1:14" ht="20.25" outlineLevel="1" x14ac:dyDescent="0.35">
      <c r="A81" s="111" t="s">
        <v>61</v>
      </c>
      <c r="B81" s="111"/>
      <c r="C81" s="111"/>
      <c r="D81" s="110" t="s">
        <v>63</v>
      </c>
      <c r="E81" s="110"/>
      <c r="F81" s="110" t="s">
        <v>62</v>
      </c>
      <c r="G81" s="110"/>
      <c r="H81" s="110"/>
      <c r="I81" s="110"/>
      <c r="J81" s="110"/>
      <c r="K81" s="110"/>
    </row>
    <row r="83" spans="1:14" ht="26.25" x14ac:dyDescent="0.45">
      <c r="A83" s="13" t="s">
        <v>66</v>
      </c>
    </row>
    <row r="84" spans="1:14" ht="20.25" outlineLevel="1" x14ac:dyDescent="0.35">
      <c r="A84" s="7" t="s">
        <v>77</v>
      </c>
    </row>
    <row r="85" spans="1:14" ht="20.25" outlineLevel="1" x14ac:dyDescent="0.35">
      <c r="A85" s="7" t="s">
        <v>482</v>
      </c>
    </row>
    <row r="86" spans="1:14" ht="20.25" outlineLevel="1" x14ac:dyDescent="0.35">
      <c r="A86" s="7" t="s">
        <v>483</v>
      </c>
    </row>
    <row r="87" spans="1:14" ht="20.25" outlineLevel="1" x14ac:dyDescent="0.35">
      <c r="A87" s="7" t="s">
        <v>150</v>
      </c>
      <c r="N87" s="80"/>
    </row>
    <row r="88" spans="1:14" ht="16.5" x14ac:dyDescent="0.3">
      <c r="A88" s="49"/>
    </row>
    <row r="89" spans="1:14" ht="26.25" x14ac:dyDescent="0.45">
      <c r="A89" s="13" t="s">
        <v>67</v>
      </c>
    </row>
    <row r="90" spans="1:14" ht="20.25" outlineLevel="1" x14ac:dyDescent="0.35">
      <c r="A90" s="60" t="s">
        <v>559</v>
      </c>
    </row>
    <row r="91" spans="1:14" ht="20.25" outlineLevel="1" x14ac:dyDescent="0.35">
      <c r="A91" s="60" t="s">
        <v>560</v>
      </c>
    </row>
    <row r="92" spans="1:14" ht="20.25" outlineLevel="1" x14ac:dyDescent="0.35">
      <c r="A92" s="60" t="s">
        <v>561</v>
      </c>
    </row>
    <row r="93" spans="1:14" ht="20.25" outlineLevel="1" x14ac:dyDescent="0.35">
      <c r="A93" s="60" t="s">
        <v>571</v>
      </c>
    </row>
    <row r="94" spans="1:14" ht="20.25" outlineLevel="1" x14ac:dyDescent="0.35">
      <c r="A94" s="60" t="s">
        <v>572</v>
      </c>
    </row>
    <row r="95" spans="1:14" ht="20.25" outlineLevel="1" x14ac:dyDescent="0.35">
      <c r="A95" s="60"/>
    </row>
    <row r="96" spans="1:14" ht="20.25" outlineLevel="1" x14ac:dyDescent="0.35">
      <c r="A96" s="60" t="s">
        <v>562</v>
      </c>
    </row>
    <row r="97" spans="1:1" ht="20.25" outlineLevel="1" x14ac:dyDescent="0.35">
      <c r="A97" s="60" t="s">
        <v>563</v>
      </c>
    </row>
    <row r="98" spans="1:1" ht="20.25" outlineLevel="1" x14ac:dyDescent="0.35">
      <c r="A98" s="60"/>
    </row>
    <row r="99" spans="1:1" ht="20.25" outlineLevel="1" x14ac:dyDescent="0.35">
      <c r="A99" s="60" t="s">
        <v>564</v>
      </c>
    </row>
    <row r="100" spans="1:1" ht="20.25" outlineLevel="1" x14ac:dyDescent="0.35">
      <c r="A100" s="60"/>
    </row>
    <row r="101" spans="1:1" ht="20.25" outlineLevel="1" x14ac:dyDescent="0.35">
      <c r="A101" s="60" t="s">
        <v>570</v>
      </c>
    </row>
    <row r="102" spans="1:1" ht="20.25" outlineLevel="1" x14ac:dyDescent="0.35">
      <c r="A102" s="101" t="s">
        <v>569</v>
      </c>
    </row>
    <row r="103" spans="1:1" ht="20.25" outlineLevel="1" x14ac:dyDescent="0.35">
      <c r="A103" s="101" t="s">
        <v>555</v>
      </c>
    </row>
    <row r="105" spans="1:1" ht="26.25" x14ac:dyDescent="0.45">
      <c r="A105" s="13" t="s">
        <v>31</v>
      </c>
    </row>
    <row r="106" spans="1:1" ht="20.25" outlineLevel="1" x14ac:dyDescent="0.35">
      <c r="A106" s="60" t="s">
        <v>344</v>
      </c>
    </row>
    <row r="107" spans="1:1" ht="20.25" outlineLevel="1" x14ac:dyDescent="0.35">
      <c r="A107" s="60" t="s">
        <v>343</v>
      </c>
    </row>
    <row r="108" spans="1:1" ht="20.25" outlineLevel="1" x14ac:dyDescent="0.35">
      <c r="A108" s="60" t="s">
        <v>342</v>
      </c>
    </row>
    <row r="109" spans="1:1" ht="20.25" x14ac:dyDescent="0.35">
      <c r="A109" s="7"/>
    </row>
    <row r="110" spans="1:1" ht="20.25" x14ac:dyDescent="0.35">
      <c r="A110" s="7"/>
    </row>
    <row r="127" spans="13:13" ht="17.25" x14ac:dyDescent="0.3">
      <c r="M127" s="9"/>
    </row>
    <row r="128" spans="13:13" ht="17.25" x14ac:dyDescent="0.3">
      <c r="M128" s="9"/>
    </row>
    <row r="129" spans="13:13" ht="17.25" x14ac:dyDescent="0.3">
      <c r="M129" s="9"/>
    </row>
    <row r="130" spans="13:13" ht="17.25" x14ac:dyDescent="0.3">
      <c r="M130" s="9"/>
    </row>
    <row r="131" spans="13:13" ht="17.25" x14ac:dyDescent="0.3">
      <c r="M131" s="9"/>
    </row>
    <row r="132" spans="13:13" ht="17.25" x14ac:dyDescent="0.3">
      <c r="M132" s="9"/>
    </row>
    <row r="133" spans="13:13" ht="17.25" x14ac:dyDescent="0.3">
      <c r="M133" s="9"/>
    </row>
    <row r="134" spans="13:13" ht="17.25" x14ac:dyDescent="0.3">
      <c r="M134" s="9"/>
    </row>
    <row r="135" spans="13:13" ht="17.25" x14ac:dyDescent="0.3">
      <c r="M135" s="9"/>
    </row>
    <row r="136" spans="13:13" ht="17.25" x14ac:dyDescent="0.3">
      <c r="M136" s="9"/>
    </row>
    <row r="137" spans="13:13" ht="17.25" x14ac:dyDescent="0.3">
      <c r="M137" s="9"/>
    </row>
    <row r="138" spans="13:13" ht="17.25" x14ac:dyDescent="0.3">
      <c r="M138" s="9"/>
    </row>
    <row r="139" spans="13:13" ht="17.25" x14ac:dyDescent="0.3">
      <c r="M139" s="9"/>
    </row>
    <row r="140" spans="13:13" ht="17.25" x14ac:dyDescent="0.3">
      <c r="M140" s="9"/>
    </row>
    <row r="141" spans="13:13" ht="17.25" x14ac:dyDescent="0.3">
      <c r="M141" s="9"/>
    </row>
    <row r="142" spans="13:13" ht="17.25" x14ac:dyDescent="0.3">
      <c r="M142" s="9"/>
    </row>
    <row r="143" spans="13:13" ht="17.25" x14ac:dyDescent="0.3">
      <c r="M143" s="9"/>
    </row>
    <row r="144" spans="13:13" ht="17.25" x14ac:dyDescent="0.3">
      <c r="M144" s="9"/>
    </row>
    <row r="145" spans="13:13" ht="17.25" x14ac:dyDescent="0.3">
      <c r="M145" s="9"/>
    </row>
    <row r="146" spans="13:13" ht="17.25" x14ac:dyDescent="0.3">
      <c r="M146" s="9"/>
    </row>
    <row r="147" spans="13:13" ht="17.25" x14ac:dyDescent="0.3">
      <c r="M147" s="9"/>
    </row>
    <row r="148" spans="13:13" ht="17.25" x14ac:dyDescent="0.3">
      <c r="M148" s="9"/>
    </row>
    <row r="149" spans="13:13" ht="17.25" x14ac:dyDescent="0.3">
      <c r="M149" s="9"/>
    </row>
    <row r="150" spans="13:13" ht="17.25" x14ac:dyDescent="0.3">
      <c r="M150" s="9"/>
    </row>
    <row r="151" spans="13:13" ht="17.25" x14ac:dyDescent="0.3">
      <c r="M151" s="9"/>
    </row>
    <row r="152" spans="13:13" ht="17.25" x14ac:dyDescent="0.3">
      <c r="M152" s="9"/>
    </row>
    <row r="153" spans="13:13" ht="17.25" x14ac:dyDescent="0.3">
      <c r="M153" s="9"/>
    </row>
    <row r="154" spans="13:13" ht="17.25" x14ac:dyDescent="0.3">
      <c r="M154" s="9"/>
    </row>
    <row r="155" spans="13:13" ht="17.25" x14ac:dyDescent="0.3">
      <c r="M155" s="9"/>
    </row>
    <row r="156" spans="13:13" ht="17.25" x14ac:dyDescent="0.3">
      <c r="M156" s="9"/>
    </row>
    <row r="157" spans="13:13" ht="17.25" x14ac:dyDescent="0.3">
      <c r="M157" s="9"/>
    </row>
    <row r="158" spans="13:13" ht="17.25" x14ac:dyDescent="0.3">
      <c r="M158" s="9"/>
    </row>
  </sheetData>
  <mergeCells count="87">
    <mergeCell ref="B43:E43"/>
    <mergeCell ref="B28:E28"/>
    <mergeCell ref="A15:O15"/>
    <mergeCell ref="A8:C8"/>
    <mergeCell ref="A9:C9"/>
    <mergeCell ref="D8:O8"/>
    <mergeCell ref="D9:O9"/>
    <mergeCell ref="B33:E33"/>
    <mergeCell ref="B39:E39"/>
    <mergeCell ref="B40:E40"/>
    <mergeCell ref="B41:E41"/>
    <mergeCell ref="B42:E42"/>
    <mergeCell ref="D19:O19"/>
    <mergeCell ref="D20:O20"/>
    <mergeCell ref="D21:O21"/>
    <mergeCell ref="D22:O22"/>
    <mergeCell ref="D23:O23"/>
    <mergeCell ref="A4:O4"/>
    <mergeCell ref="A12:O12"/>
    <mergeCell ref="A13:O13"/>
    <mergeCell ref="A21:C21"/>
    <mergeCell ref="A22:C22"/>
    <mergeCell ref="A23:C23"/>
    <mergeCell ref="A18:C18"/>
    <mergeCell ref="A19:C19"/>
    <mergeCell ref="A20:C20"/>
    <mergeCell ref="D18:O18"/>
    <mergeCell ref="A71:C71"/>
    <mergeCell ref="D71:E71"/>
    <mergeCell ref="A64:C64"/>
    <mergeCell ref="A65:C65"/>
    <mergeCell ref="A66:C66"/>
    <mergeCell ref="D66:E66"/>
    <mergeCell ref="A63:C63"/>
    <mergeCell ref="D63:E63"/>
    <mergeCell ref="F63:K63"/>
    <mergeCell ref="D77:E77"/>
    <mergeCell ref="F77:K77"/>
    <mergeCell ref="D69:E69"/>
    <mergeCell ref="F69:K69"/>
    <mergeCell ref="D70:E70"/>
    <mergeCell ref="F70:K70"/>
    <mergeCell ref="D64:E64"/>
    <mergeCell ref="F64:K64"/>
    <mergeCell ref="D65:E65"/>
    <mergeCell ref="F65:K65"/>
    <mergeCell ref="A77:C77"/>
    <mergeCell ref="A69:C69"/>
    <mergeCell ref="A70:C70"/>
    <mergeCell ref="A80:C80"/>
    <mergeCell ref="D80:E80"/>
    <mergeCell ref="F80:K80"/>
    <mergeCell ref="A81:C81"/>
    <mergeCell ref="D81:E81"/>
    <mergeCell ref="F81:K81"/>
    <mergeCell ref="F74:K74"/>
    <mergeCell ref="D74:E74"/>
    <mergeCell ref="A74:C74"/>
    <mergeCell ref="A73:C73"/>
    <mergeCell ref="F79:K79"/>
    <mergeCell ref="A75:C75"/>
    <mergeCell ref="D75:E75"/>
    <mergeCell ref="F75:K75"/>
    <mergeCell ref="A76:C76"/>
    <mergeCell ref="D76:E76"/>
    <mergeCell ref="F76:K76"/>
    <mergeCell ref="D78:E78"/>
    <mergeCell ref="F78:K78"/>
    <mergeCell ref="A78:C78"/>
    <mergeCell ref="A79:C79"/>
    <mergeCell ref="D79:E79"/>
    <mergeCell ref="D73:E73"/>
    <mergeCell ref="F73:K73"/>
    <mergeCell ref="A62:C62"/>
    <mergeCell ref="D62:E62"/>
    <mergeCell ref="F62:K62"/>
    <mergeCell ref="F71:K71"/>
    <mergeCell ref="A72:C72"/>
    <mergeCell ref="D72:E72"/>
    <mergeCell ref="F72:K72"/>
    <mergeCell ref="F66:K66"/>
    <mergeCell ref="A67:C67"/>
    <mergeCell ref="D67:E67"/>
    <mergeCell ref="F67:K67"/>
    <mergeCell ref="A68:C68"/>
    <mergeCell ref="D68:E68"/>
    <mergeCell ref="F68:K68"/>
  </mergeCells>
  <hyperlinks>
    <hyperlink ref="A107" r:id="rId1" xr:uid="{EF955531-8589-4F14-B80E-54B6A55FA6A3}"/>
    <hyperlink ref="A108" r:id="rId2" xr:uid="{4B174C0D-4541-4E7B-A122-949BE5E1A909}"/>
    <hyperlink ref="A106" r:id="rId3" xr:uid="{7F579CAB-1A36-47FB-B0C1-CBC4B1EE7873}"/>
    <hyperlink ref="A90" location="Examples!J5" display="Range [Easy]" xr:uid="{09D78118-F6EE-4C05-B940-2CEE1B927337}"/>
    <hyperlink ref="A91" location="Examples!J19" display="Interquartile Range [Easy]" xr:uid="{94AF459D-9396-4EC4-B9DC-821BCDA52446}"/>
    <hyperlink ref="A92" location="Examples!J43" display="Standard Error of Mean [Easy]" xr:uid="{BCAC21C9-74F5-4CBA-ABD0-AC8F74ECEC26}"/>
    <hyperlink ref="A93" location="Examples!J67" display="Margin of Error [Easy]" xr:uid="{803E7792-0F55-4A64-B263-426E1182A67D}"/>
    <hyperlink ref="A94" location="Examples!J91" display="Relative Standard Deviation (w/ Optional Parameter) [Easy - Moderare]" xr:uid="{993F0150-0629-4D20-A9CD-FA528C79D836}"/>
    <hyperlink ref="A96" location="Examples!J144" display="Calculate Z-Score of Each Record in Dataset [East - Moderate]" xr:uid="{57EB6B09-EC14-449A-9C14-6105006AFA10}"/>
    <hyperlink ref="A97" location="Examples!I182" display="Create Warning Column for Dataset Based on Rules [Advanced]" xr:uid="{523AB15A-696D-4534-9874-0960B8DD4EAE}"/>
    <hyperlink ref="A99" location="Examples!J250" display="Dilution Equation: Solve for the Unknown [Moderate - Advanced]" xr:uid="{10B6CF72-1090-46E2-BBE3-B173964A795E}"/>
    <hyperlink ref="A102" location="Examples!J294" display="Original Status Formula [Easy - Moderate]" xr:uid="{E3A189CD-2B35-4946-91E5-78FC4B61BC1F}"/>
    <hyperlink ref="A101" location="Examples!A270" display="LET's Make This Formula Better [Easy - Advanced++]" xr:uid="{75D0616F-AC8C-4BDE-9E75-6D1EE7804577}"/>
    <hyperlink ref="A103" location="Examples!K294" display="Revision 1 [Moderate]: Add Variables and Helper LAMBDA" xr:uid="{56497395-8F3D-4836-8F65-5934A336F34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B48A-60CD-4673-B220-3EB588E5570B}">
  <dimension ref="A1:O236"/>
  <sheetViews>
    <sheetView topLeftCell="A165" zoomScaleNormal="100" workbookViewId="0">
      <selection activeCell="A174" sqref="A174"/>
    </sheetView>
  </sheetViews>
  <sheetFormatPr defaultRowHeight="15" outlineLevelRow="1" x14ac:dyDescent="0.25"/>
  <cols>
    <col min="1" max="8" width="9" style="3"/>
    <col min="9" max="9" width="10.125" style="3" bestFit="1" customWidth="1"/>
    <col min="10" max="15" width="9" style="3"/>
    <col min="16" max="16" width="9" style="3" customWidth="1"/>
    <col min="17" max="16384" width="9" style="3"/>
  </cols>
  <sheetData>
    <row r="1" spans="1:15" ht="69" x14ac:dyDescent="1.1499999999999999">
      <c r="A1" s="11" t="s">
        <v>180</v>
      </c>
    </row>
    <row r="3" spans="1:15" ht="26.25" x14ac:dyDescent="0.45">
      <c r="A3" s="13" t="s">
        <v>181</v>
      </c>
    </row>
    <row r="4" spans="1:15" ht="20.25" outlineLevel="1" x14ac:dyDescent="0.35">
      <c r="A4" s="105" t="s">
        <v>182</v>
      </c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</row>
    <row r="5" spans="1:15" ht="15.75" x14ac:dyDescent="0.25">
      <c r="A5" s="4"/>
    </row>
    <row r="6" spans="1:15" ht="26.25" x14ac:dyDescent="0.45">
      <c r="A6" s="13" t="s">
        <v>213</v>
      </c>
    </row>
    <row r="7" spans="1:15" ht="16.5" outlineLevel="1" x14ac:dyDescent="0.3">
      <c r="A7" s="41"/>
    </row>
    <row r="8" spans="1:15" ht="48.75" customHeight="1" outlineLevel="1" x14ac:dyDescent="0.25">
      <c r="A8" s="102" t="s">
        <v>183</v>
      </c>
      <c r="B8" s="102"/>
      <c r="C8" s="102"/>
      <c r="D8" s="119" t="s">
        <v>184</v>
      </c>
      <c r="E8" s="119"/>
      <c r="F8" s="119"/>
      <c r="G8" s="119"/>
      <c r="H8" s="119"/>
      <c r="I8" s="119"/>
      <c r="J8" s="119"/>
      <c r="K8" s="119"/>
      <c r="L8" s="119"/>
      <c r="M8" s="119"/>
      <c r="N8" s="119"/>
      <c r="O8" s="119"/>
    </row>
    <row r="9" spans="1:15" ht="48.75" customHeight="1" outlineLevel="1" x14ac:dyDescent="0.25">
      <c r="A9" s="102" t="s">
        <v>185</v>
      </c>
      <c r="B9" s="102"/>
      <c r="C9" s="102"/>
      <c r="D9" s="119" t="s">
        <v>186</v>
      </c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</row>
    <row r="10" spans="1:15" ht="48.75" customHeight="1" outlineLevel="1" x14ac:dyDescent="0.25">
      <c r="A10" s="102" t="s">
        <v>187</v>
      </c>
      <c r="B10" s="102"/>
      <c r="C10" s="102"/>
      <c r="D10" s="120" t="s">
        <v>226</v>
      </c>
      <c r="E10" s="119"/>
      <c r="F10" s="119"/>
      <c r="G10" s="119"/>
      <c r="H10" s="119"/>
      <c r="I10" s="119"/>
      <c r="J10" s="119"/>
      <c r="K10" s="119"/>
      <c r="L10" s="119"/>
      <c r="M10" s="119"/>
      <c r="N10" s="119"/>
      <c r="O10" s="119"/>
    </row>
    <row r="11" spans="1:15" ht="48.75" customHeight="1" outlineLevel="1" x14ac:dyDescent="0.25">
      <c r="A11" s="102" t="s">
        <v>189</v>
      </c>
      <c r="B11" s="102"/>
      <c r="C11" s="102"/>
      <c r="D11" s="120" t="s">
        <v>188</v>
      </c>
      <c r="E11" s="119"/>
      <c r="F11" s="119"/>
      <c r="G11" s="119"/>
      <c r="H11" s="119"/>
      <c r="I11" s="119"/>
      <c r="J11" s="119"/>
      <c r="K11" s="119"/>
      <c r="L11" s="119"/>
      <c r="M11" s="119"/>
      <c r="N11" s="119"/>
      <c r="O11" s="119"/>
    </row>
    <row r="12" spans="1:15" ht="48.75" customHeight="1" outlineLevel="1" x14ac:dyDescent="0.25">
      <c r="A12" s="102" t="s">
        <v>190</v>
      </c>
      <c r="B12" s="102"/>
      <c r="C12" s="102"/>
      <c r="D12" s="119" t="s">
        <v>191</v>
      </c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</row>
    <row r="13" spans="1:15" ht="15.75" x14ac:dyDescent="0.25">
      <c r="A13" s="4"/>
    </row>
    <row r="14" spans="1:15" ht="26.25" x14ac:dyDescent="0.45">
      <c r="A14" s="13" t="s">
        <v>28</v>
      </c>
    </row>
    <row r="15" spans="1:15" ht="20.25" outlineLevel="1" x14ac:dyDescent="0.35">
      <c r="A15" s="103" t="s">
        <v>229</v>
      </c>
      <c r="B15" s="103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</row>
    <row r="16" spans="1:15" ht="20.25" outlineLevel="1" x14ac:dyDescent="0.35">
      <c r="A16" s="103" t="s">
        <v>192</v>
      </c>
      <c r="B16" s="103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</row>
    <row r="17" spans="1:15" ht="20.25" outlineLevel="1" x14ac:dyDescent="0.35">
      <c r="A17" s="7"/>
    </row>
    <row r="18" spans="1:15" ht="46.5" customHeight="1" outlineLevel="1" x14ac:dyDescent="0.25">
      <c r="A18" s="116" t="s">
        <v>227</v>
      </c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</row>
    <row r="19" spans="1:15" outlineLevel="1" x14ac:dyDescent="0.25"/>
    <row r="20" spans="1:15" ht="25.5" outlineLevel="1" x14ac:dyDescent="0.5">
      <c r="A20" s="14" t="s">
        <v>15</v>
      </c>
      <c r="B20" s="14"/>
      <c r="C20" s="14"/>
      <c r="D20" s="14" t="s">
        <v>16</v>
      </c>
      <c r="E20" s="8"/>
      <c r="F20" s="8"/>
      <c r="G20" s="8"/>
      <c r="H20" s="8"/>
      <c r="I20" s="8"/>
      <c r="J20" s="8"/>
      <c r="K20" s="8"/>
      <c r="L20" s="8"/>
      <c r="M20" s="8"/>
    </row>
    <row r="21" spans="1:15" ht="27.75" outlineLevel="1" x14ac:dyDescent="0.25">
      <c r="A21" s="114" t="s">
        <v>193</v>
      </c>
      <c r="B21" s="114"/>
      <c r="C21" s="114"/>
      <c r="D21" s="106" t="s">
        <v>195</v>
      </c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</row>
    <row r="22" spans="1:15" ht="27.75" outlineLevel="1" x14ac:dyDescent="0.25">
      <c r="A22" s="114" t="s">
        <v>194</v>
      </c>
      <c r="B22" s="114"/>
      <c r="C22" s="114"/>
      <c r="D22" s="117" t="s">
        <v>196</v>
      </c>
      <c r="E22" s="117"/>
      <c r="F22" s="117"/>
      <c r="G22" s="117"/>
      <c r="H22" s="117"/>
      <c r="I22" s="117"/>
      <c r="J22" s="117"/>
      <c r="K22" s="117"/>
      <c r="L22" s="117"/>
      <c r="M22" s="117"/>
      <c r="N22" s="117"/>
      <c r="O22" s="117"/>
    </row>
    <row r="23" spans="1:15" ht="27.75" outlineLevel="1" x14ac:dyDescent="0.25">
      <c r="A23" s="114" t="s">
        <v>21</v>
      </c>
      <c r="B23" s="114"/>
      <c r="C23" s="114"/>
      <c r="D23" s="117" t="s">
        <v>197</v>
      </c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</row>
    <row r="24" spans="1:15" ht="27.75" outlineLevel="1" x14ac:dyDescent="0.25">
      <c r="A24" s="113" t="s">
        <v>24</v>
      </c>
      <c r="B24" s="113"/>
      <c r="C24" s="113"/>
      <c r="D24" s="106" t="s">
        <v>198</v>
      </c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</row>
    <row r="25" spans="1:15" ht="18" customHeight="1" x14ac:dyDescent="0.25"/>
    <row r="26" spans="1:15" ht="26.25" x14ac:dyDescent="0.45">
      <c r="A26" s="13" t="s">
        <v>199</v>
      </c>
    </row>
    <row r="27" spans="1:15" ht="20.25" outlineLevel="1" x14ac:dyDescent="0.35">
      <c r="A27" s="103" t="s">
        <v>200</v>
      </c>
      <c r="B27" s="103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</row>
    <row r="28" spans="1:15" ht="20.25" outlineLevel="1" x14ac:dyDescent="0.35">
      <c r="A28" s="103" t="s">
        <v>489</v>
      </c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</row>
    <row r="29" spans="1:15" ht="20.25" outlineLevel="1" x14ac:dyDescent="0.35">
      <c r="A29" s="12" t="s">
        <v>208</v>
      </c>
    </row>
    <row r="30" spans="1:15" ht="20.25" outlineLevel="1" x14ac:dyDescent="0.35">
      <c r="A30" s="12"/>
    </row>
    <row r="31" spans="1:15" ht="18" customHeight="1" outlineLevel="1" x14ac:dyDescent="0.25">
      <c r="B31" s="40" t="s">
        <v>201</v>
      </c>
      <c r="I31" s="2" t="s">
        <v>8</v>
      </c>
    </row>
    <row r="32" spans="1:15" s="43" customFormat="1" ht="25.5" customHeight="1" outlineLevel="1" x14ac:dyDescent="0.25">
      <c r="B32" s="115" t="s">
        <v>230</v>
      </c>
      <c r="C32" s="115"/>
      <c r="D32" s="115"/>
      <c r="E32" s="115"/>
      <c r="F32" s="115"/>
      <c r="G32" s="115"/>
      <c r="I32" s="44">
        <f>POWER(2, 5)</f>
        <v>32</v>
      </c>
    </row>
    <row r="33" spans="1:10" ht="18" customHeight="1" outlineLevel="1" x14ac:dyDescent="0.25">
      <c r="B33" s="50" t="s">
        <v>203</v>
      </c>
    </row>
    <row r="34" spans="1:10" ht="18" customHeight="1" outlineLevel="1" x14ac:dyDescent="0.25">
      <c r="B34" s="50" t="s">
        <v>202</v>
      </c>
    </row>
    <row r="35" spans="1:10" ht="18" customHeight="1" outlineLevel="1" x14ac:dyDescent="0.25"/>
    <row r="36" spans="1:10" ht="18" customHeight="1" outlineLevel="1" x14ac:dyDescent="0.25">
      <c r="B36" s="40" t="s">
        <v>201</v>
      </c>
      <c r="I36" s="2" t="s">
        <v>8</v>
      </c>
    </row>
    <row r="37" spans="1:10" s="43" customFormat="1" ht="25.5" customHeight="1" outlineLevel="1" x14ac:dyDescent="0.25">
      <c r="B37" s="115" t="s">
        <v>231</v>
      </c>
      <c r="C37" s="115"/>
      <c r="D37" s="115"/>
      <c r="E37" s="115"/>
      <c r="F37" s="115"/>
      <c r="G37" s="115"/>
      <c r="I37" s="51" t="e" cm="1" vm="1">
        <f t="array" ref="I37">_xlfn.LAMBDA(_xlpm.num,_xlpm.pwr, _xlpm.num^_xlpm.pwr)</f>
        <v>#VALUE!</v>
      </c>
      <c r="J37" s="52" t="s">
        <v>311</v>
      </c>
    </row>
    <row r="38" spans="1:10" ht="18" customHeight="1" outlineLevel="1" x14ac:dyDescent="0.25">
      <c r="B38" s="50" t="s">
        <v>204</v>
      </c>
    </row>
    <row r="39" spans="1:10" ht="18" customHeight="1" outlineLevel="1" x14ac:dyDescent="0.25">
      <c r="B39" s="50" t="s">
        <v>205</v>
      </c>
    </row>
    <row r="40" spans="1:10" ht="18" customHeight="1" outlineLevel="1" x14ac:dyDescent="0.25">
      <c r="B40" s="50" t="s">
        <v>209</v>
      </c>
    </row>
    <row r="41" spans="1:10" ht="18" customHeight="1" outlineLevel="1" x14ac:dyDescent="0.25"/>
    <row r="42" spans="1:10" ht="18" customHeight="1" outlineLevel="1" x14ac:dyDescent="0.25">
      <c r="B42" s="40" t="s">
        <v>201</v>
      </c>
      <c r="I42" s="2" t="s">
        <v>8</v>
      </c>
    </row>
    <row r="43" spans="1:10" s="43" customFormat="1" ht="25.5" customHeight="1" outlineLevel="1" x14ac:dyDescent="0.25">
      <c r="B43" s="115" t="s">
        <v>301</v>
      </c>
      <c r="C43" s="115"/>
      <c r="D43" s="115"/>
      <c r="E43" s="115"/>
      <c r="F43" s="115"/>
      <c r="G43" s="115"/>
      <c r="I43" s="44" cm="1">
        <f t="array" ref="I43">_xlfn.LAMBDA(_xlpm.num,_xlpm.pwr, _xlpm.num^_xlpm.pwr)(2, 5)</f>
        <v>32</v>
      </c>
    </row>
    <row r="44" spans="1:10" ht="18" customHeight="1" outlineLevel="1" x14ac:dyDescent="0.25">
      <c r="B44" s="50" t="s">
        <v>206</v>
      </c>
    </row>
    <row r="45" spans="1:10" ht="18" customHeight="1" outlineLevel="1" x14ac:dyDescent="0.25">
      <c r="B45" s="50" t="s">
        <v>207</v>
      </c>
    </row>
    <row r="46" spans="1:10" ht="18" customHeight="1" outlineLevel="1" x14ac:dyDescent="0.25">
      <c r="B46" s="50" t="s">
        <v>214</v>
      </c>
    </row>
    <row r="47" spans="1:10" ht="18" customHeight="1" x14ac:dyDescent="0.25"/>
    <row r="48" spans="1:10" ht="26.25" x14ac:dyDescent="0.45">
      <c r="A48" s="13" t="s">
        <v>285</v>
      </c>
    </row>
    <row r="49" spans="1:15" ht="20.25" outlineLevel="1" x14ac:dyDescent="0.35">
      <c r="A49" s="12" t="s">
        <v>286</v>
      </c>
    </row>
    <row r="50" spans="1:15" ht="20.25" outlineLevel="1" x14ac:dyDescent="0.35">
      <c r="A50" s="47" t="s">
        <v>288</v>
      </c>
    </row>
    <row r="51" spans="1:15" ht="20.25" outlineLevel="1" x14ac:dyDescent="0.35">
      <c r="A51" s="47" t="s">
        <v>287</v>
      </c>
    </row>
    <row r="52" spans="1:15" ht="20.25" outlineLevel="1" x14ac:dyDescent="0.35">
      <c r="A52" s="47" t="s">
        <v>290</v>
      </c>
    </row>
    <row r="53" spans="1:15" ht="20.25" outlineLevel="1" x14ac:dyDescent="0.35">
      <c r="A53" s="47" t="s">
        <v>291</v>
      </c>
    </row>
    <row r="54" spans="1:15" ht="20.25" outlineLevel="1" x14ac:dyDescent="0.35">
      <c r="A54" s="47" t="s">
        <v>289</v>
      </c>
    </row>
    <row r="55" spans="1:15" ht="16.5" outlineLevel="1" x14ac:dyDescent="0.3">
      <c r="A55" s="41"/>
    </row>
    <row r="56" spans="1:15" ht="20.25" outlineLevel="1" x14ac:dyDescent="0.35">
      <c r="A56" s="12" t="s">
        <v>292</v>
      </c>
    </row>
    <row r="57" spans="1:15" ht="20.25" outlineLevel="1" x14ac:dyDescent="0.35">
      <c r="A57" s="47" t="s">
        <v>293</v>
      </c>
    </row>
    <row r="58" spans="1:15" ht="18" customHeight="1" outlineLevel="1" x14ac:dyDescent="0.35">
      <c r="A58" s="47" t="s">
        <v>294</v>
      </c>
    </row>
    <row r="59" spans="1:15" ht="18" customHeight="1" outlineLevel="1" x14ac:dyDescent="0.35">
      <c r="A59" s="47"/>
    </row>
    <row r="60" spans="1:15" ht="35.25" outlineLevel="1" x14ac:dyDescent="0.25">
      <c r="A60" s="116" t="s">
        <v>295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</row>
    <row r="61" spans="1:15" ht="18" customHeight="1" outlineLevel="1" x14ac:dyDescent="0.35">
      <c r="A61" s="47"/>
    </row>
    <row r="62" spans="1:15" ht="18" customHeight="1" outlineLevel="1" x14ac:dyDescent="0.35">
      <c r="A62" s="12" t="s">
        <v>310</v>
      </c>
    </row>
    <row r="63" spans="1:15" ht="18" customHeight="1" outlineLevel="1" x14ac:dyDescent="0.25"/>
    <row r="64" spans="1:15" ht="18" customHeight="1" outlineLevel="1" x14ac:dyDescent="0.25">
      <c r="B64" s="40" t="s">
        <v>201</v>
      </c>
      <c r="N64" s="2" t="s">
        <v>8</v>
      </c>
    </row>
    <row r="65" spans="2:15" ht="20.25" outlineLevel="1" x14ac:dyDescent="0.25">
      <c r="B65" s="115" t="s">
        <v>298</v>
      </c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N65" s="44" cm="1">
        <f t="array" ref="N65">_xlfn.LAMBDA(_xlpm.number,_xlop.power,
    _xlfn.LET(
        _xlpm.pwr, IF(_xlfn.ISOMITTED(_xlpm.power), 2, _xlpm.power),
        _xlpm.number ^ _xlpm.pwr
    )
)(2)</f>
        <v>4</v>
      </c>
    </row>
    <row r="66" spans="2:15" ht="18" customHeight="1" outlineLevel="1" x14ac:dyDescent="0.25">
      <c r="B66" s="118" t="s">
        <v>296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</row>
    <row r="67" spans="2:15" ht="18" customHeight="1" outlineLevel="1" x14ac:dyDescent="0.25">
      <c r="B67" s="118" t="s">
        <v>297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</row>
    <row r="68" spans="2:15" ht="18" customHeight="1" outlineLevel="1" x14ac:dyDescent="0.25">
      <c r="B68" s="118" t="s">
        <v>302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</row>
    <row r="69" spans="2:15" ht="18" customHeight="1" outlineLevel="1" x14ac:dyDescent="0.25">
      <c r="B69" s="118" t="s">
        <v>299</v>
      </c>
      <c r="C69" s="118"/>
      <c r="D69" s="118"/>
      <c r="E69" s="118"/>
      <c r="F69" s="118"/>
      <c r="G69" s="118"/>
      <c r="H69" s="118"/>
      <c r="I69" s="118"/>
      <c r="J69" s="118"/>
      <c r="K69" s="118"/>
      <c r="L69" s="118"/>
    </row>
    <row r="70" spans="2:15" ht="18" customHeight="1" outlineLevel="1" x14ac:dyDescent="0.25">
      <c r="B70" s="115" t="s">
        <v>300</v>
      </c>
      <c r="C70" s="115"/>
      <c r="D70" s="115"/>
      <c r="E70" s="115"/>
      <c r="F70" s="115"/>
      <c r="G70" s="115"/>
      <c r="H70" s="115"/>
      <c r="I70" s="115"/>
      <c r="J70" s="115"/>
      <c r="K70" s="115"/>
      <c r="L70" s="115"/>
    </row>
    <row r="71" spans="2:15" ht="18" customHeight="1" outlineLevel="1" x14ac:dyDescent="0.25">
      <c r="B71" s="50" t="s">
        <v>303</v>
      </c>
    </row>
    <row r="72" spans="2:15" ht="18" customHeight="1" outlineLevel="1" x14ac:dyDescent="0.25">
      <c r="B72" s="50" t="s">
        <v>304</v>
      </c>
    </row>
    <row r="73" spans="2:15" ht="18" customHeight="1" outlineLevel="1" x14ac:dyDescent="0.25">
      <c r="B73" s="39"/>
    </row>
    <row r="74" spans="2:15" ht="18" customHeight="1" outlineLevel="1" x14ac:dyDescent="0.25">
      <c r="B74" s="40" t="s">
        <v>201</v>
      </c>
      <c r="N74" s="2" t="s">
        <v>224</v>
      </c>
    </row>
    <row r="75" spans="2:15" ht="18" customHeight="1" outlineLevel="1" x14ac:dyDescent="0.25">
      <c r="B75" s="115" t="s">
        <v>298</v>
      </c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N75" s="44">
        <v>2</v>
      </c>
    </row>
    <row r="76" spans="2:15" ht="18" customHeight="1" outlineLevel="1" x14ac:dyDescent="0.25">
      <c r="B76" s="118" t="s">
        <v>296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N76" s="44"/>
    </row>
    <row r="77" spans="2:15" ht="18" customHeight="1" outlineLevel="1" x14ac:dyDescent="0.25">
      <c r="B77" s="118" t="s">
        <v>297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</row>
    <row r="78" spans="2:15" ht="18" customHeight="1" outlineLevel="1" x14ac:dyDescent="0.25">
      <c r="B78" s="118" t="s">
        <v>302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N78" s="2" t="s">
        <v>8</v>
      </c>
    </row>
    <row r="79" spans="2:15" ht="18" customHeight="1" outlineLevel="1" x14ac:dyDescent="0.25">
      <c r="B79" s="118" t="s">
        <v>299</v>
      </c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N79" s="51" cm="1">
        <f t="array" ref="N79">_xlfn.LAMBDA(_xlpm.number,_xlop.power,
    _xlfn.LET(
        _xlpm.pwr, IF(_xlfn.ISOMITTED(_xlpm.power), 2, _xlpm.power),
        _xlpm.number ^ _xlpm.pwr
    )
)(N75, N76)</f>
        <v>1</v>
      </c>
      <c r="O79" s="52" t="s">
        <v>312</v>
      </c>
    </row>
    <row r="80" spans="2:15" ht="18" customHeight="1" outlineLevel="1" x14ac:dyDescent="0.25">
      <c r="B80" s="115" t="s">
        <v>305</v>
      </c>
      <c r="C80" s="115"/>
      <c r="D80" s="115"/>
      <c r="E80" s="115"/>
      <c r="F80" s="115"/>
      <c r="G80" s="115"/>
      <c r="H80" s="115"/>
      <c r="I80" s="115"/>
      <c r="J80" s="115"/>
      <c r="K80" s="115"/>
      <c r="L80" s="115"/>
    </row>
    <row r="81" spans="1:14" ht="18" customHeight="1" outlineLevel="1" x14ac:dyDescent="0.25">
      <c r="B81" s="50" t="s">
        <v>308</v>
      </c>
    </row>
    <row r="82" spans="1:14" ht="18" customHeight="1" outlineLevel="1" x14ac:dyDescent="0.25">
      <c r="B82" s="50" t="s">
        <v>334</v>
      </c>
    </row>
    <row r="83" spans="1:14" ht="18" customHeight="1" outlineLevel="1" x14ac:dyDescent="0.25">
      <c r="B83" s="50" t="s">
        <v>309</v>
      </c>
    </row>
    <row r="84" spans="1:14" ht="18" customHeight="1" outlineLevel="1" x14ac:dyDescent="0.25">
      <c r="B84" s="39"/>
    </row>
    <row r="85" spans="1:14" ht="18" customHeight="1" outlineLevel="1" x14ac:dyDescent="0.25">
      <c r="B85" s="40" t="s">
        <v>201</v>
      </c>
      <c r="N85" s="2" t="s">
        <v>224</v>
      </c>
    </row>
    <row r="86" spans="1:14" ht="18" customHeight="1" outlineLevel="1" x14ac:dyDescent="0.25">
      <c r="B86" s="115" t="s">
        <v>298</v>
      </c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N86" s="44">
        <v>2</v>
      </c>
    </row>
    <row r="87" spans="1:14" ht="18" customHeight="1" outlineLevel="1" x14ac:dyDescent="0.25">
      <c r="B87" s="118" t="s">
        <v>296</v>
      </c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N87" s="44"/>
    </row>
    <row r="88" spans="1:14" ht="18" customHeight="1" outlineLevel="1" x14ac:dyDescent="0.25">
      <c r="B88" s="118" t="s">
        <v>307</v>
      </c>
      <c r="C88" s="118"/>
      <c r="D88" s="118"/>
      <c r="E88" s="118"/>
      <c r="F88" s="118"/>
      <c r="G88" s="118"/>
      <c r="H88" s="118"/>
      <c r="I88" s="118"/>
      <c r="J88" s="118"/>
      <c r="K88" s="118"/>
      <c r="L88" s="118"/>
    </row>
    <row r="89" spans="1:14" ht="18" customHeight="1" outlineLevel="1" x14ac:dyDescent="0.25">
      <c r="B89" s="118" t="s">
        <v>302</v>
      </c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N89" s="2" t="s">
        <v>8</v>
      </c>
    </row>
    <row r="90" spans="1:14" ht="18" customHeight="1" outlineLevel="1" x14ac:dyDescent="0.25">
      <c r="B90" s="118" t="s">
        <v>299</v>
      </c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N90" s="44" cm="1">
        <f t="array" ref="N90">_xlfn.LAMBDA(_xlpm.number,_xlop.power,
    _xlfn.LET(
        _xlpm.pwr, IF(OR(_xlfn.ISOMITTED(_xlpm.power), ISBLANK(_xlpm.power)), 2, _xlpm.power),
        _xlpm.number ^ _xlpm.pwr
    )
)(N86, N87)</f>
        <v>4</v>
      </c>
    </row>
    <row r="91" spans="1:14" ht="18" customHeight="1" outlineLevel="1" x14ac:dyDescent="0.25">
      <c r="B91" s="115" t="s">
        <v>306</v>
      </c>
      <c r="C91" s="115"/>
      <c r="D91" s="115"/>
      <c r="E91" s="115"/>
      <c r="F91" s="115"/>
      <c r="G91" s="115"/>
      <c r="H91" s="115"/>
      <c r="I91" s="115"/>
      <c r="J91" s="115"/>
      <c r="K91" s="115"/>
      <c r="L91" s="115"/>
    </row>
    <row r="92" spans="1:14" ht="18" customHeight="1" outlineLevel="1" x14ac:dyDescent="0.25">
      <c r="B92" s="50" t="s">
        <v>313</v>
      </c>
    </row>
    <row r="93" spans="1:14" ht="18" customHeight="1" outlineLevel="1" x14ac:dyDescent="0.25">
      <c r="B93" s="53" t="s">
        <v>314</v>
      </c>
    </row>
    <row r="94" spans="1:14" ht="18" customHeight="1" outlineLevel="1" x14ac:dyDescent="0.25">
      <c r="B94" s="53" t="s">
        <v>315</v>
      </c>
    </row>
    <row r="95" spans="1:14" ht="18" customHeight="1" x14ac:dyDescent="0.25"/>
    <row r="96" spans="1:14" ht="26.25" x14ac:dyDescent="0.45">
      <c r="A96" s="13" t="s">
        <v>210</v>
      </c>
    </row>
    <row r="97" spans="1:15" ht="20.25" outlineLevel="1" x14ac:dyDescent="0.35">
      <c r="A97" s="42" t="s">
        <v>215</v>
      </c>
    </row>
    <row r="98" spans="1:15" ht="18" customHeight="1" outlineLevel="1" x14ac:dyDescent="0.35">
      <c r="A98" s="12" t="s">
        <v>32</v>
      </c>
    </row>
    <row r="99" spans="1:15" ht="18" customHeight="1" outlineLevel="1" x14ac:dyDescent="0.35">
      <c r="A99" s="42" t="s">
        <v>69</v>
      </c>
    </row>
    <row r="100" spans="1:15" ht="18" customHeight="1" outlineLevel="1" x14ac:dyDescent="0.35">
      <c r="A100" s="42" t="s">
        <v>70</v>
      </c>
    </row>
    <row r="101" spans="1:15" ht="18" customHeight="1" outlineLevel="1" x14ac:dyDescent="0.35">
      <c r="A101" s="42" t="s">
        <v>71</v>
      </c>
    </row>
    <row r="102" spans="1:15" ht="18" customHeight="1" outlineLevel="1" x14ac:dyDescent="0.35">
      <c r="A102" s="42" t="s">
        <v>72</v>
      </c>
    </row>
    <row r="103" spans="1:15" outlineLevel="1" x14ac:dyDescent="0.25"/>
    <row r="104" spans="1:15" ht="20.25" outlineLevel="1" x14ac:dyDescent="0.35">
      <c r="A104" s="12" t="s">
        <v>85</v>
      </c>
    </row>
    <row r="105" spans="1:15" ht="20.25" outlineLevel="1" x14ac:dyDescent="0.35">
      <c r="A105" s="42" t="s">
        <v>73</v>
      </c>
    </row>
    <row r="106" spans="1:15" ht="20.25" outlineLevel="1" x14ac:dyDescent="0.35">
      <c r="A106" s="42" t="s">
        <v>211</v>
      </c>
    </row>
    <row r="107" spans="1:15" ht="20.25" outlineLevel="1" x14ac:dyDescent="0.35">
      <c r="A107" s="42" t="s">
        <v>75</v>
      </c>
    </row>
    <row r="108" spans="1:15" ht="20.25" outlineLevel="1" x14ac:dyDescent="0.35">
      <c r="A108" s="42" t="s">
        <v>212</v>
      </c>
    </row>
    <row r="110" spans="1:15" ht="26.25" x14ac:dyDescent="0.45">
      <c r="A110" s="13" t="s">
        <v>284</v>
      </c>
    </row>
    <row r="111" spans="1:15" ht="20.25" outlineLevel="1" x14ac:dyDescent="0.35">
      <c r="A111" s="124" t="s">
        <v>281</v>
      </c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</row>
    <row r="112" spans="1:15" ht="20.25" outlineLevel="1" x14ac:dyDescent="0.35">
      <c r="A112" s="103" t="s">
        <v>237</v>
      </c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</row>
    <row r="113" spans="1:15" ht="20.25" outlineLevel="1" x14ac:dyDescent="0.35">
      <c r="A113" s="103" t="s">
        <v>239</v>
      </c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</row>
    <row r="114" spans="1:15" ht="20.25" outlineLevel="1" x14ac:dyDescent="0.35">
      <c r="A114" s="103" t="s">
        <v>238</v>
      </c>
      <c r="B114" s="103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</row>
    <row r="115" spans="1:15" ht="20.25" outlineLevel="1" x14ac:dyDescent="0.35">
      <c r="A115" s="121" t="s">
        <v>242</v>
      </c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</row>
    <row r="116" spans="1:15" ht="20.25" outlineLevel="1" x14ac:dyDescent="0.35">
      <c r="A116" s="121" t="s">
        <v>240</v>
      </c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</row>
    <row r="117" spans="1:15" ht="20.25" outlineLevel="1" x14ac:dyDescent="0.35">
      <c r="A117" s="121" t="s">
        <v>243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</row>
    <row r="118" spans="1:15" ht="20.25" outlineLevel="1" x14ac:dyDescent="0.35">
      <c r="A118" s="103" t="s">
        <v>241</v>
      </c>
      <c r="B118" s="103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</row>
    <row r="119" spans="1:15" ht="20.25" outlineLevel="1" x14ac:dyDescent="0.35">
      <c r="A119" s="47"/>
      <c r="B119" s="47"/>
      <c r="C119" s="124" t="e" vm="2">
        <v>#VALUE!</v>
      </c>
      <c r="D119" s="124"/>
      <c r="E119" s="124"/>
      <c r="F119" s="124"/>
      <c r="G119" s="124"/>
      <c r="H119" s="47"/>
      <c r="I119" s="47"/>
      <c r="J119" s="47"/>
      <c r="K119" s="47"/>
      <c r="L119" s="47"/>
      <c r="M119" s="47"/>
      <c r="N119" s="47"/>
      <c r="O119" s="47"/>
    </row>
    <row r="120" spans="1:15" ht="20.25" outlineLevel="1" x14ac:dyDescent="0.35">
      <c r="A120" s="47"/>
      <c r="B120" s="47"/>
      <c r="C120" s="124"/>
      <c r="D120" s="124"/>
      <c r="E120" s="124"/>
      <c r="F120" s="124"/>
      <c r="G120" s="124"/>
      <c r="H120" s="47"/>
      <c r="I120" s="47"/>
      <c r="J120" s="47"/>
      <c r="K120" s="47"/>
      <c r="L120" s="47"/>
      <c r="M120" s="47"/>
      <c r="N120" s="47"/>
      <c r="O120" s="47"/>
    </row>
    <row r="121" spans="1:15" ht="20.25" outlineLevel="1" x14ac:dyDescent="0.35">
      <c r="A121" s="47"/>
      <c r="B121" s="47"/>
      <c r="C121" s="124"/>
      <c r="D121" s="124"/>
      <c r="E121" s="124"/>
      <c r="F121" s="124"/>
      <c r="G121" s="124"/>
      <c r="H121" s="47"/>
      <c r="I121" s="47"/>
      <c r="J121" s="47"/>
      <c r="K121" s="47"/>
      <c r="L121" s="47"/>
      <c r="M121" s="47"/>
      <c r="N121" s="47"/>
      <c r="O121" s="47"/>
    </row>
    <row r="122" spans="1:15" ht="20.25" outlineLevel="1" x14ac:dyDescent="0.35">
      <c r="A122" s="47"/>
      <c r="B122" s="47"/>
      <c r="C122" s="124"/>
      <c r="D122" s="124"/>
      <c r="E122" s="124"/>
      <c r="F122" s="124"/>
      <c r="G122" s="124"/>
      <c r="H122" s="47"/>
      <c r="I122" s="47"/>
      <c r="J122" s="47"/>
      <c r="K122" s="47"/>
      <c r="L122" s="47"/>
      <c r="M122" s="47"/>
      <c r="N122" s="47"/>
      <c r="O122" s="47"/>
    </row>
    <row r="123" spans="1:15" ht="20.25" outlineLevel="1" x14ac:dyDescent="0.35">
      <c r="A123" s="47"/>
      <c r="B123" s="47"/>
      <c r="C123" s="124"/>
      <c r="D123" s="124"/>
      <c r="E123" s="124"/>
      <c r="F123" s="124"/>
      <c r="G123" s="124"/>
      <c r="H123" s="47"/>
      <c r="I123" s="47"/>
      <c r="J123" s="47"/>
      <c r="K123" s="47"/>
      <c r="L123" s="47"/>
      <c r="M123" s="47"/>
      <c r="N123" s="47"/>
      <c r="O123" s="47"/>
    </row>
    <row r="124" spans="1:15" ht="20.25" outlineLevel="1" x14ac:dyDescent="0.35">
      <c r="A124" s="47"/>
      <c r="B124" s="47"/>
      <c r="C124" s="124"/>
      <c r="D124" s="124"/>
      <c r="E124" s="124"/>
      <c r="F124" s="124"/>
      <c r="G124" s="124"/>
      <c r="H124" s="47"/>
      <c r="I124" s="47"/>
      <c r="J124" s="47"/>
      <c r="K124" s="47"/>
      <c r="L124" s="47"/>
      <c r="M124" s="47"/>
      <c r="N124" s="47"/>
      <c r="O124" s="47"/>
    </row>
    <row r="125" spans="1:15" ht="20.25" outlineLevel="1" x14ac:dyDescent="0.35">
      <c r="A125" s="47"/>
      <c r="B125" s="47"/>
      <c r="C125" s="124"/>
      <c r="D125" s="124"/>
      <c r="E125" s="124"/>
      <c r="F125" s="124"/>
      <c r="G125" s="124"/>
      <c r="H125" s="47"/>
      <c r="I125" s="47"/>
      <c r="J125" s="47"/>
      <c r="K125" s="47"/>
      <c r="L125" s="47"/>
      <c r="M125" s="47"/>
      <c r="N125" s="47"/>
      <c r="O125" s="47"/>
    </row>
    <row r="126" spans="1:15" ht="20.25" x14ac:dyDescent="0.35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</row>
    <row r="127" spans="1:15" ht="26.25" x14ac:dyDescent="0.45">
      <c r="A127" s="13" t="s">
        <v>283</v>
      </c>
    </row>
    <row r="128" spans="1:15" ht="20.25" outlineLevel="1" x14ac:dyDescent="0.35">
      <c r="A128" s="7" t="s">
        <v>282</v>
      </c>
    </row>
    <row r="129" spans="1:15" ht="20.25" outlineLevel="1" x14ac:dyDescent="0.35">
      <c r="A129" s="103" t="s">
        <v>251</v>
      </c>
      <c r="B129" s="103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</row>
    <row r="130" spans="1:15" ht="20.25" outlineLevel="1" x14ac:dyDescent="0.35">
      <c r="A130" s="103" t="s">
        <v>252</v>
      </c>
      <c r="B130" s="103"/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</row>
    <row r="131" spans="1:15" ht="20.25" outlineLevel="1" x14ac:dyDescent="0.35">
      <c r="A131" s="103" t="s">
        <v>253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</row>
    <row r="132" spans="1:15" ht="20.25" outlineLevel="1" x14ac:dyDescent="0.35">
      <c r="A132" s="103" t="s">
        <v>254</v>
      </c>
      <c r="B132" s="103"/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</row>
    <row r="133" spans="1:15" ht="20.25" outlineLevel="1" x14ac:dyDescent="0.35">
      <c r="A133" s="103" t="s">
        <v>255</v>
      </c>
      <c r="B133" s="103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</row>
    <row r="134" spans="1:15" ht="20.25" outlineLevel="1" x14ac:dyDescent="0.35">
      <c r="A134" s="121" t="s">
        <v>256</v>
      </c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</row>
    <row r="135" spans="1:15" ht="20.25" outlineLevel="1" x14ac:dyDescent="0.35">
      <c r="A135" s="121" t="s">
        <v>257</v>
      </c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</row>
    <row r="136" spans="1:15" ht="20.25" outlineLevel="1" x14ac:dyDescent="0.35">
      <c r="A136" s="121" t="s">
        <v>258</v>
      </c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</row>
    <row r="137" spans="1:15" ht="20.25" outlineLevel="1" x14ac:dyDescent="0.35">
      <c r="A137" s="121" t="s">
        <v>259</v>
      </c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</row>
    <row r="138" spans="1:15" ht="20.25" outlineLevel="1" x14ac:dyDescent="0.35">
      <c r="A138" s="48"/>
      <c r="B138" s="48"/>
      <c r="C138" s="124" t="e" vm="3">
        <v>#VALUE!</v>
      </c>
      <c r="D138" s="124"/>
      <c r="E138" s="124"/>
      <c r="F138" s="124"/>
      <c r="G138" s="124"/>
      <c r="H138" s="124"/>
      <c r="I138" s="48"/>
      <c r="J138" s="48"/>
      <c r="K138" s="48"/>
      <c r="L138" s="48"/>
      <c r="M138" s="48"/>
      <c r="N138" s="48"/>
      <c r="O138" s="48"/>
    </row>
    <row r="139" spans="1:15" ht="20.25" outlineLevel="1" x14ac:dyDescent="0.35">
      <c r="A139" s="48"/>
      <c r="B139" s="48"/>
      <c r="C139" s="124"/>
      <c r="D139" s="124"/>
      <c r="E139" s="124"/>
      <c r="F139" s="124"/>
      <c r="G139" s="124"/>
      <c r="H139" s="124"/>
      <c r="I139" s="48"/>
      <c r="J139" s="48"/>
      <c r="K139" s="48"/>
      <c r="L139" s="48"/>
      <c r="M139" s="48"/>
      <c r="N139" s="48"/>
      <c r="O139" s="48"/>
    </row>
    <row r="140" spans="1:15" ht="20.25" outlineLevel="1" x14ac:dyDescent="0.35">
      <c r="A140" s="48"/>
      <c r="B140" s="48"/>
      <c r="C140" s="124"/>
      <c r="D140" s="124"/>
      <c r="E140" s="124"/>
      <c r="F140" s="124"/>
      <c r="G140" s="124"/>
      <c r="H140" s="124"/>
      <c r="I140" s="48"/>
      <c r="J140" s="48"/>
      <c r="K140" s="48"/>
      <c r="L140" s="48"/>
      <c r="M140" s="48"/>
      <c r="N140" s="48"/>
      <c r="O140" s="48"/>
    </row>
    <row r="141" spans="1:15" ht="20.25" outlineLevel="1" x14ac:dyDescent="0.35">
      <c r="A141" s="48"/>
      <c r="B141" s="48"/>
      <c r="C141" s="124"/>
      <c r="D141" s="124"/>
      <c r="E141" s="124"/>
      <c r="F141" s="124"/>
      <c r="G141" s="124"/>
      <c r="H141" s="124"/>
      <c r="I141" s="48"/>
      <c r="J141" s="48"/>
      <c r="K141" s="48"/>
      <c r="L141" s="48"/>
      <c r="M141" s="48"/>
      <c r="N141" s="48"/>
      <c r="O141" s="48"/>
    </row>
    <row r="142" spans="1:15" ht="20.25" outlineLevel="1" x14ac:dyDescent="0.35">
      <c r="A142" s="48"/>
      <c r="B142" s="48"/>
      <c r="C142" s="124"/>
      <c r="D142" s="124"/>
      <c r="E142" s="124"/>
      <c r="F142" s="124"/>
      <c r="G142" s="124"/>
      <c r="H142" s="124"/>
      <c r="I142" s="48"/>
      <c r="J142" s="48"/>
      <c r="K142" s="48"/>
      <c r="L142" s="48"/>
      <c r="M142" s="48"/>
      <c r="N142" s="48"/>
      <c r="O142" s="48"/>
    </row>
    <row r="143" spans="1:15" ht="20.25" outlineLevel="1" x14ac:dyDescent="0.35">
      <c r="A143" s="48"/>
      <c r="B143" s="48"/>
      <c r="C143" s="124"/>
      <c r="D143" s="124"/>
      <c r="E143" s="124"/>
      <c r="F143" s="124"/>
      <c r="G143" s="124"/>
      <c r="H143" s="124"/>
      <c r="I143" s="48"/>
      <c r="J143" s="48"/>
      <c r="K143" s="48"/>
      <c r="L143" s="48"/>
      <c r="M143" s="48"/>
      <c r="N143" s="48"/>
      <c r="O143" s="48"/>
    </row>
    <row r="144" spans="1:15" ht="20.25" outlineLevel="1" x14ac:dyDescent="0.35">
      <c r="A144" s="48"/>
      <c r="B144" s="48"/>
      <c r="C144" s="124"/>
      <c r="D144" s="124"/>
      <c r="E144" s="124"/>
      <c r="F144" s="124"/>
      <c r="G144" s="124"/>
      <c r="H144" s="124"/>
      <c r="I144" s="48"/>
      <c r="J144" s="48"/>
      <c r="K144" s="48"/>
      <c r="L144" s="48"/>
      <c r="M144" s="48"/>
      <c r="N144" s="48"/>
      <c r="O144" s="48"/>
    </row>
    <row r="145" spans="1:15" ht="20.25" outlineLevel="1" x14ac:dyDescent="0.35">
      <c r="A145" s="48"/>
      <c r="B145" s="48"/>
      <c r="C145" s="124"/>
      <c r="D145" s="124"/>
      <c r="E145" s="124"/>
      <c r="F145" s="124"/>
      <c r="G145" s="124"/>
      <c r="H145" s="124"/>
      <c r="I145" s="48"/>
      <c r="J145" s="48"/>
      <c r="K145" s="48"/>
      <c r="L145" s="48"/>
      <c r="M145" s="48"/>
      <c r="N145" s="48"/>
      <c r="O145" s="48"/>
    </row>
    <row r="146" spans="1:15" ht="20.25" outlineLevel="1" x14ac:dyDescent="0.35">
      <c r="A146" s="48"/>
      <c r="B146" s="48"/>
      <c r="C146" s="124"/>
      <c r="D146" s="124"/>
      <c r="E146" s="124"/>
      <c r="F146" s="124"/>
      <c r="G146" s="124"/>
      <c r="H146" s="124"/>
      <c r="I146" s="48"/>
      <c r="J146" s="48"/>
      <c r="K146" s="48"/>
      <c r="L146" s="48"/>
      <c r="M146" s="48"/>
      <c r="N146" s="48"/>
      <c r="O146" s="48"/>
    </row>
    <row r="147" spans="1:15" ht="20.25" outlineLevel="1" x14ac:dyDescent="0.35">
      <c r="A147" s="48"/>
      <c r="B147" s="48"/>
      <c r="C147" s="124"/>
      <c r="D147" s="124"/>
      <c r="E147" s="124"/>
      <c r="F147" s="124"/>
      <c r="G147" s="124"/>
      <c r="H147" s="124"/>
      <c r="I147" s="48"/>
      <c r="J147" s="48"/>
      <c r="K147" s="48"/>
      <c r="L147" s="48"/>
      <c r="M147" s="48"/>
      <c r="N147" s="48"/>
      <c r="O147" s="48"/>
    </row>
    <row r="148" spans="1:15" ht="20.25" outlineLevel="1" x14ac:dyDescent="0.35">
      <c r="A148" s="48"/>
      <c r="B148" s="48"/>
      <c r="C148" s="124"/>
      <c r="D148" s="124"/>
      <c r="E148" s="124"/>
      <c r="F148" s="124"/>
      <c r="G148" s="124"/>
      <c r="H148" s="124"/>
      <c r="I148" s="48"/>
      <c r="J148" s="48"/>
      <c r="K148" s="48"/>
      <c r="L148" s="48"/>
      <c r="M148" s="48"/>
      <c r="N148" s="48"/>
      <c r="O148" s="48"/>
    </row>
    <row r="149" spans="1:15" ht="20.25" outlineLevel="1" x14ac:dyDescent="0.35">
      <c r="A149" s="48"/>
      <c r="B149" s="48"/>
      <c r="C149" s="124"/>
      <c r="D149" s="124"/>
      <c r="E149" s="124"/>
      <c r="F149" s="124"/>
      <c r="G149" s="124"/>
      <c r="H149" s="124"/>
      <c r="I149" s="48"/>
      <c r="J149" s="48"/>
      <c r="K149" s="48"/>
      <c r="L149" s="48"/>
      <c r="M149" s="48"/>
      <c r="N149" s="48"/>
      <c r="O149" s="48"/>
    </row>
    <row r="150" spans="1:15" ht="20.25" outlineLevel="1" x14ac:dyDescent="0.35">
      <c r="A150" s="48"/>
      <c r="B150" s="48"/>
      <c r="C150" s="124"/>
      <c r="D150" s="124"/>
      <c r="E150" s="124"/>
      <c r="F150" s="124"/>
      <c r="G150" s="124"/>
      <c r="H150" s="124"/>
      <c r="I150" s="48"/>
      <c r="J150" s="48"/>
      <c r="K150" s="48"/>
      <c r="L150" s="48"/>
      <c r="M150" s="48"/>
      <c r="N150" s="48"/>
      <c r="O150" s="48"/>
    </row>
    <row r="151" spans="1:15" ht="20.25" outlineLevel="1" x14ac:dyDescent="0.35">
      <c r="A151" s="48"/>
      <c r="B151" s="48"/>
      <c r="C151" s="124"/>
      <c r="D151" s="124"/>
      <c r="E151" s="124"/>
      <c r="F151" s="124"/>
      <c r="G151" s="124"/>
      <c r="H151" s="124"/>
      <c r="I151" s="48"/>
      <c r="J151" s="48"/>
      <c r="K151" s="48"/>
      <c r="L151" s="48"/>
      <c r="M151" s="48"/>
      <c r="N151" s="48"/>
      <c r="O151" s="48"/>
    </row>
    <row r="152" spans="1:15" ht="20.25" outlineLevel="1" x14ac:dyDescent="0.35">
      <c r="A152" s="48"/>
      <c r="B152" s="48"/>
      <c r="C152" s="124"/>
      <c r="D152" s="124"/>
      <c r="E152" s="124"/>
      <c r="F152" s="124"/>
      <c r="G152" s="124"/>
      <c r="H152" s="124"/>
      <c r="I152" s="48"/>
      <c r="J152" s="48"/>
      <c r="K152" s="48"/>
      <c r="L152" s="48"/>
      <c r="M152" s="48"/>
      <c r="N152" s="48"/>
      <c r="O152" s="48"/>
    </row>
    <row r="153" spans="1:15" ht="20.25" outlineLevel="1" x14ac:dyDescent="0.35">
      <c r="A153" s="48"/>
      <c r="B153" s="48"/>
      <c r="C153" s="124"/>
      <c r="D153" s="124"/>
      <c r="E153" s="124"/>
      <c r="F153" s="124"/>
      <c r="G153" s="124"/>
      <c r="H153" s="124"/>
      <c r="I153" s="48"/>
      <c r="J153" s="48"/>
      <c r="K153" s="48"/>
      <c r="L153" s="48"/>
      <c r="M153" s="48"/>
      <c r="N153" s="48"/>
      <c r="O153" s="48"/>
    </row>
    <row r="154" spans="1:15" ht="20.25" outlineLevel="1" x14ac:dyDescent="0.35">
      <c r="A154" s="48"/>
      <c r="B154" s="48"/>
      <c r="C154" s="124"/>
      <c r="D154" s="124"/>
      <c r="E154" s="124"/>
      <c r="F154" s="124"/>
      <c r="G154" s="124"/>
      <c r="H154" s="124"/>
      <c r="I154" s="48"/>
      <c r="J154" s="48"/>
      <c r="K154" s="48"/>
      <c r="L154" s="48"/>
      <c r="M154" s="48"/>
      <c r="N154" s="48"/>
      <c r="O154" s="48"/>
    </row>
    <row r="155" spans="1:15" ht="20.25" outlineLevel="1" x14ac:dyDescent="0.35">
      <c r="A155" s="48"/>
      <c r="B155" s="48"/>
      <c r="C155" s="124"/>
      <c r="D155" s="124"/>
      <c r="E155" s="124"/>
      <c r="F155" s="124"/>
      <c r="G155" s="124"/>
      <c r="H155" s="124"/>
      <c r="I155" s="48"/>
      <c r="J155" s="48"/>
      <c r="K155" s="48"/>
      <c r="L155" s="48"/>
      <c r="M155" s="48"/>
      <c r="N155" s="48"/>
      <c r="O155" s="48"/>
    </row>
    <row r="156" spans="1:15" ht="20.25" outlineLevel="1" x14ac:dyDescent="0.35">
      <c r="A156" s="48"/>
      <c r="B156" s="48"/>
      <c r="C156" s="124"/>
      <c r="D156" s="124"/>
      <c r="E156" s="124"/>
      <c r="F156" s="124"/>
      <c r="G156" s="124"/>
      <c r="H156" s="124"/>
      <c r="I156" s="48"/>
      <c r="J156" s="48"/>
      <c r="K156" s="48"/>
      <c r="L156" s="48"/>
      <c r="M156" s="48"/>
      <c r="N156" s="48"/>
      <c r="O156" s="48"/>
    </row>
    <row r="157" spans="1:15" ht="20.25" x14ac:dyDescent="0.35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</row>
    <row r="158" spans="1:15" ht="26.25" x14ac:dyDescent="0.45">
      <c r="A158" s="13" t="s">
        <v>260</v>
      </c>
    </row>
    <row r="159" spans="1:15" ht="16.5" outlineLevel="1" x14ac:dyDescent="0.3">
      <c r="A159" s="49"/>
    </row>
    <row r="160" spans="1:15" ht="16.5" outlineLevel="1" x14ac:dyDescent="0.25">
      <c r="A160" s="126" t="s">
        <v>271</v>
      </c>
      <c r="B160" s="126"/>
      <c r="C160" s="126"/>
      <c r="D160" s="125" t="s">
        <v>263</v>
      </c>
      <c r="E160" s="125"/>
      <c r="F160" s="125"/>
      <c r="G160" s="125"/>
      <c r="H160" s="125"/>
      <c r="I160" s="125"/>
      <c r="J160" s="125" t="s">
        <v>261</v>
      </c>
      <c r="K160" s="125"/>
      <c r="L160" s="125"/>
      <c r="M160" s="125"/>
      <c r="N160" s="125"/>
      <c r="O160" s="125"/>
    </row>
    <row r="161" spans="1:15" ht="42" customHeight="1" outlineLevel="1" x14ac:dyDescent="0.25">
      <c r="A161" s="122" t="s">
        <v>264</v>
      </c>
      <c r="B161" s="122"/>
      <c r="C161" s="122"/>
      <c r="D161" s="123" t="s">
        <v>273</v>
      </c>
      <c r="E161" s="123"/>
      <c r="F161" s="123"/>
      <c r="G161" s="123"/>
      <c r="H161" s="123"/>
      <c r="I161" s="123"/>
      <c r="J161" s="123" t="s">
        <v>274</v>
      </c>
      <c r="K161" s="123"/>
      <c r="L161" s="123"/>
      <c r="M161" s="123"/>
      <c r="N161" s="123"/>
      <c r="O161" s="123"/>
    </row>
    <row r="162" spans="1:15" ht="41.25" customHeight="1" outlineLevel="1" x14ac:dyDescent="0.25">
      <c r="A162" s="122" t="s">
        <v>265</v>
      </c>
      <c r="B162" s="122"/>
      <c r="C162" s="122"/>
      <c r="D162" s="123" t="s">
        <v>275</v>
      </c>
      <c r="E162" s="123"/>
      <c r="F162" s="123"/>
      <c r="G162" s="123"/>
      <c r="H162" s="123"/>
      <c r="I162" s="123"/>
      <c r="J162" s="123" t="s">
        <v>276</v>
      </c>
      <c r="K162" s="123"/>
      <c r="L162" s="123"/>
      <c r="M162" s="123"/>
      <c r="N162" s="123"/>
      <c r="O162" s="123"/>
    </row>
    <row r="163" spans="1:15" ht="20.25" customHeight="1" outlineLevel="1" x14ac:dyDescent="0.25">
      <c r="A163" s="122" t="s">
        <v>270</v>
      </c>
      <c r="B163" s="122"/>
      <c r="C163" s="122"/>
      <c r="D163" s="123" t="s">
        <v>278</v>
      </c>
      <c r="E163" s="123"/>
      <c r="F163" s="123"/>
      <c r="G163" s="123"/>
      <c r="H163" s="123"/>
      <c r="I163" s="123"/>
      <c r="J163" s="123" t="s">
        <v>277</v>
      </c>
      <c r="K163" s="123"/>
      <c r="L163" s="123"/>
      <c r="M163" s="123"/>
      <c r="N163" s="123"/>
      <c r="O163" s="123"/>
    </row>
    <row r="164" spans="1:15" ht="20.25" customHeight="1" outlineLevel="1" x14ac:dyDescent="0.25">
      <c r="A164" s="122" t="s">
        <v>29</v>
      </c>
      <c r="B164" s="122"/>
      <c r="C164" s="122"/>
      <c r="D164" s="123" t="s">
        <v>266</v>
      </c>
      <c r="E164" s="123"/>
      <c r="F164" s="123"/>
      <c r="G164" s="123"/>
      <c r="H164" s="123"/>
      <c r="I164" s="123"/>
      <c r="J164" s="123" t="s">
        <v>267</v>
      </c>
      <c r="K164" s="123"/>
      <c r="L164" s="123"/>
      <c r="M164" s="123"/>
      <c r="N164" s="123"/>
      <c r="O164" s="123"/>
    </row>
    <row r="165" spans="1:15" ht="20.25" customHeight="1" outlineLevel="1" x14ac:dyDescent="0.25">
      <c r="A165" s="122" t="s">
        <v>268</v>
      </c>
      <c r="B165" s="122"/>
      <c r="C165" s="122"/>
      <c r="D165" s="123" t="s">
        <v>269</v>
      </c>
      <c r="E165" s="123"/>
      <c r="F165" s="123"/>
      <c r="G165" s="123"/>
      <c r="H165" s="123"/>
      <c r="I165" s="123"/>
      <c r="J165" s="123" t="s">
        <v>272</v>
      </c>
      <c r="K165" s="123"/>
      <c r="L165" s="123"/>
      <c r="M165" s="123"/>
      <c r="N165" s="123"/>
      <c r="O165" s="123"/>
    </row>
    <row r="166" spans="1:15" ht="20.25" customHeight="1" outlineLevel="1" x14ac:dyDescent="0.25">
      <c r="A166" s="122" t="s">
        <v>262</v>
      </c>
      <c r="B166" s="122"/>
      <c r="C166" s="122"/>
      <c r="D166" s="123" t="s">
        <v>279</v>
      </c>
      <c r="E166" s="123"/>
      <c r="F166" s="123"/>
      <c r="G166" s="123"/>
      <c r="H166" s="123"/>
      <c r="I166" s="123"/>
      <c r="J166" s="123" t="s">
        <v>280</v>
      </c>
      <c r="K166" s="123"/>
      <c r="L166" s="123"/>
      <c r="M166" s="123"/>
      <c r="N166" s="123"/>
      <c r="O166" s="123"/>
    </row>
    <row r="167" spans="1:15" ht="16.5" x14ac:dyDescent="0.3">
      <c r="A167" s="49"/>
    </row>
    <row r="168" spans="1:15" ht="26.25" x14ac:dyDescent="0.45">
      <c r="A168" s="13" t="s">
        <v>341</v>
      </c>
    </row>
    <row r="169" spans="1:15" ht="20.25" outlineLevel="1" x14ac:dyDescent="0.35">
      <c r="A169" s="60" t="s">
        <v>559</v>
      </c>
    </row>
    <row r="170" spans="1:15" ht="20.25" outlineLevel="1" x14ac:dyDescent="0.35">
      <c r="A170" s="60" t="s">
        <v>560</v>
      </c>
    </row>
    <row r="171" spans="1:15" ht="20.25" outlineLevel="1" x14ac:dyDescent="0.35">
      <c r="A171" s="60" t="s">
        <v>561</v>
      </c>
    </row>
    <row r="172" spans="1:15" ht="20.25" outlineLevel="1" x14ac:dyDescent="0.35">
      <c r="A172" s="60" t="s">
        <v>571</v>
      </c>
    </row>
    <row r="173" spans="1:15" ht="20.25" outlineLevel="1" x14ac:dyDescent="0.35">
      <c r="A173" s="60" t="s">
        <v>647</v>
      </c>
    </row>
    <row r="174" spans="1:15" outlineLevel="1" x14ac:dyDescent="0.25">
      <c r="A174" s="1"/>
    </row>
    <row r="175" spans="1:15" ht="20.25" outlineLevel="1" x14ac:dyDescent="0.35">
      <c r="A175" s="60" t="s">
        <v>572</v>
      </c>
    </row>
    <row r="176" spans="1:15" ht="20.25" outlineLevel="1" x14ac:dyDescent="0.35">
      <c r="A176" s="60" t="s">
        <v>565</v>
      </c>
    </row>
    <row r="177" spans="1:1" outlineLevel="1" x14ac:dyDescent="0.25">
      <c r="A177" s="1"/>
    </row>
    <row r="178" spans="1:1" ht="20.25" outlineLevel="1" x14ac:dyDescent="0.35">
      <c r="A178" s="60" t="s">
        <v>562</v>
      </c>
    </row>
    <row r="179" spans="1:1" outlineLevel="1" x14ac:dyDescent="0.25">
      <c r="A179" s="1"/>
    </row>
    <row r="180" spans="1:1" ht="20.25" outlineLevel="1" x14ac:dyDescent="0.35">
      <c r="A180" s="60" t="s">
        <v>564</v>
      </c>
    </row>
    <row r="181" spans="1:1" outlineLevel="1" x14ac:dyDescent="0.25">
      <c r="A181" s="1"/>
    </row>
    <row r="182" spans="1:1" ht="20.25" outlineLevel="1" x14ac:dyDescent="0.35">
      <c r="A182" s="60" t="s">
        <v>570</v>
      </c>
    </row>
    <row r="183" spans="1:1" ht="20.25" outlineLevel="1" x14ac:dyDescent="0.35">
      <c r="A183" s="101" t="s">
        <v>569</v>
      </c>
    </row>
    <row r="184" spans="1:1" ht="20.25" outlineLevel="1" x14ac:dyDescent="0.35">
      <c r="A184" s="101" t="s">
        <v>554</v>
      </c>
    </row>
    <row r="185" spans="1:1" ht="20.25" outlineLevel="1" x14ac:dyDescent="0.35">
      <c r="A185" s="101" t="s">
        <v>556</v>
      </c>
    </row>
    <row r="186" spans="1:1" ht="16.5" x14ac:dyDescent="0.3">
      <c r="A186" s="49"/>
    </row>
    <row r="187" spans="1:1" ht="26.25" x14ac:dyDescent="0.45">
      <c r="A187" s="13" t="s">
        <v>339</v>
      </c>
    </row>
    <row r="188" spans="1:1" ht="20.25" outlineLevel="1" x14ac:dyDescent="0.35">
      <c r="A188" s="60" t="s">
        <v>335</v>
      </c>
    </row>
    <row r="189" spans="1:1" ht="20.25" outlineLevel="1" x14ac:dyDescent="0.35">
      <c r="A189" s="60" t="s">
        <v>336</v>
      </c>
    </row>
    <row r="190" spans="1:1" ht="20.25" outlineLevel="1" x14ac:dyDescent="0.35">
      <c r="A190" s="60" t="s">
        <v>337</v>
      </c>
    </row>
    <row r="191" spans="1:1" ht="20.25" outlineLevel="1" x14ac:dyDescent="0.35">
      <c r="A191" s="60" t="s">
        <v>338</v>
      </c>
    </row>
    <row r="192" spans="1:1" ht="20.25" outlineLevel="1" x14ac:dyDescent="0.35">
      <c r="A192" s="60" t="s">
        <v>340</v>
      </c>
    </row>
    <row r="205" spans="13:13" ht="17.25" x14ac:dyDescent="0.3">
      <c r="M205" s="9"/>
    </row>
    <row r="206" spans="13:13" ht="17.25" x14ac:dyDescent="0.3">
      <c r="M206" s="9"/>
    </row>
    <row r="207" spans="13:13" ht="17.25" x14ac:dyDescent="0.3">
      <c r="M207" s="9"/>
    </row>
    <row r="208" spans="13:13" ht="17.25" x14ac:dyDescent="0.3">
      <c r="M208" s="9"/>
    </row>
    <row r="209" spans="13:13" ht="17.25" x14ac:dyDescent="0.3">
      <c r="M209" s="9"/>
    </row>
    <row r="210" spans="13:13" ht="17.25" x14ac:dyDescent="0.3">
      <c r="M210" s="9"/>
    </row>
    <row r="211" spans="13:13" ht="17.25" x14ac:dyDescent="0.3">
      <c r="M211" s="9"/>
    </row>
    <row r="212" spans="13:13" ht="17.25" x14ac:dyDescent="0.3">
      <c r="M212" s="9"/>
    </row>
    <row r="213" spans="13:13" ht="17.25" x14ac:dyDescent="0.3">
      <c r="M213" s="9"/>
    </row>
    <row r="214" spans="13:13" ht="17.25" x14ac:dyDescent="0.3">
      <c r="M214" s="9"/>
    </row>
    <row r="215" spans="13:13" ht="17.25" x14ac:dyDescent="0.3">
      <c r="M215" s="9"/>
    </row>
    <row r="216" spans="13:13" ht="17.25" x14ac:dyDescent="0.3">
      <c r="M216" s="9"/>
    </row>
    <row r="217" spans="13:13" ht="17.25" x14ac:dyDescent="0.3">
      <c r="M217" s="9"/>
    </row>
    <row r="218" spans="13:13" ht="17.25" x14ac:dyDescent="0.3">
      <c r="M218" s="9"/>
    </row>
    <row r="219" spans="13:13" ht="17.25" x14ac:dyDescent="0.3">
      <c r="M219" s="9"/>
    </row>
    <row r="220" spans="13:13" ht="17.25" x14ac:dyDescent="0.3">
      <c r="M220" s="9"/>
    </row>
    <row r="221" spans="13:13" ht="17.25" x14ac:dyDescent="0.3">
      <c r="M221" s="9"/>
    </row>
    <row r="222" spans="13:13" ht="17.25" x14ac:dyDescent="0.3">
      <c r="M222" s="9"/>
    </row>
    <row r="223" spans="13:13" ht="17.25" x14ac:dyDescent="0.3">
      <c r="M223" s="9"/>
    </row>
    <row r="224" spans="13:13" ht="17.25" x14ac:dyDescent="0.3">
      <c r="M224" s="9"/>
    </row>
    <row r="225" spans="13:13" ht="17.25" x14ac:dyDescent="0.3">
      <c r="M225" s="9"/>
    </row>
    <row r="226" spans="13:13" ht="17.25" x14ac:dyDescent="0.3">
      <c r="M226" s="9"/>
    </row>
    <row r="227" spans="13:13" ht="17.25" x14ac:dyDescent="0.3">
      <c r="M227" s="9"/>
    </row>
    <row r="228" spans="13:13" ht="17.25" x14ac:dyDescent="0.3">
      <c r="M228" s="9"/>
    </row>
    <row r="229" spans="13:13" ht="17.25" x14ac:dyDescent="0.3">
      <c r="M229" s="9"/>
    </row>
    <row r="230" spans="13:13" ht="17.25" x14ac:dyDescent="0.3">
      <c r="M230" s="9"/>
    </row>
    <row r="231" spans="13:13" ht="17.25" x14ac:dyDescent="0.3">
      <c r="M231" s="9"/>
    </row>
    <row r="232" spans="13:13" ht="17.25" x14ac:dyDescent="0.3">
      <c r="M232" s="9"/>
    </row>
    <row r="233" spans="13:13" ht="17.25" x14ac:dyDescent="0.3">
      <c r="M233" s="9"/>
    </row>
    <row r="234" spans="13:13" ht="17.25" x14ac:dyDescent="0.3">
      <c r="M234" s="9"/>
    </row>
    <row r="235" spans="13:13" ht="17.25" x14ac:dyDescent="0.3">
      <c r="M235" s="9"/>
    </row>
    <row r="236" spans="13:13" ht="17.25" x14ac:dyDescent="0.3">
      <c r="M236" s="9"/>
    </row>
  </sheetData>
  <mergeCells count="86">
    <mergeCell ref="D166:I166"/>
    <mergeCell ref="B77:L77"/>
    <mergeCell ref="B78:L78"/>
    <mergeCell ref="B79:L79"/>
    <mergeCell ref="B65:L65"/>
    <mergeCell ref="B66:L66"/>
    <mergeCell ref="B67:L67"/>
    <mergeCell ref="B68:L68"/>
    <mergeCell ref="B69:L69"/>
    <mergeCell ref="B70:L70"/>
    <mergeCell ref="B75:L75"/>
    <mergeCell ref="B76:L76"/>
    <mergeCell ref="J165:O165"/>
    <mergeCell ref="J160:O160"/>
    <mergeCell ref="D160:I160"/>
    <mergeCell ref="A160:C160"/>
    <mergeCell ref="A164:C164"/>
    <mergeCell ref="J163:O163"/>
    <mergeCell ref="J164:O164"/>
    <mergeCell ref="J162:O162"/>
    <mergeCell ref="J161:O161"/>
    <mergeCell ref="A162:C162"/>
    <mergeCell ref="D161:I161"/>
    <mergeCell ref="D163:I163"/>
    <mergeCell ref="D164:I164"/>
    <mergeCell ref="D165:I165"/>
    <mergeCell ref="A166:C166"/>
    <mergeCell ref="A165:C165"/>
    <mergeCell ref="C119:G125"/>
    <mergeCell ref="C138:H156"/>
    <mergeCell ref="B88:L88"/>
    <mergeCell ref="B89:L89"/>
    <mergeCell ref="B90:L90"/>
    <mergeCell ref="B91:L91"/>
    <mergeCell ref="A112:O112"/>
    <mergeCell ref="A113:O113"/>
    <mergeCell ref="A114:O114"/>
    <mergeCell ref="A115:O115"/>
    <mergeCell ref="A116:O116"/>
    <mergeCell ref="A117:O117"/>
    <mergeCell ref="A111:O111"/>
    <mergeCell ref="J166:O166"/>
    <mergeCell ref="D11:O11"/>
    <mergeCell ref="A12:C12"/>
    <mergeCell ref="D12:O12"/>
    <mergeCell ref="A18:O18"/>
    <mergeCell ref="A163:C163"/>
    <mergeCell ref="A161:C161"/>
    <mergeCell ref="D162:I162"/>
    <mergeCell ref="B87:L87"/>
    <mergeCell ref="B80:L80"/>
    <mergeCell ref="B86:L86"/>
    <mergeCell ref="A60:O60"/>
    <mergeCell ref="B37:G37"/>
    <mergeCell ref="B43:G43"/>
    <mergeCell ref="A27:O27"/>
    <mergeCell ref="A24:C24"/>
    <mergeCell ref="D24:O24"/>
    <mergeCell ref="A28:O28"/>
    <mergeCell ref="B32:G32"/>
    <mergeCell ref="A131:O131"/>
    <mergeCell ref="A132:O132"/>
    <mergeCell ref="A129:O129"/>
    <mergeCell ref="A130:O130"/>
    <mergeCell ref="A118:O118"/>
    <mergeCell ref="A137:O137"/>
    <mergeCell ref="A135:O135"/>
    <mergeCell ref="A136:O136"/>
    <mergeCell ref="A133:O133"/>
    <mergeCell ref="A134:O134"/>
    <mergeCell ref="A4:O4"/>
    <mergeCell ref="A15:O15"/>
    <mergeCell ref="D23:O23"/>
    <mergeCell ref="A16:O16"/>
    <mergeCell ref="A21:C21"/>
    <mergeCell ref="D21:O21"/>
    <mergeCell ref="A22:C22"/>
    <mergeCell ref="D22:O22"/>
    <mergeCell ref="A8:C8"/>
    <mergeCell ref="D8:O8"/>
    <mergeCell ref="A9:C9"/>
    <mergeCell ref="D9:O9"/>
    <mergeCell ref="A10:C10"/>
    <mergeCell ref="D10:O10"/>
    <mergeCell ref="A23:C23"/>
    <mergeCell ref="A11:C11"/>
  </mergeCells>
  <hyperlinks>
    <hyperlink ref="A188" r:id="rId1" display="Microsoft Resources" xr:uid="{DF528194-6533-45DA-9A1D-4E226D0658B9}"/>
    <hyperlink ref="A189" r:id="rId2" xr:uid="{9451B5FB-4CCB-41F9-B2C5-E7950065D43B}"/>
    <hyperlink ref="A191" r:id="rId3" xr:uid="{0A4EFB12-7E25-43D9-829D-BF123D620054}"/>
    <hyperlink ref="A190" r:id="rId4" xr:uid="{B30A70D5-5753-4E37-A5AB-0A9C598D18B3}"/>
    <hyperlink ref="A192" r:id="rId5" xr:uid="{06A75961-B316-474C-B0BA-A8353BEE92F2}"/>
    <hyperlink ref="A169" location="Examples!L5" display="Range [Easy]" xr:uid="{206505DD-6CA0-4AB3-953E-8A1E18B117E8}"/>
    <hyperlink ref="A170" location="Examples!L19" display="Interquartile Range [Easy]" xr:uid="{2E8F58B1-98B1-49C5-B25A-5272D8293098}"/>
    <hyperlink ref="A171" location="Examples!L43" display="Standard Error of Mean [Easy]" xr:uid="{E280E565-9101-47B7-B943-3710932584E6}"/>
    <hyperlink ref="A172" location="Examples!L67" display="Margin of Error [Easy]" xr:uid="{C510EA20-9351-4E44-8FCA-F26B8C5FDB7F}"/>
    <hyperlink ref="A175" location="Examples!L91" display="Relative Standard Deviation [Easy]" xr:uid="{D978BF6E-E77D-4061-9F2B-BF620C2B5FEE}"/>
    <hyperlink ref="A176" location="Examples!E115" display="Table of Descriptive Statistics [Advanced+]" xr:uid="{0FC4920A-2E47-4DBD-8128-7D4B13B566B3}"/>
    <hyperlink ref="A178" location="Examples!P144" display="Calculate Z-Score of Each Record in Dataset [East - Moderate]" xr:uid="{A3E6763E-3FDB-4D79-8D03-8D34D3DF488C}"/>
    <hyperlink ref="A180" location="Examples!N255" display="Dilution Equation: Solve for the Unknown [Moderate - Advanced]" xr:uid="{41B748D9-BFDF-43BD-9BC5-C12209FB6BEC}"/>
    <hyperlink ref="A182" location="Examples!A270" display="LET's Make This Formula Better [Easy - Advanced++]" xr:uid="{0C466194-153B-481C-8F95-4F28EE859114}"/>
    <hyperlink ref="A183" location="Examples!J294" display="Original Status Formula [Easy - Moderate]" xr:uid="{B4299C6F-AAD1-4F12-8643-0F781CE53C40}"/>
    <hyperlink ref="A184" location="Examples!M294" display="Revision 2 [Advnaced+]: Dynamic Arrays and Re-Usable LAMBDA" xr:uid="{B8D36587-AF81-4492-863C-A6E7269AD6AD}"/>
    <hyperlink ref="A185" location="Examples!M419" display="Revision 3 [Advanced++]: Mask, Debug, Conditional Formatting (Second LAMBDA)" xr:uid="{5922CE27-7BC4-4E6B-B4BD-FC090D1E8E5A}"/>
    <hyperlink ref="A173" location="Examples!J97" display="Margin of Error [Advanced++]: Dependant Calculation (w/ Optional Parameters and Helper LAMBDAs)" xr:uid="{951955CD-9190-4416-9FD8-C792AD9F5BD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8BB26-DE54-4137-B899-3AF52569A9E3}">
  <dimension ref="A1:AJ543"/>
  <sheetViews>
    <sheetView tabSelected="1" zoomScaleNormal="100" workbookViewId="0">
      <pane ySplit="1" topLeftCell="A95" activePane="bottomLeft" state="frozen"/>
      <selection pane="bottomLeft" activeCell="C105" sqref="C105"/>
    </sheetView>
  </sheetViews>
  <sheetFormatPr defaultRowHeight="18.75" outlineLevelRow="2" x14ac:dyDescent="0.3"/>
  <cols>
    <col min="1" max="1" width="9.375" style="6" customWidth="1"/>
    <col min="2" max="2" width="9.875" style="6" customWidth="1"/>
    <col min="3" max="10" width="9" style="6"/>
    <col min="11" max="11" width="9.25" style="6" customWidth="1"/>
    <col min="12" max="12" width="9.75" style="6" customWidth="1"/>
    <col min="13" max="15" width="10" style="6" bestFit="1" customWidth="1"/>
    <col min="16" max="16" width="9" style="6"/>
    <col min="17" max="17" width="10.125" style="6" bestFit="1" customWidth="1"/>
    <col min="18" max="16384" width="9" style="6"/>
  </cols>
  <sheetData>
    <row r="1" spans="1:15" x14ac:dyDescent="0.3">
      <c r="A1" s="57" t="s">
        <v>317</v>
      </c>
      <c r="B1" s="45"/>
      <c r="C1" s="45"/>
      <c r="D1" s="140" t="s">
        <v>318</v>
      </c>
      <c r="E1" s="141"/>
      <c r="F1" s="58"/>
      <c r="G1" s="142" t="s">
        <v>4</v>
      </c>
      <c r="H1" s="143"/>
      <c r="I1" s="58"/>
      <c r="J1" s="144" t="s">
        <v>3</v>
      </c>
      <c r="K1" s="145"/>
      <c r="L1" s="58"/>
      <c r="M1" s="146" t="s">
        <v>316</v>
      </c>
      <c r="N1" s="147"/>
    </row>
    <row r="2" spans="1:15" ht="20.25" x14ac:dyDescent="0.35">
      <c r="A2" s="12" t="s">
        <v>559</v>
      </c>
    </row>
    <row r="3" spans="1:15" outlineLevel="1" x14ac:dyDescent="0.3">
      <c r="B3" s="26"/>
    </row>
    <row r="4" spans="1:15" outlineLevel="1" x14ac:dyDescent="0.3">
      <c r="A4" s="15" t="s">
        <v>2</v>
      </c>
      <c r="D4" s="129" t="s">
        <v>104</v>
      </c>
      <c r="E4" s="129"/>
      <c r="F4" s="129"/>
      <c r="G4" s="129"/>
      <c r="H4" s="129"/>
      <c r="J4" s="22" t="s">
        <v>4</v>
      </c>
      <c r="L4" s="24" t="s">
        <v>3</v>
      </c>
      <c r="N4" s="35" t="s">
        <v>1</v>
      </c>
    </row>
    <row r="5" spans="1:15" outlineLevel="1" x14ac:dyDescent="0.3">
      <c r="A5" s="17">
        <v>2028.0182475332299</v>
      </c>
      <c r="D5" s="131" t="s">
        <v>148</v>
      </c>
      <c r="E5" s="131"/>
      <c r="F5" s="131"/>
      <c r="G5" s="131"/>
      <c r="H5" s="131"/>
      <c r="J5" s="20">
        <f>_xlfn.LET(
    _xlpm.data, A5:A16,
    _xlpm.min_val, MIN(_xlpm.data),
    _xlpm.max_val, MAX(_xlpm.data),
    _xlpm.range, _xlpm.max_val - _xlpm.min_val,
    _xlpm.return, _xlpm.range,
    _xlpm.return
)</f>
        <v>1185.9511987415101</v>
      </c>
      <c r="L5" s="87" cm="1">
        <f t="array" ref="L5">_xlfn.LAMBDA(_xlpm.data,
    _xlfn.LET(
        _xlpm.min_val, MIN(_xlpm.data),
        _xlpm.max_val, MAX(_xlpm.data),
        _xlpm.range, _xlpm.max_val - _xlpm.min_val,
        _xlpm.return, _xlpm.range,
        _xlpm.return
    )
)(A5:A16)</f>
        <v>1185.9511987415101</v>
      </c>
      <c r="N5" s="34" cm="1">
        <f t="array" ref="N5">RANGE(A5:A16)</f>
        <v>1185.9511987415101</v>
      </c>
    </row>
    <row r="6" spans="1:15" ht="18.75" customHeight="1" outlineLevel="1" x14ac:dyDescent="0.3">
      <c r="A6" s="17">
        <v>1684.07512373445</v>
      </c>
      <c r="D6" s="131"/>
      <c r="E6" s="131"/>
      <c r="F6" s="131"/>
      <c r="G6" s="131"/>
      <c r="H6" s="131"/>
      <c r="J6" s="86"/>
      <c r="K6" s="67"/>
      <c r="L6" s="86"/>
      <c r="M6" s="67"/>
      <c r="N6" s="86"/>
      <c r="O6" s="81"/>
    </row>
    <row r="7" spans="1:15" ht="18.75" customHeight="1" outlineLevel="1" x14ac:dyDescent="0.3">
      <c r="A7" s="17">
        <v>2682.192876565904</v>
      </c>
      <c r="D7" s="33"/>
      <c r="E7" s="33"/>
      <c r="F7" s="33"/>
      <c r="G7" s="33"/>
      <c r="H7" s="33"/>
      <c r="N7" s="86"/>
    </row>
    <row r="8" spans="1:15" outlineLevel="1" x14ac:dyDescent="0.3">
      <c r="A8" s="17">
        <v>2709.2819714745301</v>
      </c>
      <c r="D8" s="136" t="s">
        <v>89</v>
      </c>
      <c r="E8" s="136"/>
      <c r="F8" s="136"/>
      <c r="G8" s="136"/>
      <c r="H8" s="136"/>
    </row>
    <row r="9" spans="1:15" outlineLevel="1" x14ac:dyDescent="0.3">
      <c r="A9" s="17">
        <v>2396.9667916141302</v>
      </c>
      <c r="D9" s="136" t="s">
        <v>149</v>
      </c>
      <c r="E9" s="136"/>
      <c r="F9" s="136"/>
      <c r="G9" s="136"/>
      <c r="H9" s="136"/>
    </row>
    <row r="10" spans="1:15" outlineLevel="1" x14ac:dyDescent="0.3">
      <c r="A10" s="17">
        <v>1523.33077273302</v>
      </c>
      <c r="D10" s="136" t="s">
        <v>105</v>
      </c>
      <c r="E10" s="136"/>
      <c r="F10" s="136"/>
      <c r="G10" s="136"/>
      <c r="H10" s="136"/>
    </row>
    <row r="11" spans="1:15" outlineLevel="1" x14ac:dyDescent="0.3">
      <c r="A11" s="17">
        <v>1564.8975195861099</v>
      </c>
      <c r="D11" s="136" t="s">
        <v>106</v>
      </c>
      <c r="E11" s="136"/>
      <c r="F11" s="136"/>
      <c r="G11" s="136"/>
      <c r="H11" s="136"/>
    </row>
    <row r="12" spans="1:15" outlineLevel="1" x14ac:dyDescent="0.3">
      <c r="A12" s="17">
        <v>1928.6932748353199</v>
      </c>
    </row>
    <row r="13" spans="1:15" outlineLevel="1" x14ac:dyDescent="0.3">
      <c r="A13" s="17">
        <v>2579.9720763798796</v>
      </c>
      <c r="D13" s="19" t="s">
        <v>107</v>
      </c>
      <c r="E13" s="17">
        <f>MIN(A5:A16)</f>
        <v>1523.33077273302</v>
      </c>
    </row>
    <row r="14" spans="1:15" outlineLevel="1" x14ac:dyDescent="0.3">
      <c r="A14" s="17">
        <v>2184.2125647719422</v>
      </c>
      <c r="D14" s="19" t="s">
        <v>108</v>
      </c>
      <c r="E14" s="17">
        <f>MAX(A5:A16)</f>
        <v>2709.2819714745301</v>
      </c>
    </row>
    <row r="15" spans="1:15" outlineLevel="1" x14ac:dyDescent="0.3">
      <c r="A15" s="17">
        <v>1798.33077273302</v>
      </c>
      <c r="D15" s="149" t="s">
        <v>7</v>
      </c>
      <c r="E15" s="31">
        <f>$E$14-$E$13</f>
        <v>1185.9511987415101</v>
      </c>
      <c r="F15" s="150" t="s">
        <v>582</v>
      </c>
    </row>
    <row r="16" spans="1:15" outlineLevel="1" x14ac:dyDescent="0.3">
      <c r="A16" s="17">
        <v>2465.2216548759998</v>
      </c>
      <c r="D16" s="149"/>
      <c r="E16" s="31">
        <f>MAX($A$5:$A$16)-MIN($A$5:$A$16)</f>
        <v>1185.9511987415101</v>
      </c>
      <c r="F16" s="150" t="s">
        <v>583</v>
      </c>
    </row>
    <row r="17" spans="1:14" s="3" customFormat="1" ht="15" x14ac:dyDescent="0.25"/>
    <row r="18" spans="1:14" ht="20.25" x14ac:dyDescent="0.35">
      <c r="A18" s="12" t="s">
        <v>560</v>
      </c>
    </row>
    <row r="19" spans="1:14" outlineLevel="1" x14ac:dyDescent="0.3">
      <c r="B19" s="26"/>
    </row>
    <row r="20" spans="1:14" outlineLevel="1" x14ac:dyDescent="0.3">
      <c r="A20" s="15" t="s">
        <v>2</v>
      </c>
      <c r="D20" s="129" t="s">
        <v>120</v>
      </c>
      <c r="E20" s="129"/>
      <c r="F20" s="129"/>
      <c r="G20" s="129"/>
      <c r="H20" s="129"/>
      <c r="J20" s="22" t="s">
        <v>4</v>
      </c>
      <c r="L20" s="24" t="s">
        <v>3</v>
      </c>
      <c r="N20" s="35" t="s">
        <v>119</v>
      </c>
    </row>
    <row r="21" spans="1:14" outlineLevel="1" x14ac:dyDescent="0.3">
      <c r="A21" s="17">
        <v>2028.0182475332299</v>
      </c>
      <c r="D21" s="138" t="s">
        <v>121</v>
      </c>
      <c r="E21" s="138"/>
      <c r="F21" s="138"/>
      <c r="G21" s="138"/>
      <c r="H21" s="138"/>
      <c r="J21" s="20">
        <f>_xlfn.LET(
    _xlpm.data, A21:A40,
    _xlpm.q_1, _xlfn.QUARTILE.INC(_xlpm.data, 1),
    _xlpm.q_3, _xlfn.QUARTILE.INC(_xlpm.data, 3),
    _xlpm.iqr, _xlpm.q_3 - _xlpm.q_1,
    _xlpm.return, _xlpm.iqr,
    _xlpm.return
)</f>
        <v>700.25387639326573</v>
      </c>
      <c r="L21" s="21" cm="1">
        <f t="array" ref="L21">_xlfn.LAMBDA(_xlpm.data,
    _xlfn.LET(
        _xlpm.q_1, _xlfn.QUARTILE.INC(_xlpm.data, 1),
        _xlpm.q_3, _xlfn.QUARTILE.INC(_xlpm.data, 3),
        _xlpm.iqr, _xlpm.q_3 - _xlpm.q_1,
        _xlpm.return, _xlpm.iqr,
        _xlpm.return
    )
)(A21:A40)</f>
        <v>700.25387639326573</v>
      </c>
      <c r="N21" s="34" cm="1">
        <f t="array" ref="N21">IQR(A21:A40)</f>
        <v>700.25387639326573</v>
      </c>
    </row>
    <row r="22" spans="1:14" outlineLevel="1" x14ac:dyDescent="0.3">
      <c r="A22" s="17">
        <v>1684.07512373445</v>
      </c>
      <c r="D22" s="138" t="s">
        <v>122</v>
      </c>
      <c r="E22" s="138"/>
      <c r="F22" s="138"/>
      <c r="G22" s="138"/>
      <c r="H22" s="138"/>
      <c r="J22" s="81"/>
      <c r="L22" s="81"/>
      <c r="N22" s="81"/>
    </row>
    <row r="23" spans="1:14" outlineLevel="1" x14ac:dyDescent="0.3">
      <c r="A23" s="17">
        <v>2682.192876565904</v>
      </c>
      <c r="D23" s="138" t="s">
        <v>123</v>
      </c>
      <c r="E23" s="138"/>
      <c r="F23" s="138"/>
      <c r="G23" s="138"/>
      <c r="H23" s="138"/>
    </row>
    <row r="24" spans="1:14" outlineLevel="1" x14ac:dyDescent="0.3">
      <c r="A24" s="17">
        <v>2609.2819714745278</v>
      </c>
      <c r="D24" s="138" t="s">
        <v>126</v>
      </c>
      <c r="E24" s="138"/>
      <c r="F24" s="138"/>
      <c r="G24" s="138"/>
      <c r="H24" s="138"/>
    </row>
    <row r="25" spans="1:14" outlineLevel="1" x14ac:dyDescent="0.3">
      <c r="A25" s="17">
        <v>2396.9667916141302</v>
      </c>
      <c r="D25" s="138" t="s">
        <v>127</v>
      </c>
      <c r="E25" s="138"/>
      <c r="F25" s="138"/>
      <c r="G25" s="138"/>
      <c r="H25" s="138"/>
    </row>
    <row r="26" spans="1:14" outlineLevel="1" x14ac:dyDescent="0.3">
      <c r="A26" s="17">
        <v>1523.33077273302</v>
      </c>
      <c r="D26" s="138" t="s">
        <v>124</v>
      </c>
      <c r="E26" s="138"/>
      <c r="F26" s="138"/>
      <c r="G26" s="138"/>
      <c r="H26" s="138"/>
    </row>
    <row r="27" spans="1:14" outlineLevel="1" x14ac:dyDescent="0.3">
      <c r="A27" s="17">
        <v>1564.8975195861099</v>
      </c>
      <c r="D27" s="138" t="s">
        <v>125</v>
      </c>
      <c r="E27" s="138"/>
      <c r="F27" s="138"/>
      <c r="G27" s="138"/>
      <c r="H27" s="138"/>
    </row>
    <row r="28" spans="1:14" outlineLevel="1" x14ac:dyDescent="0.3">
      <c r="A28" s="17">
        <v>1828.693274835317</v>
      </c>
      <c r="D28" s="33"/>
      <c r="E28" s="33"/>
      <c r="F28" s="33"/>
      <c r="G28" s="33"/>
      <c r="H28" s="33"/>
    </row>
    <row r="29" spans="1:14" outlineLevel="1" x14ac:dyDescent="0.3">
      <c r="A29" s="17">
        <v>2579.9720763798796</v>
      </c>
      <c r="D29" s="129" t="s">
        <v>117</v>
      </c>
      <c r="E29" s="129"/>
      <c r="F29" s="129"/>
      <c r="G29" s="129"/>
      <c r="H29" s="129"/>
    </row>
    <row r="30" spans="1:14" outlineLevel="1" x14ac:dyDescent="0.3">
      <c r="A30" s="17">
        <v>2184.2125647719422</v>
      </c>
      <c r="D30" s="131" t="s">
        <v>128</v>
      </c>
      <c r="E30" s="131"/>
      <c r="F30" s="131"/>
      <c r="G30" s="131"/>
      <c r="H30" s="131"/>
    </row>
    <row r="31" spans="1:14" outlineLevel="1" x14ac:dyDescent="0.3">
      <c r="A31" s="17">
        <v>2343.289913321687</v>
      </c>
      <c r="D31" s="131"/>
      <c r="E31" s="131"/>
      <c r="F31" s="131"/>
      <c r="G31" s="131"/>
      <c r="H31" s="131"/>
    </row>
    <row r="32" spans="1:14" outlineLevel="1" x14ac:dyDescent="0.3">
      <c r="A32" s="17">
        <v>2705.91363016888</v>
      </c>
      <c r="D32" s="33"/>
      <c r="E32" s="33"/>
      <c r="F32" s="33"/>
      <c r="G32" s="33"/>
      <c r="H32" s="33"/>
    </row>
    <row r="33" spans="1:14" outlineLevel="1" x14ac:dyDescent="0.3">
      <c r="A33" s="17">
        <v>2262.7913156237323</v>
      </c>
      <c r="D33" s="136" t="s">
        <v>89</v>
      </c>
      <c r="E33" s="136"/>
      <c r="F33" s="136"/>
      <c r="G33" s="136"/>
      <c r="H33" s="136"/>
    </row>
    <row r="34" spans="1:14" outlineLevel="1" x14ac:dyDescent="0.3">
      <c r="A34" s="17">
        <v>2671.2431888853894</v>
      </c>
      <c r="D34" s="136" t="s">
        <v>129</v>
      </c>
      <c r="E34" s="136"/>
      <c r="F34" s="136"/>
      <c r="G34" s="136"/>
      <c r="H34" s="136"/>
    </row>
    <row r="35" spans="1:14" outlineLevel="1" x14ac:dyDescent="0.3">
      <c r="A35" s="17">
        <v>1524.1826948845828</v>
      </c>
      <c r="D35" s="136" t="s">
        <v>130</v>
      </c>
      <c r="E35" s="136"/>
      <c r="F35" s="136"/>
      <c r="G35" s="136"/>
      <c r="H35" s="136"/>
    </row>
    <row r="36" spans="1:14" outlineLevel="1" x14ac:dyDescent="0.3">
      <c r="A36" s="17">
        <v>1900.4440038869452</v>
      </c>
      <c r="D36" s="136" t="s">
        <v>131</v>
      </c>
      <c r="E36" s="136"/>
      <c r="F36" s="136"/>
      <c r="G36" s="136"/>
      <c r="H36" s="136"/>
    </row>
    <row r="37" spans="1:14" outlineLevel="1" x14ac:dyDescent="0.3">
      <c r="A37" s="17">
        <v>1984.0815718042713</v>
      </c>
    </row>
    <row r="38" spans="1:14" outlineLevel="1" x14ac:dyDescent="0.3">
      <c r="A38" s="17">
        <v>2395.8282841212472</v>
      </c>
      <c r="D38" s="19" t="s">
        <v>132</v>
      </c>
      <c r="E38" s="17">
        <f>_xlfn.QUARTILE.INC(A21:A40,1)</f>
        <v>1882.5063216240383</v>
      </c>
    </row>
    <row r="39" spans="1:14" outlineLevel="1" x14ac:dyDescent="0.3">
      <c r="A39" s="17">
        <v>2591.1245629295772</v>
      </c>
      <c r="D39" s="19" t="s">
        <v>133</v>
      </c>
      <c r="E39" s="17">
        <f>_xlfn.QUARTILE.INC(A21:A40,3)</f>
        <v>2582.760198017304</v>
      </c>
    </row>
    <row r="40" spans="1:14" outlineLevel="1" x14ac:dyDescent="0.3">
      <c r="A40" s="17">
        <v>2046.851317843325</v>
      </c>
      <c r="D40" s="54" t="s">
        <v>119</v>
      </c>
      <c r="E40" s="31">
        <f>_xlfn.QUARTILE.INC($A$21:$A$40,3)-_xlfn.QUARTILE.INC($A$21:$A$40,1)</f>
        <v>700.25387639326573</v>
      </c>
      <c r="F40" s="150" t="s">
        <v>583</v>
      </c>
    </row>
    <row r="41" spans="1:14" s="3" customFormat="1" ht="15" x14ac:dyDescent="0.25"/>
    <row r="42" spans="1:14" ht="20.25" x14ac:dyDescent="0.35">
      <c r="A42" s="12" t="s">
        <v>561</v>
      </c>
    </row>
    <row r="43" spans="1:14" outlineLevel="1" x14ac:dyDescent="0.3"/>
    <row r="44" spans="1:14" outlineLevel="1" x14ac:dyDescent="0.3">
      <c r="A44" s="15" t="s">
        <v>2</v>
      </c>
      <c r="D44" s="129" t="s">
        <v>135</v>
      </c>
      <c r="E44" s="129"/>
      <c r="F44" s="129"/>
      <c r="G44" s="129"/>
      <c r="H44" s="129"/>
      <c r="J44" s="22" t="s">
        <v>4</v>
      </c>
      <c r="L44" s="24" t="s">
        <v>3</v>
      </c>
      <c r="N44" s="35" t="s">
        <v>134</v>
      </c>
    </row>
    <row r="45" spans="1:14" outlineLevel="1" x14ac:dyDescent="0.3">
      <c r="A45" s="17">
        <v>2028.0182475332299</v>
      </c>
      <c r="D45" s="138" t="s">
        <v>139</v>
      </c>
      <c r="E45" s="138"/>
      <c r="F45" s="138"/>
      <c r="G45" s="138"/>
      <c r="H45" s="138"/>
      <c r="J45" s="20">
        <f>_xlfn.LET(
    _xlpm.data, A45:A64,
    _xlpm.std, _xlfn.STDEV.S(_xlpm.data),
    _xlpm.n, COUNT(_xlpm.data),
    _xlpm.sem, _xlpm.std / SQRT(_xlpm.n),
    _xlpm.return, _xlpm.sem,
    _xlpm.return
)</f>
        <v>91.429186406542925</v>
      </c>
      <c r="L45" s="21" cm="1">
        <f t="array" ref="L45">_xlfn.LAMBDA(_xlpm.data,
    _xlfn.LET(
        _xlpm.std, _xlfn.STDEV.S(_xlpm.data),
        _xlpm.n, COUNT(_xlpm.data),
        _xlpm.sem, _xlpm.std / SQRT(_xlpm.n),
        _xlpm.return, _xlpm.sem,
        _xlpm.return
    )
)(A45:A64)</f>
        <v>91.429186406542925</v>
      </c>
      <c r="N45" s="34" cm="1">
        <f t="array" ref="N45">SEM(A45:A64)</f>
        <v>91.429186406542925</v>
      </c>
    </row>
    <row r="46" spans="1:14" outlineLevel="1" x14ac:dyDescent="0.3">
      <c r="A46" s="17">
        <v>1684.07512373445</v>
      </c>
      <c r="D46" s="138" t="s">
        <v>140</v>
      </c>
      <c r="E46" s="138"/>
      <c r="F46" s="138"/>
      <c r="G46" s="138"/>
      <c r="H46" s="138"/>
      <c r="J46" s="81"/>
      <c r="L46" s="81"/>
      <c r="N46" s="81"/>
    </row>
    <row r="47" spans="1:14" outlineLevel="1" x14ac:dyDescent="0.3">
      <c r="A47" s="17">
        <v>2682.192876565904</v>
      </c>
      <c r="D47" s="138" t="s">
        <v>141</v>
      </c>
      <c r="E47" s="138"/>
      <c r="F47" s="138"/>
      <c r="G47" s="138"/>
      <c r="H47" s="138"/>
    </row>
    <row r="48" spans="1:14" outlineLevel="1" x14ac:dyDescent="0.3">
      <c r="A48" s="17">
        <v>2609.2819714745278</v>
      </c>
      <c r="D48" s="138" t="s">
        <v>142</v>
      </c>
      <c r="E48" s="138"/>
      <c r="F48" s="138"/>
      <c r="G48" s="138"/>
      <c r="H48" s="138"/>
    </row>
    <row r="49" spans="1:8" outlineLevel="1" x14ac:dyDescent="0.3">
      <c r="A49" s="17">
        <v>2396.9667916141302</v>
      </c>
      <c r="D49" s="138" t="s">
        <v>143</v>
      </c>
      <c r="E49" s="138"/>
      <c r="F49" s="138"/>
      <c r="G49" s="138"/>
      <c r="H49" s="138"/>
    </row>
    <row r="50" spans="1:8" outlineLevel="1" x14ac:dyDescent="0.3">
      <c r="A50" s="17">
        <v>1523.33077273302</v>
      </c>
      <c r="D50" s="138" t="s">
        <v>144</v>
      </c>
      <c r="E50" s="138"/>
      <c r="F50" s="138"/>
      <c r="G50" s="138"/>
      <c r="H50" s="138"/>
    </row>
    <row r="51" spans="1:8" outlineLevel="1" x14ac:dyDescent="0.3">
      <c r="A51" s="17">
        <v>1564.8975195861099</v>
      </c>
      <c r="D51" s="138"/>
      <c r="E51" s="138"/>
      <c r="F51" s="138"/>
      <c r="G51" s="138"/>
      <c r="H51" s="138"/>
    </row>
    <row r="52" spans="1:8" outlineLevel="1" x14ac:dyDescent="0.3">
      <c r="A52" s="17">
        <v>1828.693274835317</v>
      </c>
      <c r="D52" s="33"/>
      <c r="E52" s="33"/>
      <c r="F52" s="33"/>
      <c r="G52" s="33"/>
      <c r="H52" s="33"/>
    </row>
    <row r="53" spans="1:8" outlineLevel="1" x14ac:dyDescent="0.3">
      <c r="A53" s="17">
        <v>2579.9720763798796</v>
      </c>
      <c r="D53" s="129" t="s">
        <v>117</v>
      </c>
      <c r="E53" s="129"/>
      <c r="F53" s="129"/>
      <c r="G53" s="129"/>
      <c r="H53" s="129"/>
    </row>
    <row r="54" spans="1:8" outlineLevel="1" x14ac:dyDescent="0.3">
      <c r="A54" s="17">
        <v>2184.2125647719422</v>
      </c>
      <c r="D54" s="131" t="s">
        <v>136</v>
      </c>
      <c r="E54" s="131"/>
      <c r="F54" s="131"/>
      <c r="G54" s="131"/>
      <c r="H54" s="131"/>
    </row>
    <row r="55" spans="1:8" outlineLevel="1" x14ac:dyDescent="0.3">
      <c r="A55" s="17">
        <v>2343.289913321687</v>
      </c>
      <c r="D55" s="131"/>
      <c r="E55" s="131"/>
      <c r="F55" s="131"/>
      <c r="G55" s="131"/>
      <c r="H55" s="131"/>
    </row>
    <row r="56" spans="1:8" outlineLevel="1" x14ac:dyDescent="0.3">
      <c r="A56" s="17">
        <v>2705.91363016888</v>
      </c>
      <c r="D56" s="33"/>
      <c r="E56" s="33"/>
      <c r="F56" s="33"/>
      <c r="G56" s="33"/>
      <c r="H56" s="33"/>
    </row>
    <row r="57" spans="1:8" outlineLevel="1" x14ac:dyDescent="0.3">
      <c r="A57" s="17">
        <v>2262.7913156237323</v>
      </c>
      <c r="D57" s="136" t="s">
        <v>89</v>
      </c>
      <c r="E57" s="136"/>
      <c r="F57" s="136"/>
      <c r="G57" s="136"/>
      <c r="H57" s="136"/>
    </row>
    <row r="58" spans="1:8" outlineLevel="1" x14ac:dyDescent="0.3">
      <c r="A58" s="17">
        <v>2671.2431888853894</v>
      </c>
      <c r="D58" s="136" t="s">
        <v>145</v>
      </c>
      <c r="E58" s="136"/>
      <c r="F58" s="136"/>
      <c r="G58" s="136"/>
      <c r="H58" s="136"/>
    </row>
    <row r="59" spans="1:8" outlineLevel="1" x14ac:dyDescent="0.3">
      <c r="A59" s="17">
        <v>1524.1826948845828</v>
      </c>
      <c r="D59" s="136" t="s">
        <v>146</v>
      </c>
      <c r="E59" s="136"/>
      <c r="F59" s="136"/>
      <c r="G59" s="136"/>
      <c r="H59" s="136"/>
    </row>
    <row r="60" spans="1:8" outlineLevel="1" x14ac:dyDescent="0.3">
      <c r="A60" s="17">
        <v>1900.4440038869452</v>
      </c>
      <c r="D60" s="136" t="s">
        <v>147</v>
      </c>
      <c r="E60" s="136"/>
      <c r="F60" s="136"/>
      <c r="G60" s="136"/>
      <c r="H60" s="136"/>
    </row>
    <row r="61" spans="1:8" outlineLevel="1" x14ac:dyDescent="0.3">
      <c r="A61" s="17">
        <v>1984.0815718042713</v>
      </c>
    </row>
    <row r="62" spans="1:8" outlineLevel="1" x14ac:dyDescent="0.3">
      <c r="A62" s="17">
        <v>2395.8282841212472</v>
      </c>
      <c r="D62" s="19" t="s">
        <v>137</v>
      </c>
      <c r="E62" s="17">
        <f>_xlfn.STDEV.S(A45:A64)</f>
        <v>408.88375186505942</v>
      </c>
    </row>
    <row r="63" spans="1:8" outlineLevel="1" x14ac:dyDescent="0.3">
      <c r="A63" s="17">
        <v>2591.1245629295772</v>
      </c>
      <c r="D63" s="19" t="s">
        <v>138</v>
      </c>
      <c r="E63" s="17">
        <f>COUNT(A45:A64)</f>
        <v>20</v>
      </c>
    </row>
    <row r="64" spans="1:8" outlineLevel="1" x14ac:dyDescent="0.3">
      <c r="A64" s="17">
        <v>2046.851317843325</v>
      </c>
      <c r="D64" s="54" t="s">
        <v>134</v>
      </c>
      <c r="E64" s="31">
        <f>_xlfn.STDEV.S(A45:A64)/SQRT(COUNT(A45:A64))</f>
        <v>91.429186406542925</v>
      </c>
      <c r="F64" s="150" t="s">
        <v>583</v>
      </c>
    </row>
    <row r="65" spans="1:14" s="3" customFormat="1" ht="15" outlineLevel="1" x14ac:dyDescent="0.25"/>
    <row r="66" spans="1:14" s="3" customFormat="1" ht="20.25" x14ac:dyDescent="0.35">
      <c r="A66" s="12" t="s">
        <v>571</v>
      </c>
    </row>
    <row r="67" spans="1:14" s="3" customFormat="1" outlineLevel="1" x14ac:dyDescent="0.3">
      <c r="A67" s="6"/>
      <c r="B67" s="26"/>
    </row>
    <row r="68" spans="1:14" s="3" customFormat="1" outlineLevel="1" x14ac:dyDescent="0.3">
      <c r="A68" s="15" t="s">
        <v>2</v>
      </c>
      <c r="B68" s="6"/>
      <c r="D68" s="129" t="s">
        <v>536</v>
      </c>
      <c r="E68" s="129"/>
      <c r="F68" s="129"/>
      <c r="G68" s="129"/>
      <c r="H68" s="129"/>
      <c r="J68" s="22" t="s">
        <v>4</v>
      </c>
      <c r="K68" s="6"/>
      <c r="L68" s="24" t="s">
        <v>3</v>
      </c>
      <c r="M68" s="6"/>
      <c r="N68" s="35" t="s">
        <v>539</v>
      </c>
    </row>
    <row r="69" spans="1:14" s="3" customFormat="1" outlineLevel="1" x14ac:dyDescent="0.3">
      <c r="A69" s="17">
        <v>2028.0182475332299</v>
      </c>
      <c r="B69" s="6"/>
      <c r="D69" s="130" t="s">
        <v>580</v>
      </c>
      <c r="E69" s="130"/>
      <c r="F69" s="130"/>
      <c r="G69" s="130"/>
      <c r="H69" s="130"/>
      <c r="J69" s="20">
        <f>_xlfn.LET(
    _xlpm.data, A69:A88,
    _xlpm.conf, E83,
    _xlpm.alpha, 1 - _xlpm.conf,
    _xlpm.std, _xlfn.STDEV.S(_xlpm.data),
    _xlpm.n, COUNT(_xlpm.data),
    _xlpm.t, _xlfn.T.INV.2T(_xlpm.alpha, _xlpm.n - 1),
    _xlpm.moe, _xlpm.t * (_xlpm.std / SQRT(_xlpm.n)),
    _xlpm.return, _xlpm.moe,
    _xlpm.return
)</f>
        <v>191.36348642387551</v>
      </c>
      <c r="K69" s="6"/>
      <c r="L69" s="21" cm="1">
        <f t="array" ref="L69">_xlfn.LAMBDA(_xlpm.data,_xlpm.confidence_interval,
    _xlfn.LET(
        _xlpm.alpha, 1 - _xlpm.confidence_interval,
        _xlpm.df, COUNT(_xlpm.data) - 1,
        _xlpm.t_crit, _xlfn.T.INV.2T(_xlpm.alpha, _xlpm.df),
        _xlpm.moe, _xlpm.t_crit * SEM(_xlpm.data),
        _xlpm.return, _xlpm.moe,
        _xlpm.return
    )
)(A69:A88, E83)</f>
        <v>191.36348642387551</v>
      </c>
      <c r="M69" s="6"/>
      <c r="N69" s="34" cm="1">
        <f t="array" ref="N69">MOE(A69:A88, E83)</f>
        <v>191.36348642387551</v>
      </c>
    </row>
    <row r="70" spans="1:14" s="3" customFormat="1" outlineLevel="1" x14ac:dyDescent="0.3">
      <c r="A70" s="17">
        <v>1684.07512373445</v>
      </c>
      <c r="B70" s="6"/>
      <c r="D70" s="130" t="s">
        <v>541</v>
      </c>
      <c r="E70" s="130"/>
      <c r="F70" s="130"/>
      <c r="G70" s="130"/>
      <c r="H70" s="130"/>
    </row>
    <row r="71" spans="1:14" s="3" customFormat="1" outlineLevel="1" x14ac:dyDescent="0.3">
      <c r="A71" s="17">
        <v>2682.192876565904</v>
      </c>
      <c r="B71" s="6"/>
      <c r="D71" s="130" t="s">
        <v>581</v>
      </c>
      <c r="E71" s="130"/>
      <c r="F71" s="130"/>
      <c r="G71" s="130"/>
      <c r="H71" s="130"/>
    </row>
    <row r="72" spans="1:14" s="3" customFormat="1" outlineLevel="1" x14ac:dyDescent="0.3">
      <c r="A72" s="17">
        <v>2609.2819714745278</v>
      </c>
      <c r="B72" s="6"/>
      <c r="D72" s="130" t="s">
        <v>542</v>
      </c>
      <c r="E72" s="130"/>
      <c r="F72" s="130"/>
      <c r="G72" s="130"/>
      <c r="H72" s="130"/>
    </row>
    <row r="73" spans="1:14" s="3" customFormat="1" outlineLevel="1" x14ac:dyDescent="0.3">
      <c r="A73" s="17">
        <v>2396.9667916141302</v>
      </c>
      <c r="B73" s="6"/>
      <c r="D73" s="130" t="s">
        <v>543</v>
      </c>
      <c r="E73" s="130"/>
      <c r="F73" s="130"/>
      <c r="G73" s="130"/>
      <c r="H73" s="130"/>
    </row>
    <row r="74" spans="1:14" s="3" customFormat="1" outlineLevel="1" x14ac:dyDescent="0.3">
      <c r="A74" s="17">
        <v>1523.33077273302</v>
      </c>
      <c r="B74" s="6"/>
      <c r="D74" s="129" t="s">
        <v>537</v>
      </c>
      <c r="E74" s="129"/>
      <c r="F74" s="129"/>
      <c r="G74" s="129"/>
      <c r="H74" s="129"/>
    </row>
    <row r="75" spans="1:14" s="3" customFormat="1" outlineLevel="1" x14ac:dyDescent="0.3">
      <c r="A75" s="17">
        <v>1564.8975195861099</v>
      </c>
      <c r="B75" s="6"/>
      <c r="C75" s="131" t="s">
        <v>600</v>
      </c>
      <c r="D75" s="131"/>
      <c r="E75" s="131"/>
      <c r="F75" s="131"/>
      <c r="G75" s="131"/>
      <c r="H75" s="131"/>
      <c r="I75" s="131"/>
    </row>
    <row r="76" spans="1:14" s="3" customFormat="1" outlineLevel="1" x14ac:dyDescent="0.3">
      <c r="A76" s="17">
        <v>1828.693274835317</v>
      </c>
      <c r="B76" s="6"/>
      <c r="C76" s="131"/>
      <c r="D76" s="131"/>
      <c r="E76" s="131"/>
      <c r="F76" s="131"/>
      <c r="G76" s="131"/>
      <c r="H76" s="131"/>
      <c r="I76" s="131"/>
    </row>
    <row r="77" spans="1:14" s="3" customFormat="1" ht="18.75" customHeight="1" outlineLevel="1" x14ac:dyDescent="0.3">
      <c r="A77" s="17">
        <v>2579.9720763798796</v>
      </c>
      <c r="B77" s="6"/>
      <c r="D77" s="98" t="s">
        <v>89</v>
      </c>
      <c r="I77" s="151"/>
    </row>
    <row r="78" spans="1:14" s="3" customFormat="1" ht="18.75" customHeight="1" outlineLevel="1" x14ac:dyDescent="0.3">
      <c r="A78" s="17">
        <v>2184.2125647719422</v>
      </c>
      <c r="B78" s="6"/>
      <c r="C78" s="151"/>
      <c r="D78" s="98" t="s">
        <v>538</v>
      </c>
      <c r="E78" s="151"/>
      <c r="F78" s="151"/>
      <c r="G78" s="151"/>
      <c r="H78" s="151"/>
      <c r="I78" s="151"/>
    </row>
    <row r="79" spans="1:14" s="3" customFormat="1" ht="18.75" customHeight="1" outlineLevel="1" x14ac:dyDescent="0.35">
      <c r="A79" s="17">
        <v>2343.289913321687</v>
      </c>
      <c r="B79" s="6"/>
      <c r="D79" s="98" t="s">
        <v>584</v>
      </c>
      <c r="E79" s="33"/>
      <c r="F79" s="33"/>
      <c r="G79" s="33"/>
      <c r="H79" s="33"/>
    </row>
    <row r="80" spans="1:14" s="3" customFormat="1" outlineLevel="1" x14ac:dyDescent="0.3">
      <c r="A80" s="17">
        <v>2705.91363016888</v>
      </c>
      <c r="B80" s="6"/>
      <c r="D80" s="98" t="s">
        <v>146</v>
      </c>
      <c r="E80" s="98"/>
      <c r="F80" s="98"/>
      <c r="G80" s="98"/>
      <c r="H80" s="98"/>
    </row>
    <row r="81" spans="1:8" s="3" customFormat="1" outlineLevel="1" x14ac:dyDescent="0.3">
      <c r="A81" s="17">
        <v>2262.7913156237323</v>
      </c>
      <c r="B81" s="6"/>
      <c r="D81" s="33" t="s">
        <v>147</v>
      </c>
      <c r="E81" s="98"/>
      <c r="F81" s="98"/>
      <c r="G81" s="98"/>
      <c r="H81" s="98"/>
    </row>
    <row r="82" spans="1:8" s="3" customFormat="1" outlineLevel="1" x14ac:dyDescent="0.3">
      <c r="A82" s="17">
        <v>2671.2431888853894</v>
      </c>
      <c r="B82" s="6"/>
      <c r="E82" s="98"/>
      <c r="F82" s="98"/>
      <c r="G82" s="98"/>
      <c r="H82" s="98"/>
    </row>
    <row r="83" spans="1:8" s="3" customFormat="1" outlineLevel="1" x14ac:dyDescent="0.3">
      <c r="A83" s="17">
        <v>1524.1826948845828</v>
      </c>
      <c r="B83" s="6"/>
      <c r="D83" s="19" t="s">
        <v>540</v>
      </c>
      <c r="E83" s="152">
        <v>0.95</v>
      </c>
      <c r="F83" s="98"/>
      <c r="G83" s="98"/>
      <c r="H83" s="98"/>
    </row>
    <row r="84" spans="1:8" s="3" customFormat="1" outlineLevel="1" x14ac:dyDescent="0.3">
      <c r="A84" s="17">
        <v>1900.4440038869452</v>
      </c>
      <c r="B84" s="6"/>
      <c r="D84" s="19" t="s">
        <v>597</v>
      </c>
      <c r="E84" s="152">
        <f>1-E83</f>
        <v>5.0000000000000044E-2</v>
      </c>
      <c r="F84" s="33"/>
      <c r="G84" s="33"/>
      <c r="H84" s="33"/>
    </row>
    <row r="85" spans="1:8" s="3" customFormat="1" outlineLevel="1" x14ac:dyDescent="0.3">
      <c r="A85" s="17">
        <v>1984.0815718042713</v>
      </c>
      <c r="B85" s="6"/>
      <c r="D85" s="19" t="s">
        <v>137</v>
      </c>
      <c r="E85" s="152">
        <f>_xlfn.STDEV.S(A69:A88)</f>
        <v>408.88375186505942</v>
      </c>
      <c r="F85" s="6"/>
      <c r="G85" s="6"/>
      <c r="H85" s="6"/>
    </row>
    <row r="86" spans="1:8" s="3" customFormat="1" outlineLevel="1" x14ac:dyDescent="0.3">
      <c r="A86" s="17">
        <v>2395.8282841212472</v>
      </c>
      <c r="B86" s="6"/>
      <c r="D86" s="19" t="s">
        <v>138</v>
      </c>
      <c r="E86" s="152">
        <f>COUNT(A69:A88)</f>
        <v>20</v>
      </c>
      <c r="F86" s="6"/>
      <c r="G86" s="6"/>
      <c r="H86" s="6"/>
    </row>
    <row r="87" spans="1:8" s="3" customFormat="1" outlineLevel="1" x14ac:dyDescent="0.3">
      <c r="A87" s="17">
        <v>2591.1245629295772</v>
      </c>
      <c r="B87" s="6"/>
      <c r="D87" s="3" t="s">
        <v>596</v>
      </c>
      <c r="E87" s="152">
        <f>_xlfn.T.INV.2T(E84,E86-1)</f>
        <v>2.0930240544083087</v>
      </c>
      <c r="F87" s="6"/>
      <c r="G87" s="6"/>
      <c r="H87" s="6"/>
    </row>
    <row r="88" spans="1:8" s="3" customFormat="1" outlineLevel="1" x14ac:dyDescent="0.3">
      <c r="A88" s="17">
        <v>2046.851317843325</v>
      </c>
      <c r="B88" s="6"/>
      <c r="D88" s="54" t="s">
        <v>539</v>
      </c>
      <c r="E88" s="153">
        <f>_xlfn.T.INV.2T(1-E83,COUNT(A69:A88)-1) * (_xlfn.STDEV.S(A69:A88) / SQRT(COUNT(A69:A88)))</f>
        <v>191.36348642387551</v>
      </c>
      <c r="F88" s="150" t="s">
        <v>583</v>
      </c>
    </row>
    <row r="89" spans="1:8" s="3" customFormat="1" ht="15" x14ac:dyDescent="0.25"/>
    <row r="90" spans="1:8" s="3" customFormat="1" ht="20.25" x14ac:dyDescent="0.35">
      <c r="A90" s="12" t="s">
        <v>647</v>
      </c>
    </row>
    <row r="91" spans="1:8" s="3" customFormat="1" ht="15" outlineLevel="1" x14ac:dyDescent="0.25">
      <c r="A91" s="50" t="s">
        <v>592</v>
      </c>
    </row>
    <row r="92" spans="1:8" s="3" customFormat="1" ht="15" outlineLevel="1" x14ac:dyDescent="0.25">
      <c r="A92" s="53" t="s">
        <v>585</v>
      </c>
    </row>
    <row r="93" spans="1:8" s="3" customFormat="1" ht="15" outlineLevel="1" x14ac:dyDescent="0.25">
      <c r="A93" s="53" t="s">
        <v>586</v>
      </c>
    </row>
    <row r="94" spans="1:8" s="3" customFormat="1" ht="15" outlineLevel="1" x14ac:dyDescent="0.25">
      <c r="A94" s="50" t="s">
        <v>589</v>
      </c>
    </row>
    <row r="95" spans="1:8" s="3" customFormat="1" ht="15" outlineLevel="1" x14ac:dyDescent="0.25">
      <c r="A95" s="50" t="s">
        <v>590</v>
      </c>
    </row>
    <row r="96" spans="1:8" s="3" customFormat="1" ht="15" outlineLevel="1" x14ac:dyDescent="0.25">
      <c r="A96" s="50" t="s">
        <v>648</v>
      </c>
    </row>
    <row r="97" spans="1:11" s="3" customFormat="1" ht="15" outlineLevel="1" x14ac:dyDescent="0.25">
      <c r="A97" s="53" t="s">
        <v>643</v>
      </c>
    </row>
    <row r="98" spans="1:11" s="3" customFormat="1" ht="15" outlineLevel="1" x14ac:dyDescent="0.25">
      <c r="A98" s="53" t="s">
        <v>644</v>
      </c>
    </row>
    <row r="99" spans="1:11" s="3" customFormat="1" ht="15" outlineLevel="1" x14ac:dyDescent="0.25">
      <c r="A99" s="53" t="s">
        <v>645</v>
      </c>
    </row>
    <row r="100" spans="1:11" s="3" customFormat="1" ht="15" outlineLevel="1" x14ac:dyDescent="0.25">
      <c r="A100" s="53" t="s">
        <v>646</v>
      </c>
    </row>
    <row r="101" spans="1:11" s="3" customFormat="1" ht="15" outlineLevel="1" x14ac:dyDescent="0.25">
      <c r="A101" s="53" t="s">
        <v>649</v>
      </c>
    </row>
    <row r="102" spans="1:11" s="3" customFormat="1" ht="15" outlineLevel="1" x14ac:dyDescent="0.25">
      <c r="A102" s="53" t="s">
        <v>643</v>
      </c>
    </row>
    <row r="103" spans="1:11" s="3" customFormat="1" ht="15" outlineLevel="1" x14ac:dyDescent="0.25"/>
    <row r="104" spans="1:11" s="3" customFormat="1" ht="15.75" outlineLevel="1" x14ac:dyDescent="0.25">
      <c r="A104" s="15" t="s">
        <v>2</v>
      </c>
      <c r="K104" s="91" t="s">
        <v>588</v>
      </c>
    </row>
    <row r="105" spans="1:11" s="3" customFormat="1" ht="18.75" customHeight="1" outlineLevel="1" x14ac:dyDescent="0.25">
      <c r="A105" s="17">
        <v>2028.0182475332299</v>
      </c>
      <c r="E105" s="19" t="s">
        <v>540</v>
      </c>
      <c r="F105" s="152">
        <v>0.95</v>
      </c>
      <c r="K105" s="154" cm="1">
        <f t="array" ref="K105">MOE_ADV(A105:A124,F105,F107)</f>
        <v>176.48400463148212</v>
      </c>
    </row>
    <row r="106" spans="1:11" s="3" customFormat="1" ht="18.75" customHeight="1" outlineLevel="1" x14ac:dyDescent="0.25">
      <c r="A106" s="17">
        <v>1684.07512373445</v>
      </c>
      <c r="E106" s="19" t="s">
        <v>597</v>
      </c>
      <c r="F106" s="152">
        <f>1-F105</f>
        <v>5.0000000000000044E-2</v>
      </c>
    </row>
    <row r="107" spans="1:11" s="3" customFormat="1" ht="18.75" customHeight="1" outlineLevel="1" x14ac:dyDescent="0.25">
      <c r="A107" s="17">
        <v>2682.192876565904</v>
      </c>
      <c r="E107" s="25" t="s">
        <v>587</v>
      </c>
      <c r="F107" s="152">
        <v>15</v>
      </c>
    </row>
    <row r="108" spans="1:11" s="3" customFormat="1" ht="18.75" customHeight="1" outlineLevel="1" x14ac:dyDescent="0.25">
      <c r="A108" s="17">
        <v>2609.2819714745278</v>
      </c>
    </row>
    <row r="109" spans="1:11" s="3" customFormat="1" ht="18.75" customHeight="1" outlineLevel="1" x14ac:dyDescent="0.25">
      <c r="A109" s="17">
        <v>2396.9667916141302</v>
      </c>
    </row>
    <row r="110" spans="1:11" s="3" customFormat="1" ht="18.75" customHeight="1" outlineLevel="1" x14ac:dyDescent="0.25">
      <c r="A110" s="17">
        <v>1523.33077273302</v>
      </c>
    </row>
    <row r="111" spans="1:11" s="3" customFormat="1" ht="18.75" customHeight="1" outlineLevel="1" x14ac:dyDescent="0.3">
      <c r="A111" s="17">
        <v>1648.5498651349999</v>
      </c>
      <c r="D111" s="129" t="s">
        <v>591</v>
      </c>
      <c r="E111" s="129"/>
      <c r="F111" s="129"/>
      <c r="G111" s="129"/>
      <c r="H111" s="129"/>
    </row>
    <row r="112" spans="1:11" s="3" customFormat="1" ht="18.75" customHeight="1" outlineLevel="1" x14ac:dyDescent="0.25">
      <c r="A112" s="17">
        <v>1828.693274835317</v>
      </c>
      <c r="C112" s="131" t="s">
        <v>599</v>
      </c>
      <c r="D112" s="131"/>
      <c r="E112" s="131"/>
      <c r="F112" s="131"/>
      <c r="G112" s="131"/>
      <c r="H112" s="131"/>
      <c r="I112" s="131"/>
    </row>
    <row r="113" spans="1:16" s="3" customFormat="1" ht="18.75" customHeight="1" outlineLevel="1" x14ac:dyDescent="0.25">
      <c r="A113" s="17">
        <v>2579.9720763798796</v>
      </c>
      <c r="C113" s="131"/>
      <c r="D113" s="131"/>
      <c r="E113" s="131"/>
      <c r="F113" s="131"/>
      <c r="G113" s="131"/>
      <c r="H113" s="131"/>
      <c r="I113" s="131"/>
    </row>
    <row r="114" spans="1:16" s="3" customFormat="1" ht="18.75" customHeight="1" outlineLevel="1" x14ac:dyDescent="0.25">
      <c r="A114" s="17">
        <v>2184.2125647719422</v>
      </c>
      <c r="F114" s="155" t="s">
        <v>593</v>
      </c>
    </row>
    <row r="115" spans="1:16" s="3" customFormat="1" ht="18.75" customHeight="1" outlineLevel="1" x14ac:dyDescent="0.25">
      <c r="A115" s="17">
        <v>2343.289913321687</v>
      </c>
      <c r="F115" s="155" t="s">
        <v>601</v>
      </c>
    </row>
    <row r="116" spans="1:16" s="3" customFormat="1" ht="18.75" customHeight="1" outlineLevel="1" x14ac:dyDescent="0.25">
      <c r="A116" s="17">
        <v>2705.91363016888</v>
      </c>
      <c r="E116" s="3" t="s">
        <v>596</v>
      </c>
      <c r="F116" s="152">
        <f>_xlfn.T.INV.2T(F106,F107-1)</f>
        <v>2.1447866879178035</v>
      </c>
    </row>
    <row r="117" spans="1:16" s="3" customFormat="1" ht="18.75" customHeight="1" outlineLevel="1" x14ac:dyDescent="0.25">
      <c r="A117" s="17">
        <v>2262.7913156237323</v>
      </c>
    </row>
    <row r="118" spans="1:16" s="3" customFormat="1" ht="18.75" customHeight="1" outlineLevel="1" x14ac:dyDescent="0.25">
      <c r="A118" s="17">
        <v>2671.2431888853894</v>
      </c>
      <c r="C118" s="131" t="s">
        <v>598</v>
      </c>
      <c r="D118" s="131"/>
      <c r="E118" s="131"/>
      <c r="F118" s="131"/>
      <c r="G118" s="131"/>
      <c r="H118" s="131"/>
      <c r="I118" s="131"/>
    </row>
    <row r="119" spans="1:16" s="3" customFormat="1" ht="18.75" customHeight="1" outlineLevel="1" x14ac:dyDescent="0.25">
      <c r="A119" s="17">
        <v>1524.1826948845828</v>
      </c>
      <c r="C119" s="131"/>
      <c r="D119" s="131"/>
      <c r="E119" s="131"/>
      <c r="F119" s="131"/>
      <c r="G119" s="131"/>
      <c r="H119" s="131"/>
      <c r="I119" s="131"/>
    </row>
    <row r="120" spans="1:16" s="3" customFormat="1" ht="18.75" customHeight="1" outlineLevel="1" x14ac:dyDescent="0.25">
      <c r="A120" s="17">
        <v>1900.4440038869452</v>
      </c>
      <c r="F120" s="155" t="s">
        <v>594</v>
      </c>
    </row>
    <row r="121" spans="1:16" s="3" customFormat="1" ht="18.75" customHeight="1" outlineLevel="1" x14ac:dyDescent="0.25">
      <c r="A121" s="17">
        <v>1984.0815718042713</v>
      </c>
      <c r="F121" s="155" t="s">
        <v>602</v>
      </c>
    </row>
    <row r="122" spans="1:16" s="3" customFormat="1" ht="18.75" customHeight="1" outlineLevel="1" x14ac:dyDescent="0.25">
      <c r="A122" s="17">
        <v>2395.8282841212472</v>
      </c>
      <c r="E122" s="3" t="s">
        <v>595</v>
      </c>
      <c r="F122" s="152">
        <f>_xlfn.NORM.S.INV(1-(F106/2))</f>
        <v>1.9599639845400536</v>
      </c>
    </row>
    <row r="123" spans="1:16" s="3" customFormat="1" ht="18.75" customHeight="1" outlineLevel="1" x14ac:dyDescent="0.25">
      <c r="A123" s="17">
        <v>2591.1245629295772</v>
      </c>
    </row>
    <row r="124" spans="1:16" s="3" customFormat="1" ht="18.75" customHeight="1" outlineLevel="1" x14ac:dyDescent="0.25">
      <c r="A124" s="17">
        <v>2046.851317843325</v>
      </c>
    </row>
    <row r="125" spans="1:16" s="3" customFormat="1" ht="15" x14ac:dyDescent="0.25"/>
    <row r="126" spans="1:16" ht="18.75" customHeight="1" x14ac:dyDescent="0.35">
      <c r="A126" s="12" t="s">
        <v>578</v>
      </c>
    </row>
    <row r="127" spans="1:16" ht="18.75" customHeight="1" outlineLevel="1" x14ac:dyDescent="0.3">
      <c r="O127" s="37"/>
    </row>
    <row r="128" spans="1:16" outlineLevel="1" x14ac:dyDescent="0.3">
      <c r="A128" s="15" t="s">
        <v>2</v>
      </c>
      <c r="D128" s="139" t="s">
        <v>116</v>
      </c>
      <c r="E128" s="139"/>
      <c r="F128" s="139"/>
      <c r="G128" s="139"/>
      <c r="H128" s="139"/>
      <c r="J128" s="22" t="s">
        <v>4</v>
      </c>
      <c r="L128" s="24" t="s">
        <v>3</v>
      </c>
      <c r="N128" s="35" t="s">
        <v>0</v>
      </c>
      <c r="O128" s="37"/>
      <c r="P128" s="35" t="s">
        <v>152</v>
      </c>
    </row>
    <row r="129" spans="1:17" outlineLevel="1" x14ac:dyDescent="0.3">
      <c r="A129" s="17">
        <v>2028.0182475332299</v>
      </c>
      <c r="D129" s="138" t="s">
        <v>109</v>
      </c>
      <c r="E129" s="138"/>
      <c r="F129" s="138"/>
      <c r="G129" s="138"/>
      <c r="H129" s="138"/>
      <c r="J129" s="20">
        <f>_xlfn.LET(
    _xlpm.data, A129:A148,
    _xlpm.avg, AVERAGE(_xlpm.data),
    _xlpm.std_dev, _xlfn.STDEV.S(_xlpm.data),
    _xlpm.rsd, _xlpm.std_dev / _xlpm.avg,
    _xlpm.return, _xlpm.rsd,
    _xlpm.return
)</f>
        <v>0.18796059054015965</v>
      </c>
      <c r="L129" s="21" cm="1">
        <f t="array" ref="L129">_xlfn.LAMBDA(_xlpm.data,
    _xlfn.LET(
        _xlpm.avg, AVERAGE(_xlpm.data),
        _xlpm.std_dev, _xlfn.STDEV.S(_xlpm.data),
        _xlpm.rsd, _xlpm.std_dev / _xlpm.avg,
        _xlpm.return, _xlpm.rsd,
        _xlpm.return
    )
)(A129:A148)</f>
        <v>0.18796059054015965</v>
      </c>
      <c r="N129" s="34" cm="1">
        <f t="array" ref="N129">RSD(A129:A148)</f>
        <v>0.18796059054015965</v>
      </c>
      <c r="P129" s="38" t="str" cm="1">
        <f t="array" ref="P129:Q131">RSD_ADV(A129:A148, TRUE)</f>
        <v>Avg</v>
      </c>
      <c r="Q129" s="17">
        <v>2175.369585134908</v>
      </c>
    </row>
    <row r="130" spans="1:17" ht="18.75" customHeight="1" outlineLevel="1" x14ac:dyDescent="0.3">
      <c r="A130" s="17">
        <v>1684.07512373445</v>
      </c>
      <c r="D130" s="138" t="s">
        <v>110</v>
      </c>
      <c r="E130" s="138"/>
      <c r="F130" s="138"/>
      <c r="G130" s="138"/>
      <c r="H130" s="138"/>
      <c r="J130" s="81"/>
      <c r="L130" s="81"/>
      <c r="N130" s="81"/>
      <c r="P130" s="65" t="str">
        <v>Std</v>
      </c>
      <c r="Q130" s="17">
        <v>408.88375186505942</v>
      </c>
    </row>
    <row r="131" spans="1:17" outlineLevel="1" x14ac:dyDescent="0.3">
      <c r="A131" s="17">
        <v>2682.192876565904</v>
      </c>
      <c r="D131" s="138" t="s">
        <v>111</v>
      </c>
      <c r="E131" s="138"/>
      <c r="F131" s="138"/>
      <c r="G131" s="138"/>
      <c r="H131" s="138"/>
      <c r="P131" s="65" t="str">
        <v>RSD</v>
      </c>
      <c r="Q131" s="17">
        <v>0.18796059054015965</v>
      </c>
    </row>
    <row r="132" spans="1:17" outlineLevel="1" x14ac:dyDescent="0.3">
      <c r="A132" s="17">
        <v>2609.2819714745278</v>
      </c>
      <c r="D132" s="138" t="s">
        <v>112</v>
      </c>
      <c r="E132" s="138"/>
      <c r="F132" s="138"/>
      <c r="G132" s="138"/>
      <c r="H132" s="138"/>
    </row>
    <row r="133" spans="1:17" outlineLevel="1" x14ac:dyDescent="0.3">
      <c r="A133" s="17">
        <v>2396.9667916141302</v>
      </c>
      <c r="D133" s="138" t="s">
        <v>113</v>
      </c>
      <c r="E133" s="138"/>
      <c r="F133" s="138"/>
      <c r="G133" s="138"/>
      <c r="H133" s="138"/>
    </row>
    <row r="134" spans="1:17" outlineLevel="1" x14ac:dyDescent="0.3">
      <c r="A134" s="17">
        <v>1523.33077273302</v>
      </c>
      <c r="D134" s="138" t="s">
        <v>114</v>
      </c>
      <c r="E134" s="138"/>
      <c r="F134" s="138"/>
      <c r="G134" s="138"/>
      <c r="H134" s="138"/>
    </row>
    <row r="135" spans="1:17" outlineLevel="1" x14ac:dyDescent="0.3">
      <c r="A135" s="17">
        <v>1564.8975195861099</v>
      </c>
      <c r="D135" s="138" t="s">
        <v>115</v>
      </c>
      <c r="E135" s="138"/>
      <c r="F135" s="138"/>
      <c r="G135" s="138"/>
      <c r="H135" s="138"/>
    </row>
    <row r="136" spans="1:17" outlineLevel="1" x14ac:dyDescent="0.3">
      <c r="A136" s="17">
        <v>1828.693274835317</v>
      </c>
      <c r="D136" s="33"/>
      <c r="E136" s="33"/>
      <c r="F136" s="33"/>
      <c r="G136" s="33"/>
      <c r="H136" s="33"/>
    </row>
    <row r="137" spans="1:17" outlineLevel="1" x14ac:dyDescent="0.3">
      <c r="A137" s="17">
        <v>2579.9720763798796</v>
      </c>
      <c r="D137" s="129" t="s">
        <v>117</v>
      </c>
      <c r="E137" s="129"/>
      <c r="F137" s="129"/>
      <c r="G137" s="129"/>
      <c r="H137" s="129"/>
      <c r="P137" s="26"/>
    </row>
    <row r="138" spans="1:17" ht="18.75" customHeight="1" outlineLevel="1" x14ac:dyDescent="0.3">
      <c r="A138" s="17">
        <v>2184.2125647719422</v>
      </c>
      <c r="D138" s="131" t="s">
        <v>156</v>
      </c>
      <c r="E138" s="131"/>
      <c r="F138" s="131"/>
      <c r="G138" s="131"/>
      <c r="H138" s="131"/>
      <c r="P138" s="156" t="s">
        <v>165</v>
      </c>
    </row>
    <row r="139" spans="1:17" ht="18.75" customHeight="1" outlineLevel="1" x14ac:dyDescent="0.3">
      <c r="A139" s="17">
        <v>2343.289913321687</v>
      </c>
      <c r="D139" s="131"/>
      <c r="E139" s="131"/>
      <c r="F139" s="131"/>
      <c r="G139" s="131"/>
      <c r="H139" s="131"/>
      <c r="O139" s="25" t="s">
        <v>164</v>
      </c>
      <c r="P139" s="66" t="b">
        <v>1</v>
      </c>
    </row>
    <row r="140" spans="1:17" outlineLevel="1" x14ac:dyDescent="0.3">
      <c r="A140" s="17">
        <v>2705.91363016888</v>
      </c>
      <c r="D140" s="33"/>
      <c r="E140" s="33"/>
      <c r="F140" s="33"/>
      <c r="G140" s="33"/>
      <c r="H140" s="33"/>
      <c r="P140" s="32" t="str" cm="1">
        <f t="array" ref="P140:Q142">IF($P$139,
    _xlfn.HSTACK({"Avg";"Std";"RSD"},
           _xlfn.VSTACK(AVERAGE($A$129:$A$148),
                  _xlfn.STDEV.S($A$129:$A$148),
                  _xlfn.STDEV.S($A$129:$A$148)/AVERAGE($A$129:$A$148)
           )
    ),
    _xlfn.STDEV.S($A$129:$A$148)/AVERAGE($A$129:$A$148)
)</f>
        <v>Avg</v>
      </c>
      <c r="Q140" s="17">
        <v>2175.369585134908</v>
      </c>
    </row>
    <row r="141" spans="1:17" outlineLevel="1" x14ac:dyDescent="0.3">
      <c r="A141" s="17">
        <v>2262.7913156237323</v>
      </c>
      <c r="D141" s="136" t="s">
        <v>89</v>
      </c>
      <c r="E141" s="136"/>
      <c r="F141" s="136"/>
      <c r="G141" s="136"/>
      <c r="H141" s="136"/>
      <c r="P141" s="17" t="str">
        <v>Std</v>
      </c>
      <c r="Q141" s="17">
        <v>408.88375186505942</v>
      </c>
    </row>
    <row r="142" spans="1:17" outlineLevel="1" x14ac:dyDescent="0.3">
      <c r="A142" s="17">
        <v>2671.2431888853894</v>
      </c>
      <c r="D142" s="136" t="s">
        <v>118</v>
      </c>
      <c r="E142" s="136"/>
      <c r="F142" s="136"/>
      <c r="G142" s="136"/>
      <c r="H142" s="136"/>
      <c r="P142" s="17" t="str">
        <v>RSD</v>
      </c>
      <c r="Q142" s="17">
        <v>0.18796059054015965</v>
      </c>
    </row>
    <row r="143" spans="1:17" outlineLevel="1" x14ac:dyDescent="0.3">
      <c r="A143" s="17">
        <v>1524.1826948845828</v>
      </c>
      <c r="D143" s="136" t="s">
        <v>157</v>
      </c>
      <c r="E143" s="136"/>
      <c r="F143" s="136"/>
      <c r="G143" s="136"/>
      <c r="H143" s="136"/>
    </row>
    <row r="144" spans="1:17" outlineLevel="1" x14ac:dyDescent="0.3">
      <c r="A144" s="17">
        <v>1900.4440038869452</v>
      </c>
      <c r="D144" s="136" t="s">
        <v>158</v>
      </c>
      <c r="E144" s="136"/>
      <c r="F144" s="136"/>
      <c r="G144" s="136"/>
      <c r="H144" s="136"/>
    </row>
    <row r="145" spans="1:14" outlineLevel="1" x14ac:dyDescent="0.3">
      <c r="A145" s="17">
        <v>1984.0815718042713</v>
      </c>
    </row>
    <row r="146" spans="1:14" outlineLevel="1" x14ac:dyDescent="0.3">
      <c r="A146" s="17">
        <v>2395.8282841212472</v>
      </c>
      <c r="D146" s="19" t="s">
        <v>5</v>
      </c>
      <c r="E146" s="17">
        <f>AVERAGE(A129:A148)</f>
        <v>2175.369585134908</v>
      </c>
    </row>
    <row r="147" spans="1:14" outlineLevel="1" x14ac:dyDescent="0.3">
      <c r="A147" s="17">
        <v>2591.1245629295772</v>
      </c>
      <c r="D147" s="19" t="s">
        <v>6</v>
      </c>
      <c r="E147" s="17">
        <f>_xlfn.STDEV.S(A129:A148)</f>
        <v>408.88375186505942</v>
      </c>
    </row>
    <row r="148" spans="1:14" outlineLevel="1" x14ac:dyDescent="0.3">
      <c r="A148" s="17">
        <v>2046.851317843325</v>
      </c>
      <c r="D148" s="54" t="s">
        <v>0</v>
      </c>
      <c r="E148" s="31">
        <f>_xlfn.STDEV.S($A$129:$A$148)/AVERAGE($A$129:$A$148)</f>
        <v>0.18796059054015965</v>
      </c>
      <c r="F148" s="150" t="s">
        <v>583</v>
      </c>
    </row>
    <row r="149" spans="1:14" s="3" customFormat="1" ht="15" x14ac:dyDescent="0.25"/>
    <row r="150" spans="1:14" ht="20.25" x14ac:dyDescent="0.35">
      <c r="A150" s="12" t="s">
        <v>565</v>
      </c>
    </row>
    <row r="151" spans="1:14" outlineLevel="1" x14ac:dyDescent="0.3">
      <c r="A151" s="50" t="s">
        <v>603</v>
      </c>
    </row>
    <row r="152" spans="1:14" outlineLevel="1" x14ac:dyDescent="0.3">
      <c r="A152" s="53" t="s">
        <v>604</v>
      </c>
    </row>
    <row r="153" spans="1:14" outlineLevel="1" x14ac:dyDescent="0.3">
      <c r="A153" s="53" t="s">
        <v>605</v>
      </c>
    </row>
    <row r="154" spans="1:14" outlineLevel="1" x14ac:dyDescent="0.3">
      <c r="A154" s="50" t="s">
        <v>606</v>
      </c>
    </row>
    <row r="155" spans="1:14" outlineLevel="1" x14ac:dyDescent="0.3">
      <c r="A155" s="50" t="s">
        <v>607</v>
      </c>
    </row>
    <row r="156" spans="1:14" outlineLevel="1" x14ac:dyDescent="0.3">
      <c r="A156" s="50" t="s">
        <v>608</v>
      </c>
    </row>
    <row r="157" spans="1:14" ht="20.25" outlineLevel="1" x14ac:dyDescent="0.35">
      <c r="A157" s="12"/>
    </row>
    <row r="158" spans="1:14" outlineLevel="1" x14ac:dyDescent="0.3">
      <c r="C158" s="35"/>
      <c r="E158" s="127" t="s">
        <v>350</v>
      </c>
      <c r="F158" s="127"/>
      <c r="H158" s="127" t="s">
        <v>351</v>
      </c>
      <c r="I158" s="127"/>
    </row>
    <row r="159" spans="1:14" outlineLevel="1" x14ac:dyDescent="0.3">
      <c r="A159" s="15" t="s">
        <v>2</v>
      </c>
      <c r="C159" s="36"/>
      <c r="E159" s="128" t="s">
        <v>349</v>
      </c>
      <c r="F159" s="128"/>
      <c r="H159" s="128" t="s">
        <v>349</v>
      </c>
      <c r="I159" s="128"/>
      <c r="N159" s="26"/>
    </row>
    <row r="160" spans="1:14" outlineLevel="1" x14ac:dyDescent="0.3">
      <c r="A160" s="17">
        <v>2028.0182475332299</v>
      </c>
      <c r="E160" s="63" t="str" cm="1">
        <f t="array" ref="E160:F184">DESC_STATS(A160:A179)</f>
        <v>sum</v>
      </c>
      <c r="F160" s="17">
        <v>43507.391702698158</v>
      </c>
      <c r="H160" s="63" t="str" cm="1">
        <f t="array" ref="H160">DESC_STATS(A160:A179, {"mean","std","rsd","iqr","foo","bar"})</f>
        <v>#FUNC! [foo, bar]</v>
      </c>
      <c r="I160" s="17"/>
      <c r="N160" s="27"/>
    </row>
    <row r="161" spans="1:12" outlineLevel="1" x14ac:dyDescent="0.3">
      <c r="A161" s="17">
        <v>1684.07512373445</v>
      </c>
      <c r="E161" s="64" t="str">
        <v>mean</v>
      </c>
      <c r="F161" s="17">
        <v>2175.369585134908</v>
      </c>
      <c r="H161" s="64"/>
      <c r="I161" s="17"/>
    </row>
    <row r="162" spans="1:12" outlineLevel="1" x14ac:dyDescent="0.3">
      <c r="A162" s="17">
        <v>2682.192876565904</v>
      </c>
      <c r="E162" s="64" t="str">
        <v>med</v>
      </c>
      <c r="F162" s="17">
        <v>2223.501940197837</v>
      </c>
      <c r="H162" s="64"/>
      <c r="I162" s="17"/>
    </row>
    <row r="163" spans="1:12" outlineLevel="1" x14ac:dyDescent="0.3">
      <c r="A163" s="17">
        <v>2609.2819714745278</v>
      </c>
      <c r="E163" s="64" t="str">
        <v>mode</v>
      </c>
      <c r="F163" s="17" t="e">
        <v>#N/A</v>
      </c>
      <c r="H163" s="64"/>
      <c r="I163" s="17"/>
    </row>
    <row r="164" spans="1:12" outlineLevel="1" x14ac:dyDescent="0.3">
      <c r="A164" s="17">
        <v>2396.9667916141302</v>
      </c>
      <c r="E164" s="64" t="str">
        <v>mad</v>
      </c>
      <c r="F164" s="17">
        <v>349.37517393729149</v>
      </c>
      <c r="H164" s="64"/>
      <c r="I164" s="17"/>
    </row>
    <row r="165" spans="1:12" outlineLevel="1" x14ac:dyDescent="0.3">
      <c r="A165" s="17">
        <v>1523.33077273302</v>
      </c>
      <c r="E165" s="64" t="str">
        <v>sem</v>
      </c>
      <c r="F165" s="17">
        <v>91.429186406542925</v>
      </c>
      <c r="H165" s="64"/>
      <c r="I165" s="17"/>
    </row>
    <row r="166" spans="1:12" outlineLevel="1" x14ac:dyDescent="0.3">
      <c r="A166" s="17">
        <v>1564.8975195861099</v>
      </c>
      <c r="E166" s="64" t="str">
        <v>std</v>
      </c>
      <c r="F166" s="17">
        <v>408.88375186505942</v>
      </c>
      <c r="H166" s="64"/>
      <c r="I166" s="17"/>
    </row>
    <row r="167" spans="1:12" outlineLevel="1" x14ac:dyDescent="0.3">
      <c r="A167" s="17">
        <v>1828.693274835317</v>
      </c>
      <c r="E167" s="64" t="str">
        <v>var</v>
      </c>
      <c r="F167" s="17">
        <v>167185.92253924749</v>
      </c>
      <c r="H167" s="64"/>
      <c r="I167" s="17"/>
    </row>
    <row r="168" spans="1:12" outlineLevel="1" x14ac:dyDescent="0.3">
      <c r="A168" s="17">
        <v>2579.9720763798796</v>
      </c>
      <c r="E168" s="64" t="str">
        <v>rsd</v>
      </c>
      <c r="F168" s="17">
        <v>0.18796059054015965</v>
      </c>
      <c r="H168" s="64"/>
      <c r="I168" s="17"/>
    </row>
    <row r="169" spans="1:12" outlineLevel="1" x14ac:dyDescent="0.3">
      <c r="A169" s="17">
        <v>2184.2125647719422</v>
      </c>
      <c r="E169" s="64" t="str">
        <v>iqr</v>
      </c>
      <c r="F169" s="17">
        <v>700.25387639326573</v>
      </c>
      <c r="H169" s="64"/>
      <c r="I169" s="17"/>
    </row>
    <row r="170" spans="1:12" outlineLevel="1" x14ac:dyDescent="0.3">
      <c r="A170" s="17">
        <v>2343.289913321687</v>
      </c>
      <c r="E170" s="64" t="str">
        <v>p02</v>
      </c>
      <c r="F170" s="17">
        <v>1523.3631457747795</v>
      </c>
      <c r="H170" s="64"/>
      <c r="I170" s="17"/>
    </row>
    <row r="171" spans="1:12" outlineLevel="1" x14ac:dyDescent="0.3">
      <c r="A171" s="17">
        <v>2705.91363016888</v>
      </c>
      <c r="E171" s="64" t="str">
        <v>p2</v>
      </c>
      <c r="F171" s="17">
        <v>1523.7030627132528</v>
      </c>
      <c r="H171" s="64"/>
      <c r="I171" s="17"/>
    </row>
    <row r="172" spans="1:12" outlineLevel="1" x14ac:dyDescent="0.3">
      <c r="A172" s="17">
        <v>2262.7913156237323</v>
      </c>
      <c r="E172" s="64" t="str">
        <v>p16</v>
      </c>
      <c r="F172" s="17">
        <v>1687.1121049075682</v>
      </c>
      <c r="H172" s="64"/>
      <c r="I172" s="17"/>
    </row>
    <row r="173" spans="1:12" outlineLevel="1" x14ac:dyDescent="0.3">
      <c r="A173" s="17">
        <v>2671.2431888853894</v>
      </c>
      <c r="E173" s="64" t="str">
        <v>p25</v>
      </c>
      <c r="F173" s="17">
        <v>1882.5063216240383</v>
      </c>
      <c r="H173" s="64"/>
      <c r="I173" s="17"/>
    </row>
    <row r="174" spans="1:12" outlineLevel="1" x14ac:dyDescent="0.3">
      <c r="A174" s="17">
        <v>1524.1826948845828</v>
      </c>
      <c r="E174" s="64" t="str">
        <v>p75</v>
      </c>
      <c r="F174" s="17">
        <v>2582.760198017304</v>
      </c>
      <c r="H174" s="64"/>
      <c r="I174" s="17"/>
      <c r="K174" s="61"/>
      <c r="L174" s="62"/>
    </row>
    <row r="175" spans="1:12" outlineLevel="1" x14ac:dyDescent="0.3">
      <c r="A175" s="17">
        <v>1900.4440038869452</v>
      </c>
      <c r="E175" s="64" t="str">
        <v>p84</v>
      </c>
      <c r="F175" s="17">
        <v>2608.9006658950839</v>
      </c>
      <c r="H175" s="64"/>
      <c r="I175" s="17"/>
      <c r="K175" s="61"/>
      <c r="L175" s="62"/>
    </row>
    <row r="176" spans="1:12" outlineLevel="1" x14ac:dyDescent="0.3">
      <c r="A176" s="17">
        <v>1984.0815718042713</v>
      </c>
      <c r="E176" s="64" t="str">
        <v>p98</v>
      </c>
      <c r="F176" s="17">
        <v>2695.5476608443796</v>
      </c>
      <c r="H176" s="64"/>
      <c r="I176" s="17"/>
      <c r="K176" s="61"/>
      <c r="L176" s="62"/>
    </row>
    <row r="177" spans="1:18" outlineLevel="1" x14ac:dyDescent="0.3">
      <c r="A177" s="17">
        <v>2395.8282841212472</v>
      </c>
      <c r="E177" s="64" t="str">
        <v>p99</v>
      </c>
      <c r="F177" s="17">
        <v>2705.012241531967</v>
      </c>
      <c r="H177" s="64"/>
      <c r="I177" s="17"/>
      <c r="K177" s="61"/>
      <c r="L177" s="62"/>
    </row>
    <row r="178" spans="1:18" outlineLevel="1" x14ac:dyDescent="0.3">
      <c r="A178" s="17">
        <v>2591.1245629295772</v>
      </c>
      <c r="E178" s="64" t="str">
        <v>min</v>
      </c>
      <c r="F178" s="17">
        <v>1523.33077273302</v>
      </c>
      <c r="H178" s="64"/>
      <c r="I178" s="17"/>
      <c r="K178" s="61"/>
      <c r="L178" s="62"/>
    </row>
    <row r="179" spans="1:18" outlineLevel="1" x14ac:dyDescent="0.3">
      <c r="A179" s="17">
        <v>2046.851317843325</v>
      </c>
      <c r="E179" s="64" t="str">
        <v>max</v>
      </c>
      <c r="F179" s="17">
        <v>2705.91363016888</v>
      </c>
      <c r="H179" s="64"/>
      <c r="I179" s="17"/>
      <c r="K179" s="61"/>
      <c r="L179" s="62"/>
    </row>
    <row r="180" spans="1:18" outlineLevel="1" x14ac:dyDescent="0.3">
      <c r="E180" s="64" t="str">
        <v>rng</v>
      </c>
      <c r="F180" s="17">
        <v>1182.58285743586</v>
      </c>
      <c r="H180" s="64"/>
      <c r="I180" s="17"/>
      <c r="K180" s="61"/>
      <c r="L180" s="62"/>
    </row>
    <row r="181" spans="1:18" outlineLevel="1" x14ac:dyDescent="0.3">
      <c r="E181" s="64" t="str">
        <v>kurt</v>
      </c>
      <c r="F181" s="17">
        <v>-1.2561182414371426</v>
      </c>
      <c r="H181" s="64"/>
      <c r="I181" s="17"/>
    </row>
    <row r="182" spans="1:18" outlineLevel="1" x14ac:dyDescent="0.3">
      <c r="E182" s="64" t="str">
        <v>skew</v>
      </c>
      <c r="F182" s="17">
        <v>-0.27884711906788689</v>
      </c>
      <c r="H182" s="64"/>
      <c r="I182" s="17"/>
    </row>
    <row r="183" spans="1:18" outlineLevel="1" x14ac:dyDescent="0.3">
      <c r="E183" s="64" t="str">
        <v>vmr</v>
      </c>
      <c r="F183" s="17">
        <v>76.85403146283268</v>
      </c>
      <c r="H183" s="64"/>
      <c r="I183" s="17"/>
    </row>
    <row r="184" spans="1:18" outlineLevel="1" x14ac:dyDescent="0.3">
      <c r="E184" s="64" t="str">
        <v>moe</v>
      </c>
      <c r="F184" s="17">
        <v>191.36348642387557</v>
      </c>
      <c r="H184" s="64"/>
      <c r="I184" s="17"/>
    </row>
    <row r="185" spans="1:18" s="3" customFormat="1" ht="15" x14ac:dyDescent="0.25"/>
    <row r="186" spans="1:18" ht="20.25" x14ac:dyDescent="0.35">
      <c r="A186" s="12" t="s">
        <v>562</v>
      </c>
      <c r="L186" s="18"/>
    </row>
    <row r="187" spans="1:18" outlineLevel="1" x14ac:dyDescent="0.3">
      <c r="B187" s="26"/>
    </row>
    <row r="188" spans="1:18" outlineLevel="1" x14ac:dyDescent="0.3">
      <c r="A188" s="15" t="s">
        <v>2</v>
      </c>
      <c r="B188" s="54" t="s">
        <v>92</v>
      </c>
      <c r="D188" s="129" t="s">
        <v>99</v>
      </c>
      <c r="E188" s="129"/>
      <c r="F188" s="129"/>
      <c r="G188" s="129"/>
      <c r="H188" s="129"/>
      <c r="J188" s="22" t="s">
        <v>4</v>
      </c>
      <c r="L188" s="22" t="s">
        <v>319</v>
      </c>
      <c r="N188" s="22" t="s">
        <v>102</v>
      </c>
      <c r="P188" s="24" t="s">
        <v>3</v>
      </c>
      <c r="R188" s="35" t="s">
        <v>486</v>
      </c>
    </row>
    <row r="189" spans="1:18" outlineLevel="1" x14ac:dyDescent="0.3">
      <c r="A189" s="17">
        <v>2028.0182475332299</v>
      </c>
      <c r="B189" s="31">
        <f t="shared" ref="B189:B208" si="0">($A189-AVERAGE($A$189:$A$208))/_xlfn.STDEV.S($A$189:$A$208)</f>
        <v>-0.36037464665582325</v>
      </c>
      <c r="D189" s="137" t="s">
        <v>93</v>
      </c>
      <c r="E189" s="137"/>
      <c r="F189" s="137"/>
      <c r="G189" s="137"/>
      <c r="H189" s="137"/>
      <c r="J189" s="20">
        <f t="shared" ref="J189:J208" si="1">_xlfn.LET(
    _xlpm.data, $A$189:$A$208,
    _xlpm.x, $A189,
    _xlpm.avg, AVERAGE(_xlpm.data),
    _xlpm.std, _xlfn.STDEV.S(_xlpm.data),
    _xlpm.zscore, (_xlpm.x - _xlpm.avg) / _xlpm.std,
    _xlpm.return, _xlpm.zscore,
    _xlpm.return
)</f>
        <v>-0.36037464665582325</v>
      </c>
      <c r="K189" s="71"/>
      <c r="L189" s="20">
        <f t="shared" ref="L189:L208" si="2">_xlfn.LET(
    _xlpm.x, $A189,
    _xlpm.avg, $E$207,
    _xlpm.std, $E$208,
    _xlpm.zscore, (_xlpm.x - _xlpm.avg) / _xlpm.std,
    _xlpm.return, _xlpm.zscore,
    _xlpm.return
)</f>
        <v>-0.36037464665582325</v>
      </c>
      <c r="M189" s="71"/>
      <c r="N189" s="20" cm="1">
        <f t="array" ref="N189:N208">_xlfn.LET(
    _xlpm.data, $A$189:$A$208,
    _xlpm.avg, AVERAGE(_xlpm.data),
    _xlpm.std, _xlfn.STDEV.S(_xlpm.data),
    _xlpm.zscore, (_xlpm.data - _xlpm.avg) / _xlpm.std,
    _xlpm.return, _xlpm.zscore,
    _xlpm.return
)</f>
        <v>-0.36037464665582325</v>
      </c>
      <c r="O189" s="71"/>
      <c r="P189" s="21" cm="1">
        <f t="array" ref="P189:P208">_xlfn.LAMBDA(_xlpm.data,
    _xlfn.LET(_xlpm.avg, AVERAGE(_xlpm.data),
        _xlpm.std, _xlfn.STDEV.S(_xlpm.data),
        _xlpm.zscore, (_xlpm.data - _xlpm.avg) / _xlpm.std,
        _xlpm.return, _xlpm.zscore,
        _xlpm.return
    )
)(A189:A208)</f>
        <v>-0.36037464665582325</v>
      </c>
      <c r="Q189" s="71"/>
      <c r="R189" s="34" cm="1">
        <f t="array" ref="R189:R208">ZSCORE(A189:A208)</f>
        <v>-0.36037464665582325</v>
      </c>
    </row>
    <row r="190" spans="1:18" outlineLevel="1" x14ac:dyDescent="0.3">
      <c r="A190" s="17">
        <v>1684.07512373445</v>
      </c>
      <c r="B190" s="31">
        <f t="shared" si="0"/>
        <v>-1.2015504630827099</v>
      </c>
      <c r="D190" s="137" t="s">
        <v>484</v>
      </c>
      <c r="E190" s="137"/>
      <c r="F190" s="137"/>
      <c r="G190" s="137"/>
      <c r="H190" s="137"/>
      <c r="J190" s="20">
        <f t="shared" si="1"/>
        <v>-1.2015504630827099</v>
      </c>
      <c r="K190" s="71"/>
      <c r="L190" s="20">
        <f t="shared" si="2"/>
        <v>-1.2015504630827099</v>
      </c>
      <c r="M190" s="71"/>
      <c r="N190" s="17">
        <v>-1.2015504630827099</v>
      </c>
      <c r="O190" s="71"/>
      <c r="P190" s="17">
        <v>-1.2015504630827099</v>
      </c>
      <c r="Q190" s="71"/>
      <c r="R190" s="17">
        <v>-1.2015504630827099</v>
      </c>
    </row>
    <row r="191" spans="1:18" outlineLevel="1" x14ac:dyDescent="0.3">
      <c r="A191" s="17">
        <v>2682.192876565904</v>
      </c>
      <c r="B191" s="31">
        <f t="shared" si="0"/>
        <v>1.2395290571444835</v>
      </c>
      <c r="D191" s="137" t="s">
        <v>94</v>
      </c>
      <c r="E191" s="137"/>
      <c r="F191" s="137"/>
      <c r="G191" s="137"/>
      <c r="H191" s="137"/>
      <c r="J191" s="20">
        <f t="shared" si="1"/>
        <v>1.2395290571444835</v>
      </c>
      <c r="K191" s="71"/>
      <c r="L191" s="20">
        <f t="shared" si="2"/>
        <v>1.2395290571444835</v>
      </c>
      <c r="M191" s="71"/>
      <c r="N191" s="17">
        <v>1.2395290571444835</v>
      </c>
      <c r="O191" s="71"/>
      <c r="P191" s="17">
        <v>1.2395290571444835</v>
      </c>
      <c r="Q191" s="71"/>
      <c r="R191" s="17">
        <v>1.2395290571444835</v>
      </c>
    </row>
    <row r="192" spans="1:18" outlineLevel="1" x14ac:dyDescent="0.3">
      <c r="A192" s="17">
        <v>2609.2819714745278</v>
      </c>
      <c r="B192" s="31">
        <f t="shared" si="0"/>
        <v>1.0612121033433004</v>
      </c>
      <c r="D192" s="137" t="s">
        <v>95</v>
      </c>
      <c r="E192" s="137"/>
      <c r="F192" s="137"/>
      <c r="G192" s="137"/>
      <c r="H192" s="137"/>
      <c r="J192" s="20">
        <f t="shared" si="1"/>
        <v>1.0612121033433004</v>
      </c>
      <c r="K192" s="71"/>
      <c r="L192" s="20">
        <f t="shared" si="2"/>
        <v>1.0612121033433004</v>
      </c>
      <c r="M192" s="71"/>
      <c r="N192" s="17">
        <v>1.0612121033433004</v>
      </c>
      <c r="O192" s="71"/>
      <c r="P192" s="17">
        <v>1.0612121033433004</v>
      </c>
      <c r="Q192" s="71"/>
      <c r="R192" s="17">
        <v>1.0612121033433004</v>
      </c>
    </row>
    <row r="193" spans="1:18" outlineLevel="1" x14ac:dyDescent="0.3">
      <c r="A193" s="17">
        <v>2396.9667916141302</v>
      </c>
      <c r="B193" s="31">
        <f t="shared" si="0"/>
        <v>0.54195649856087735</v>
      </c>
      <c r="D193" s="137" t="s">
        <v>96</v>
      </c>
      <c r="E193" s="137"/>
      <c r="F193" s="137"/>
      <c r="G193" s="137"/>
      <c r="H193" s="137"/>
      <c r="J193" s="20">
        <f t="shared" si="1"/>
        <v>0.54195649856087735</v>
      </c>
      <c r="K193" s="71"/>
      <c r="L193" s="20">
        <f t="shared" si="2"/>
        <v>0.54195649856087735</v>
      </c>
      <c r="M193" s="71"/>
      <c r="N193" s="17">
        <v>0.54195649856087735</v>
      </c>
      <c r="O193" s="71"/>
      <c r="P193" s="17">
        <v>0.54195649856087735</v>
      </c>
      <c r="Q193" s="71"/>
      <c r="R193" s="17">
        <v>0.54195649856087735</v>
      </c>
    </row>
    <row r="194" spans="1:18" outlineLevel="1" x14ac:dyDescent="0.3">
      <c r="A194" s="17">
        <v>1523.33077273302</v>
      </c>
      <c r="B194" s="31">
        <f t="shared" si="0"/>
        <v>-1.594680173588984</v>
      </c>
      <c r="D194" s="137" t="s">
        <v>97</v>
      </c>
      <c r="E194" s="137"/>
      <c r="F194" s="137"/>
      <c r="G194" s="137"/>
      <c r="H194" s="137"/>
      <c r="J194" s="20">
        <f t="shared" si="1"/>
        <v>-1.594680173588984</v>
      </c>
      <c r="K194" s="71"/>
      <c r="L194" s="20">
        <f t="shared" si="2"/>
        <v>-1.594680173588984</v>
      </c>
      <c r="M194" s="71"/>
      <c r="N194" s="17">
        <v>-1.594680173588984</v>
      </c>
      <c r="O194" s="71"/>
      <c r="P194" s="17">
        <v>-1.594680173588984</v>
      </c>
      <c r="Q194" s="71"/>
      <c r="R194" s="17">
        <v>-1.594680173588984</v>
      </c>
    </row>
    <row r="195" spans="1:18" outlineLevel="1" x14ac:dyDescent="0.3">
      <c r="A195" s="17">
        <v>1564.8975195861099</v>
      </c>
      <c r="B195" s="31">
        <f t="shared" si="0"/>
        <v>-1.4930210916042153</v>
      </c>
      <c r="D195" s="137" t="s">
        <v>98</v>
      </c>
      <c r="E195" s="137"/>
      <c r="F195" s="137"/>
      <c r="G195" s="137"/>
      <c r="H195" s="137"/>
      <c r="J195" s="20">
        <f t="shared" si="1"/>
        <v>-1.4930210916042153</v>
      </c>
      <c r="K195" s="71"/>
      <c r="L195" s="20">
        <f t="shared" si="2"/>
        <v>-1.4930210916042153</v>
      </c>
      <c r="M195" s="71"/>
      <c r="N195" s="17">
        <v>-1.4930210916042153</v>
      </c>
      <c r="O195" s="71"/>
      <c r="P195" s="17">
        <v>-1.4930210916042153</v>
      </c>
      <c r="Q195" s="71"/>
      <c r="R195" s="17">
        <v>-1.4930210916042153</v>
      </c>
    </row>
    <row r="196" spans="1:18" outlineLevel="1" x14ac:dyDescent="0.3">
      <c r="A196" s="17">
        <v>1828.693274835317</v>
      </c>
      <c r="B196" s="31">
        <f t="shared" si="0"/>
        <v>-0.84786032391426935</v>
      </c>
      <c r="D196" s="33"/>
      <c r="E196" s="33"/>
      <c r="F196" s="33"/>
      <c r="G196" s="33"/>
      <c r="H196" s="33"/>
      <c r="J196" s="20">
        <f t="shared" si="1"/>
        <v>-0.84786032391426935</v>
      </c>
      <c r="K196" s="71"/>
      <c r="L196" s="20">
        <f t="shared" si="2"/>
        <v>-0.84786032391426935</v>
      </c>
      <c r="M196" s="71"/>
      <c r="N196" s="17">
        <v>-0.84786032391426935</v>
      </c>
      <c r="O196" s="71"/>
      <c r="P196" s="17">
        <v>-0.84786032391426935</v>
      </c>
      <c r="Q196" s="71"/>
      <c r="R196" s="17">
        <v>-0.84786032391426935</v>
      </c>
    </row>
    <row r="197" spans="1:18" outlineLevel="1" x14ac:dyDescent="0.3">
      <c r="A197" s="17">
        <v>2579.9720763798796</v>
      </c>
      <c r="B197" s="31">
        <f t="shared" si="0"/>
        <v>0.9895293941112614</v>
      </c>
      <c r="D197" s="129" t="s">
        <v>100</v>
      </c>
      <c r="E197" s="129"/>
      <c r="F197" s="129"/>
      <c r="G197" s="129"/>
      <c r="H197" s="129"/>
      <c r="J197" s="20">
        <f t="shared" si="1"/>
        <v>0.9895293941112614</v>
      </c>
      <c r="K197" s="71"/>
      <c r="L197" s="20">
        <f t="shared" si="2"/>
        <v>0.9895293941112614</v>
      </c>
      <c r="M197" s="71"/>
      <c r="N197" s="17">
        <v>0.9895293941112614</v>
      </c>
      <c r="O197" s="71"/>
      <c r="P197" s="17">
        <v>0.9895293941112614</v>
      </c>
      <c r="Q197" s="71"/>
      <c r="R197" s="17">
        <v>0.9895293941112614</v>
      </c>
    </row>
    <row r="198" spans="1:18" outlineLevel="1" x14ac:dyDescent="0.3">
      <c r="A198" s="17">
        <v>2184.2125647719422</v>
      </c>
      <c r="B198" s="31">
        <f t="shared" si="0"/>
        <v>2.1627124082818975E-2</v>
      </c>
      <c r="D198" s="148" t="s">
        <v>153</v>
      </c>
      <c r="E198" s="148"/>
      <c r="F198" s="148"/>
      <c r="G198" s="148"/>
      <c r="H198" s="148"/>
      <c r="J198" s="20">
        <f t="shared" si="1"/>
        <v>2.1627124082818975E-2</v>
      </c>
      <c r="K198" s="71"/>
      <c r="L198" s="20">
        <f t="shared" si="2"/>
        <v>2.1627124082818975E-2</v>
      </c>
      <c r="M198" s="71"/>
      <c r="N198" s="17">
        <v>2.1627124082818975E-2</v>
      </c>
      <c r="O198" s="71"/>
      <c r="P198" s="17">
        <v>2.1627124082818975E-2</v>
      </c>
      <c r="Q198" s="71"/>
      <c r="R198" s="17">
        <v>2.1627124082818975E-2</v>
      </c>
    </row>
    <row r="199" spans="1:18" outlineLevel="1" x14ac:dyDescent="0.3">
      <c r="A199" s="17">
        <v>2343.289913321687</v>
      </c>
      <c r="B199" s="31">
        <f t="shared" si="0"/>
        <v>0.41067987519884713</v>
      </c>
      <c r="D199" s="148"/>
      <c r="E199" s="148"/>
      <c r="F199" s="148"/>
      <c r="G199" s="148"/>
      <c r="H199" s="148"/>
      <c r="J199" s="20">
        <f t="shared" si="1"/>
        <v>0.41067987519884713</v>
      </c>
      <c r="K199" s="71"/>
      <c r="L199" s="20">
        <f t="shared" si="2"/>
        <v>0.41067987519884713</v>
      </c>
      <c r="M199" s="71"/>
      <c r="N199" s="17">
        <v>0.41067987519884713</v>
      </c>
      <c r="O199" s="71"/>
      <c r="P199" s="17">
        <v>0.41067987519884713</v>
      </c>
      <c r="Q199" s="71"/>
      <c r="R199" s="17">
        <v>0.41067987519884713</v>
      </c>
    </row>
    <row r="200" spans="1:18" outlineLevel="1" x14ac:dyDescent="0.3">
      <c r="A200" s="17">
        <v>2705.91363016888</v>
      </c>
      <c r="B200" s="31">
        <f t="shared" si="0"/>
        <v>1.2975424986049902</v>
      </c>
      <c r="D200" s="33"/>
      <c r="E200" s="33"/>
      <c r="F200" s="33"/>
      <c r="G200" s="33"/>
      <c r="H200" s="33"/>
      <c r="J200" s="20">
        <f t="shared" si="1"/>
        <v>1.2975424986049902</v>
      </c>
      <c r="K200" s="71"/>
      <c r="L200" s="20">
        <f t="shared" si="2"/>
        <v>1.2975424986049902</v>
      </c>
      <c r="M200" s="71"/>
      <c r="N200" s="17">
        <v>1.2975424986049902</v>
      </c>
      <c r="O200" s="71"/>
      <c r="P200" s="17">
        <v>1.2975424986049902</v>
      </c>
      <c r="Q200" s="71"/>
      <c r="R200" s="17">
        <v>1.2975424986049902</v>
      </c>
    </row>
    <row r="201" spans="1:18" outlineLevel="1" x14ac:dyDescent="0.3">
      <c r="A201" s="17">
        <v>2262.7913156237323</v>
      </c>
      <c r="B201" s="31">
        <f t="shared" si="0"/>
        <v>0.21380583133974815</v>
      </c>
      <c r="D201" s="136" t="s">
        <v>89</v>
      </c>
      <c r="E201" s="136"/>
      <c r="F201" s="136"/>
      <c r="G201" s="136"/>
      <c r="H201" s="136"/>
      <c r="J201" s="20">
        <f t="shared" si="1"/>
        <v>0.21380583133974815</v>
      </c>
      <c r="K201" s="71"/>
      <c r="L201" s="20">
        <f t="shared" si="2"/>
        <v>0.21380583133974815</v>
      </c>
      <c r="M201" s="71"/>
      <c r="N201" s="17">
        <v>0.21380583133974815</v>
      </c>
      <c r="O201" s="71"/>
      <c r="P201" s="17">
        <v>0.21380583133974815</v>
      </c>
      <c r="Q201" s="71"/>
      <c r="R201" s="17">
        <v>0.21380583133974815</v>
      </c>
    </row>
    <row r="202" spans="1:18" outlineLevel="1" x14ac:dyDescent="0.3">
      <c r="A202" s="17">
        <v>2671.2431888853894</v>
      </c>
      <c r="B202" s="31">
        <f t="shared" si="0"/>
        <v>1.2127495932245567</v>
      </c>
      <c r="D202" s="136" t="s">
        <v>90</v>
      </c>
      <c r="E202" s="136"/>
      <c r="F202" s="136"/>
      <c r="G202" s="136"/>
      <c r="H202" s="136"/>
      <c r="J202" s="20">
        <f t="shared" si="1"/>
        <v>1.2127495932245567</v>
      </c>
      <c r="K202" s="71"/>
      <c r="L202" s="20">
        <f t="shared" si="2"/>
        <v>1.2127495932245567</v>
      </c>
      <c r="M202" s="71"/>
      <c r="N202" s="17">
        <v>1.2127495932245567</v>
      </c>
      <c r="O202" s="71"/>
      <c r="P202" s="17">
        <v>1.2127495932245567</v>
      </c>
      <c r="Q202" s="71"/>
      <c r="R202" s="17">
        <v>1.2127495932245567</v>
      </c>
    </row>
    <row r="203" spans="1:18" outlineLevel="1" x14ac:dyDescent="0.3">
      <c r="A203" s="17">
        <v>1524.1826948845828</v>
      </c>
      <c r="B203" s="31">
        <f t="shared" si="0"/>
        <v>-1.592596642150826</v>
      </c>
      <c r="D203" s="136" t="s">
        <v>91</v>
      </c>
      <c r="E203" s="136"/>
      <c r="F203" s="136"/>
      <c r="G203" s="136"/>
      <c r="H203" s="136"/>
      <c r="J203" s="20">
        <f t="shared" si="1"/>
        <v>-1.592596642150826</v>
      </c>
      <c r="K203" s="71"/>
      <c r="L203" s="20">
        <f t="shared" si="2"/>
        <v>-1.592596642150826</v>
      </c>
      <c r="M203" s="71"/>
      <c r="N203" s="17">
        <v>-1.592596642150826</v>
      </c>
      <c r="O203" s="71"/>
      <c r="P203" s="17">
        <v>-1.592596642150826</v>
      </c>
      <c r="Q203" s="71"/>
      <c r="R203" s="17">
        <v>-1.592596642150826</v>
      </c>
    </row>
    <row r="204" spans="1:18" outlineLevel="1" x14ac:dyDescent="0.3">
      <c r="A204" s="17">
        <v>1900.4440038869452</v>
      </c>
      <c r="B204" s="31">
        <f t="shared" si="0"/>
        <v>-0.67238079281441887</v>
      </c>
      <c r="D204" s="136" t="s">
        <v>154</v>
      </c>
      <c r="E204" s="136"/>
      <c r="F204" s="136"/>
      <c r="G204" s="136"/>
      <c r="H204" s="136"/>
      <c r="J204" s="20">
        <f t="shared" si="1"/>
        <v>-0.67238079281441887</v>
      </c>
      <c r="K204" s="71"/>
      <c r="L204" s="20">
        <f t="shared" si="2"/>
        <v>-0.67238079281441887</v>
      </c>
      <c r="M204" s="71"/>
      <c r="N204" s="17">
        <v>-0.67238079281441887</v>
      </c>
      <c r="O204" s="71"/>
      <c r="P204" s="17">
        <v>-0.67238079281441887</v>
      </c>
      <c r="Q204" s="71"/>
      <c r="R204" s="17">
        <v>-0.67238079281441887</v>
      </c>
    </row>
    <row r="205" spans="1:18" outlineLevel="1" x14ac:dyDescent="0.3">
      <c r="A205" s="17">
        <v>1984.0815718042713</v>
      </c>
      <c r="B205" s="31">
        <f t="shared" si="0"/>
        <v>-0.46782982316637978</v>
      </c>
      <c r="D205" s="136" t="s">
        <v>155</v>
      </c>
      <c r="E205" s="136"/>
      <c r="F205" s="136"/>
      <c r="G205" s="136"/>
      <c r="H205" s="136"/>
      <c r="J205" s="20">
        <f t="shared" si="1"/>
        <v>-0.46782982316637978</v>
      </c>
      <c r="K205" s="71"/>
      <c r="L205" s="20">
        <f t="shared" si="2"/>
        <v>-0.46782982316637978</v>
      </c>
      <c r="M205" s="71"/>
      <c r="N205" s="17">
        <v>-0.46782982316637978</v>
      </c>
      <c r="O205" s="71"/>
      <c r="P205" s="17">
        <v>-0.46782982316637978</v>
      </c>
      <c r="Q205" s="71"/>
      <c r="R205" s="17">
        <v>-0.46782982316637978</v>
      </c>
    </row>
    <row r="206" spans="1:18" outlineLevel="1" x14ac:dyDescent="0.3">
      <c r="A206" s="17">
        <v>2395.8282841212472</v>
      </c>
      <c r="B206" s="31">
        <f t="shared" si="0"/>
        <v>0.53917207025407887</v>
      </c>
      <c r="J206" s="20">
        <f t="shared" si="1"/>
        <v>0.53917207025407887</v>
      </c>
      <c r="K206" s="71"/>
      <c r="L206" s="20">
        <f t="shared" si="2"/>
        <v>0.53917207025407887</v>
      </c>
      <c r="M206" s="71"/>
      <c r="N206" s="17">
        <v>0.53917207025407887</v>
      </c>
      <c r="O206" s="71"/>
      <c r="P206" s="17">
        <v>0.53917207025407887</v>
      </c>
      <c r="Q206" s="71"/>
      <c r="R206" s="17">
        <v>0.53917207025407887</v>
      </c>
    </row>
    <row r="207" spans="1:18" outlineLevel="1" x14ac:dyDescent="0.3">
      <c r="A207" s="17">
        <v>2591.1245629295772</v>
      </c>
      <c r="B207" s="31">
        <f t="shared" si="0"/>
        <v>1.0168048397576763</v>
      </c>
      <c r="D207" s="19" t="s">
        <v>5</v>
      </c>
      <c r="E207" s="17">
        <f>AVERAGE(A189:A208)</f>
        <v>2175.369585134908</v>
      </c>
      <c r="J207" s="20">
        <f t="shared" si="1"/>
        <v>1.0168048397576763</v>
      </c>
      <c r="K207" s="71"/>
      <c r="L207" s="20">
        <f t="shared" si="2"/>
        <v>1.0168048397576763</v>
      </c>
      <c r="M207" s="71"/>
      <c r="N207" s="17">
        <v>1.0168048397576763</v>
      </c>
      <c r="O207" s="71"/>
      <c r="P207" s="17">
        <v>1.0168048397576763</v>
      </c>
      <c r="Q207" s="71"/>
      <c r="R207" s="17">
        <v>1.0168048397576763</v>
      </c>
    </row>
    <row r="208" spans="1:18" outlineLevel="1" x14ac:dyDescent="0.3">
      <c r="A208" s="17">
        <v>2046.851317843325</v>
      </c>
      <c r="B208" s="31">
        <f t="shared" si="0"/>
        <v>-0.31431492864504151</v>
      </c>
      <c r="D208" s="19" t="s">
        <v>6</v>
      </c>
      <c r="E208" s="17">
        <f>_xlfn.STDEV.S(A189:A208)</f>
        <v>408.88375186505942</v>
      </c>
      <c r="J208" s="20">
        <f t="shared" si="1"/>
        <v>-0.31431492864504151</v>
      </c>
      <c r="K208" s="71"/>
      <c r="L208" s="20">
        <f t="shared" si="2"/>
        <v>-0.31431492864504151</v>
      </c>
      <c r="M208" s="71"/>
      <c r="N208" s="17">
        <v>-0.31431492864504151</v>
      </c>
      <c r="O208" s="71"/>
      <c r="P208" s="17">
        <v>-0.31431492864504151</v>
      </c>
      <c r="Q208" s="71"/>
      <c r="R208" s="17">
        <v>-0.31431492864504151</v>
      </c>
    </row>
    <row r="209" spans="1:2" s="3" customFormat="1" ht="15" x14ac:dyDescent="0.25"/>
    <row r="210" spans="1:2" ht="20.25" x14ac:dyDescent="0.35">
      <c r="A210" s="12" t="s">
        <v>563</v>
      </c>
    </row>
    <row r="211" spans="1:2" outlineLevel="1" x14ac:dyDescent="0.3">
      <c r="A211" s="72" t="s">
        <v>458</v>
      </c>
    </row>
    <row r="212" spans="1:2" outlineLevel="2" x14ac:dyDescent="0.3">
      <c r="A212" s="50" t="s">
        <v>550</v>
      </c>
    </row>
    <row r="213" spans="1:2" outlineLevel="2" x14ac:dyDescent="0.3">
      <c r="A213" s="50" t="s">
        <v>566</v>
      </c>
    </row>
    <row r="214" spans="1:2" outlineLevel="2" x14ac:dyDescent="0.3">
      <c r="A214" s="53" t="s">
        <v>568</v>
      </c>
    </row>
    <row r="215" spans="1:2" outlineLevel="2" x14ac:dyDescent="0.3">
      <c r="A215" s="53" t="s">
        <v>567</v>
      </c>
    </row>
    <row r="216" spans="1:2" ht="20.25" outlineLevel="1" x14ac:dyDescent="0.35">
      <c r="A216" s="12"/>
    </row>
    <row r="217" spans="1:2" outlineLevel="1" x14ac:dyDescent="0.3">
      <c r="A217" s="72" t="s">
        <v>553</v>
      </c>
    </row>
    <row r="218" spans="1:2" outlineLevel="2" x14ac:dyDescent="0.3">
      <c r="A218" s="72" t="s">
        <v>551</v>
      </c>
      <c r="B218" s="72"/>
    </row>
    <row r="219" spans="1:2" outlineLevel="2" x14ac:dyDescent="0.3">
      <c r="A219" s="15" t="s">
        <v>487</v>
      </c>
      <c r="B219" s="15" t="s">
        <v>552</v>
      </c>
    </row>
    <row r="220" spans="1:2" outlineLevel="2" x14ac:dyDescent="0.3">
      <c r="A220" s="83" t="str">
        <f>"|x|&gt;" &amp; B220</f>
        <v>|x|&gt;1</v>
      </c>
      <c r="B220" s="69">
        <v>1</v>
      </c>
    </row>
    <row r="221" spans="1:2" outlineLevel="2" x14ac:dyDescent="0.3">
      <c r="A221" s="83" t="str">
        <f>"|x|&gt;" &amp; B221</f>
        <v>|x|&gt;2</v>
      </c>
      <c r="B221" s="69">
        <v>2</v>
      </c>
    </row>
    <row r="222" spans="1:2" outlineLevel="2" x14ac:dyDescent="0.3">
      <c r="A222" s="83" t="str">
        <f>"|x|&gt;" &amp; B222</f>
        <v>|x|&gt;3</v>
      </c>
      <c r="B222" s="69">
        <v>3</v>
      </c>
    </row>
    <row r="223" spans="1:2" outlineLevel="2" x14ac:dyDescent="0.3"/>
    <row r="224" spans="1:2" outlineLevel="2" x14ac:dyDescent="0.3"/>
    <row r="225" spans="1:9" outlineLevel="2" x14ac:dyDescent="0.3">
      <c r="B225" s="26" t="s">
        <v>101</v>
      </c>
      <c r="I225" s="22" t="s">
        <v>102</v>
      </c>
    </row>
    <row r="226" spans="1:9" outlineLevel="2" x14ac:dyDescent="0.3">
      <c r="A226" s="15" t="s">
        <v>2</v>
      </c>
      <c r="B226" s="54" t="s">
        <v>485</v>
      </c>
      <c r="F226" s="82"/>
      <c r="H226" s="82"/>
      <c r="I226" s="23" t="s">
        <v>485</v>
      </c>
    </row>
    <row r="227" spans="1:9" outlineLevel="2" x14ac:dyDescent="0.3">
      <c r="A227" s="17">
        <v>2028.0182475332299</v>
      </c>
      <c r="B227" s="31" t="str">
        <f t="shared" ref="B227:B246" si="3">_xlfn.XLOOKUP(
    ABS((A227-AVERAGE($A$227:$A$246))/_xlfn.STDEV.S($A$227:$A$246)),
    $B$220:$B$222,
    $A$220:$A$222,
    "",
    -1
)</f>
        <v/>
      </c>
      <c r="I227" s="84" t="str" cm="1">
        <f t="array" ref="I227:I246">_xlfn.LET(
    _xlpm.data, $A$227:$A$246,
    _xlpm.rules, A220:B222,
    _xlpm.z, ZSCORE(_xlpm.data),
    _xlpm.z_abs, ABS(_xlpm.z),
    _xlpm.lbl, _xlfn.BYROW(_xlpm.z_abs, _xlfn.LAMBDA(_xlpm.r, _xlfn.LET(
        _xlpm.r_std, INDEX(_xlpm.rules, , 2),
        _xlpm.r_lbl, INDEX(_xlpm.rules, , 1),
        _xlpm.return, _xlfn.XLOOKUP(_xlpm.r, _xlpm.r_std, _xlpm.r_lbl, "", -1),
        _xlpm.return
    ))),
    _xlpm.return, _xlpm.lbl,
    _xlpm.return
)</f>
        <v/>
      </c>
    </row>
    <row r="228" spans="1:9" outlineLevel="2" x14ac:dyDescent="0.3">
      <c r="A228" s="17">
        <v>1684.07512373445</v>
      </c>
      <c r="B228" s="31" t="str">
        <f t="shared" si="3"/>
        <v>|x|&gt;1</v>
      </c>
      <c r="I228" s="85" t="str">
        <v>|x|&gt;1</v>
      </c>
    </row>
    <row r="229" spans="1:9" outlineLevel="2" x14ac:dyDescent="0.3">
      <c r="A229" s="17">
        <v>2682.192876565904</v>
      </c>
      <c r="B229" s="31" t="str">
        <f t="shared" si="3"/>
        <v>|x|&gt;1</v>
      </c>
      <c r="I229" s="85" t="str">
        <v>|x|&gt;1</v>
      </c>
    </row>
    <row r="230" spans="1:9" outlineLevel="2" x14ac:dyDescent="0.3">
      <c r="A230" s="17">
        <v>2609.2819714745278</v>
      </c>
      <c r="B230" s="31" t="str">
        <f t="shared" si="3"/>
        <v>|x|&gt;1</v>
      </c>
      <c r="I230" s="85" t="str">
        <v>|x|&gt;1</v>
      </c>
    </row>
    <row r="231" spans="1:9" outlineLevel="2" x14ac:dyDescent="0.3">
      <c r="A231" s="17">
        <v>2396.9667916141302</v>
      </c>
      <c r="B231" s="31" t="str">
        <f t="shared" si="3"/>
        <v/>
      </c>
      <c r="I231" s="85" t="str">
        <v/>
      </c>
    </row>
    <row r="232" spans="1:9" outlineLevel="2" x14ac:dyDescent="0.3">
      <c r="A232" s="17">
        <v>1523.33077273302</v>
      </c>
      <c r="B232" s="31" t="str">
        <f t="shared" si="3"/>
        <v>|x|&gt;1</v>
      </c>
      <c r="I232" s="85" t="str">
        <v>|x|&gt;1</v>
      </c>
    </row>
    <row r="233" spans="1:9" outlineLevel="2" x14ac:dyDescent="0.3">
      <c r="A233" s="17">
        <v>1564.8975195861099</v>
      </c>
      <c r="B233" s="31" t="str">
        <f t="shared" si="3"/>
        <v>|x|&gt;1</v>
      </c>
      <c r="I233" s="85" t="str">
        <v>|x|&gt;1</v>
      </c>
    </row>
    <row r="234" spans="1:9" outlineLevel="2" x14ac:dyDescent="0.3">
      <c r="A234" s="17">
        <v>1828.693274835317</v>
      </c>
      <c r="B234" s="31" t="str">
        <f t="shared" si="3"/>
        <v/>
      </c>
      <c r="I234" s="85" t="str">
        <v/>
      </c>
    </row>
    <row r="235" spans="1:9" outlineLevel="2" x14ac:dyDescent="0.3">
      <c r="A235" s="17">
        <v>2579.9720763798796</v>
      </c>
      <c r="B235" s="31" t="str">
        <f t="shared" si="3"/>
        <v/>
      </c>
      <c r="I235" s="85" t="str">
        <v/>
      </c>
    </row>
    <row r="236" spans="1:9" outlineLevel="2" x14ac:dyDescent="0.3">
      <c r="A236" s="17">
        <v>2184.2125647719422</v>
      </c>
      <c r="B236" s="31" t="str">
        <f t="shared" si="3"/>
        <v/>
      </c>
      <c r="I236" s="85" t="str">
        <v/>
      </c>
    </row>
    <row r="237" spans="1:9" outlineLevel="2" x14ac:dyDescent="0.3">
      <c r="A237" s="17">
        <v>2343.289913321687</v>
      </c>
      <c r="B237" s="31" t="str">
        <f t="shared" si="3"/>
        <v/>
      </c>
      <c r="I237" s="85" t="str">
        <v/>
      </c>
    </row>
    <row r="238" spans="1:9" outlineLevel="2" x14ac:dyDescent="0.3">
      <c r="A238" s="17">
        <v>2705.91363016888</v>
      </c>
      <c r="B238" s="31" t="str">
        <f t="shared" si="3"/>
        <v>|x|&gt;1</v>
      </c>
      <c r="I238" s="85" t="str">
        <v>|x|&gt;1</v>
      </c>
    </row>
    <row r="239" spans="1:9" outlineLevel="2" x14ac:dyDescent="0.3">
      <c r="A239" s="17">
        <v>2262.7913156237323</v>
      </c>
      <c r="B239" s="31" t="str">
        <f t="shared" si="3"/>
        <v/>
      </c>
      <c r="I239" s="85" t="str">
        <v/>
      </c>
    </row>
    <row r="240" spans="1:9" outlineLevel="2" x14ac:dyDescent="0.3">
      <c r="A240" s="17">
        <v>2671.2431888853894</v>
      </c>
      <c r="B240" s="31" t="str">
        <f t="shared" si="3"/>
        <v>|x|&gt;1</v>
      </c>
      <c r="I240" s="85" t="str">
        <v>|x|&gt;1</v>
      </c>
    </row>
    <row r="241" spans="1:14" outlineLevel="2" x14ac:dyDescent="0.3">
      <c r="A241" s="17">
        <v>1524.1826948845828</v>
      </c>
      <c r="B241" s="31" t="str">
        <f t="shared" si="3"/>
        <v>|x|&gt;1</v>
      </c>
      <c r="I241" s="85" t="str">
        <v>|x|&gt;1</v>
      </c>
    </row>
    <row r="242" spans="1:14" outlineLevel="2" x14ac:dyDescent="0.3">
      <c r="A242" s="17">
        <v>1900.4440038869452</v>
      </c>
      <c r="B242" s="31" t="str">
        <f t="shared" si="3"/>
        <v/>
      </c>
      <c r="I242" s="85" t="str">
        <v/>
      </c>
    </row>
    <row r="243" spans="1:14" outlineLevel="2" x14ac:dyDescent="0.3">
      <c r="A243" s="17">
        <v>1984.0815718042713</v>
      </c>
      <c r="B243" s="31" t="str">
        <f t="shared" si="3"/>
        <v/>
      </c>
      <c r="I243" s="85" t="str">
        <v/>
      </c>
    </row>
    <row r="244" spans="1:14" outlineLevel="2" x14ac:dyDescent="0.3">
      <c r="A244" s="17">
        <v>2395.8282841212472</v>
      </c>
      <c r="B244" s="31" t="str">
        <f t="shared" si="3"/>
        <v/>
      </c>
      <c r="I244" s="85" t="str">
        <v/>
      </c>
    </row>
    <row r="245" spans="1:14" outlineLevel="2" x14ac:dyDescent="0.3">
      <c r="A245" s="17">
        <v>2591.1245629295772</v>
      </c>
      <c r="B245" s="31" t="str">
        <f t="shared" si="3"/>
        <v>|x|&gt;1</v>
      </c>
      <c r="I245" s="85" t="str">
        <v>|x|&gt;1</v>
      </c>
    </row>
    <row r="246" spans="1:14" outlineLevel="2" x14ac:dyDescent="0.3">
      <c r="A246" s="17">
        <v>2046.851317843325</v>
      </c>
      <c r="B246" s="31" t="str">
        <f t="shared" si="3"/>
        <v/>
      </c>
      <c r="I246" s="85" t="str">
        <v/>
      </c>
    </row>
    <row r="247" spans="1:14" s="4" customFormat="1" ht="15.75" outlineLevel="1" x14ac:dyDescent="0.25"/>
    <row r="248" spans="1:14" s="4" customFormat="1" ht="15.75" outlineLevel="1" x14ac:dyDescent="0.25">
      <c r="A248" s="72" t="s">
        <v>513</v>
      </c>
    </row>
    <row r="249" spans="1:14" s="4" customFormat="1" ht="15.75" outlineLevel="2" x14ac:dyDescent="0.25">
      <c r="A249" s="78" t="s">
        <v>502</v>
      </c>
      <c r="B249" s="78"/>
      <c r="C249" s="78"/>
      <c r="D249" s="78"/>
      <c r="E249" s="78"/>
      <c r="F249" s="78"/>
      <c r="G249" s="78"/>
      <c r="H249" s="78"/>
      <c r="I249" s="78" t="s">
        <v>503</v>
      </c>
    </row>
    <row r="250" spans="1:14" s="4" customFormat="1" ht="15.75" outlineLevel="2" x14ac:dyDescent="0.25">
      <c r="A250" s="133" t="s">
        <v>490</v>
      </c>
      <c r="B250" s="133"/>
      <c r="C250" s="133"/>
      <c r="D250" s="133"/>
      <c r="E250" s="133"/>
      <c r="F250" s="133"/>
      <c r="G250" s="133"/>
      <c r="I250" s="133" t="s">
        <v>365</v>
      </c>
      <c r="J250" s="133"/>
      <c r="K250" s="133"/>
      <c r="L250" s="133"/>
      <c r="M250" s="133"/>
      <c r="N250" s="133"/>
    </row>
    <row r="251" spans="1:14" s="4" customFormat="1" ht="15.75" outlineLevel="2" x14ac:dyDescent="0.25">
      <c r="A251" s="133" t="s">
        <v>491</v>
      </c>
      <c r="B251" s="133"/>
      <c r="C251" s="133"/>
      <c r="D251" s="133"/>
      <c r="E251" s="133"/>
      <c r="F251" s="133"/>
      <c r="G251" s="133"/>
      <c r="I251" s="133" t="s">
        <v>545</v>
      </c>
      <c r="J251" s="133"/>
      <c r="K251" s="133"/>
      <c r="L251" s="133"/>
      <c r="M251" s="133"/>
      <c r="N251" s="133"/>
    </row>
    <row r="252" spans="1:14" s="4" customFormat="1" ht="15.75" outlineLevel="2" x14ac:dyDescent="0.25">
      <c r="A252" s="133" t="s">
        <v>492</v>
      </c>
      <c r="B252" s="133"/>
      <c r="C252" s="133"/>
      <c r="D252" s="133"/>
      <c r="E252" s="133"/>
      <c r="F252" s="133"/>
      <c r="G252" s="133"/>
      <c r="I252" s="133" t="s">
        <v>546</v>
      </c>
      <c r="J252" s="133"/>
      <c r="K252" s="133"/>
      <c r="L252" s="133"/>
      <c r="M252" s="133"/>
      <c r="N252" s="133"/>
    </row>
    <row r="253" spans="1:14" s="4" customFormat="1" ht="15.75" outlineLevel="2" x14ac:dyDescent="0.25">
      <c r="A253" s="133" t="s">
        <v>493</v>
      </c>
      <c r="B253" s="133"/>
      <c r="C253" s="133"/>
      <c r="D253" s="133"/>
      <c r="E253" s="133"/>
      <c r="F253" s="133"/>
      <c r="G253" s="133"/>
      <c r="I253" s="133" t="s">
        <v>547</v>
      </c>
      <c r="J253" s="133"/>
      <c r="K253" s="133"/>
      <c r="L253" s="133"/>
      <c r="M253" s="133"/>
      <c r="N253" s="133"/>
    </row>
    <row r="254" spans="1:14" s="4" customFormat="1" ht="15.75" outlineLevel="2" x14ac:dyDescent="0.25">
      <c r="A254" s="133" t="s">
        <v>494</v>
      </c>
      <c r="B254" s="133"/>
      <c r="C254" s="133"/>
      <c r="D254" s="133"/>
      <c r="E254" s="133"/>
      <c r="F254" s="133"/>
      <c r="G254" s="133"/>
      <c r="I254" s="133" t="s">
        <v>496</v>
      </c>
      <c r="J254" s="133"/>
      <c r="K254" s="133"/>
      <c r="L254" s="133"/>
      <c r="M254" s="133"/>
      <c r="N254" s="133"/>
    </row>
    <row r="255" spans="1:14" s="4" customFormat="1" ht="15.75" outlineLevel="2" x14ac:dyDescent="0.25">
      <c r="A255" s="133" t="s">
        <v>495</v>
      </c>
      <c r="B255" s="133"/>
      <c r="C255" s="133"/>
      <c r="D255" s="133"/>
      <c r="E255" s="133"/>
      <c r="F255" s="133"/>
      <c r="G255" s="133"/>
      <c r="I255" s="133" t="s">
        <v>497</v>
      </c>
      <c r="J255" s="133"/>
      <c r="K255" s="133"/>
      <c r="L255" s="133"/>
      <c r="M255" s="133"/>
      <c r="N255" s="133"/>
    </row>
    <row r="256" spans="1:14" s="4" customFormat="1" ht="15.75" outlineLevel="2" x14ac:dyDescent="0.25">
      <c r="A256" s="133" t="s">
        <v>151</v>
      </c>
      <c r="B256" s="133"/>
      <c r="C256" s="133"/>
      <c r="D256" s="133"/>
      <c r="E256" s="133"/>
      <c r="F256" s="133"/>
      <c r="G256" s="133"/>
      <c r="I256" s="133" t="s">
        <v>498</v>
      </c>
      <c r="J256" s="133"/>
      <c r="K256" s="133"/>
      <c r="L256" s="133"/>
      <c r="M256" s="133"/>
      <c r="N256" s="133"/>
    </row>
    <row r="257" spans="1:14" s="4" customFormat="1" ht="15.75" outlineLevel="2" x14ac:dyDescent="0.25">
      <c r="I257" s="133" t="s">
        <v>499</v>
      </c>
      <c r="J257" s="133"/>
      <c r="K257" s="133"/>
      <c r="L257" s="133"/>
      <c r="M257" s="133"/>
      <c r="N257" s="133"/>
    </row>
    <row r="258" spans="1:14" s="4" customFormat="1" ht="15.75" outlineLevel="2" x14ac:dyDescent="0.25">
      <c r="I258" s="133" t="s">
        <v>500</v>
      </c>
      <c r="J258" s="133"/>
      <c r="K258" s="133"/>
      <c r="L258" s="133"/>
      <c r="M258" s="133"/>
      <c r="N258" s="133"/>
    </row>
    <row r="259" spans="1:14" s="4" customFormat="1" ht="15.75" outlineLevel="2" x14ac:dyDescent="0.25">
      <c r="I259" s="133" t="s">
        <v>450</v>
      </c>
      <c r="J259" s="133"/>
      <c r="K259" s="133"/>
      <c r="L259" s="133"/>
      <c r="M259" s="133"/>
      <c r="N259" s="133"/>
    </row>
    <row r="260" spans="1:14" s="4" customFormat="1" ht="15.75" outlineLevel="2" x14ac:dyDescent="0.25">
      <c r="I260" s="133" t="s">
        <v>501</v>
      </c>
      <c r="J260" s="133"/>
      <c r="K260" s="133"/>
      <c r="L260" s="133"/>
      <c r="M260" s="133"/>
      <c r="N260" s="133"/>
    </row>
    <row r="261" spans="1:14" s="4" customFormat="1" ht="15.75" outlineLevel="2" x14ac:dyDescent="0.25">
      <c r="I261" s="133" t="s">
        <v>548</v>
      </c>
      <c r="J261" s="133"/>
      <c r="K261" s="133"/>
      <c r="L261" s="133"/>
      <c r="M261" s="133"/>
      <c r="N261" s="133"/>
    </row>
    <row r="262" spans="1:14" s="4" customFormat="1" ht="15.75" outlineLevel="2" x14ac:dyDescent="0.25">
      <c r="I262" s="133" t="s">
        <v>398</v>
      </c>
      <c r="J262" s="133"/>
      <c r="K262" s="133"/>
      <c r="L262" s="133"/>
      <c r="M262" s="133"/>
      <c r="N262" s="133"/>
    </row>
    <row r="263" spans="1:14" s="4" customFormat="1" ht="15.75" outlineLevel="2" x14ac:dyDescent="0.25">
      <c r="I263" s="133" t="s">
        <v>151</v>
      </c>
      <c r="J263" s="133"/>
      <c r="K263" s="133"/>
      <c r="L263" s="133"/>
      <c r="M263" s="133"/>
      <c r="N263" s="133"/>
    </row>
    <row r="264" spans="1:14" s="4" customFormat="1" ht="15.75" outlineLevel="1" x14ac:dyDescent="0.25">
      <c r="B264" s="3"/>
      <c r="C264" s="3"/>
      <c r="D264" s="3"/>
      <c r="E264" s="3"/>
      <c r="F264" s="3"/>
      <c r="G264" s="3"/>
      <c r="H264" s="3"/>
      <c r="I264" s="3"/>
      <c r="J264" s="3"/>
    </row>
    <row r="265" spans="1:14" s="4" customFormat="1" ht="15.75" outlineLevel="1" x14ac:dyDescent="0.25">
      <c r="A265" s="72" t="s">
        <v>514</v>
      </c>
      <c r="B265" s="3"/>
      <c r="C265" s="3"/>
      <c r="D265" s="3"/>
      <c r="E265" s="3"/>
      <c r="F265" s="3"/>
      <c r="G265" s="3"/>
      <c r="H265" s="3"/>
      <c r="I265" s="3"/>
      <c r="J265" s="3"/>
    </row>
    <row r="266" spans="1:14" s="4" customFormat="1" ht="15.75" outlineLevel="2" x14ac:dyDescent="0.25">
      <c r="A266" s="74" t="s">
        <v>509</v>
      </c>
      <c r="B266" s="3"/>
      <c r="C266" s="3"/>
      <c r="D266" s="3"/>
      <c r="E266" s="3"/>
      <c r="F266" s="3"/>
      <c r="G266" s="3"/>
      <c r="H266" s="3"/>
      <c r="I266" s="3"/>
      <c r="J266" s="3"/>
    </row>
    <row r="267" spans="1:14" s="4" customFormat="1" ht="15.75" outlineLevel="2" x14ac:dyDescent="0.25"/>
    <row r="268" spans="1:14" s="4" customFormat="1" ht="15.75" outlineLevel="2" x14ac:dyDescent="0.25">
      <c r="D268" s="2" t="s">
        <v>505</v>
      </c>
      <c r="E268" s="2" t="s">
        <v>506</v>
      </c>
      <c r="F268" s="2" t="s">
        <v>504</v>
      </c>
    </row>
    <row r="269" spans="1:14" s="4" customFormat="1" ht="15.75" outlineLevel="2" x14ac:dyDescent="0.25">
      <c r="D269" s="83" t="str" cm="1">
        <f t="array" ref="D269:F271">_xlfn.LET(
    _xlpm.trad, $A$250:$G$256,
    _xlpm.let_dyn, $I$250:$N$263,
    _xlpm.style, {"Trad";"LET";"diff"},
    _xlpm.r_trad, ROWS(_xlpm.trad),
    _xlpm.r_let, ROWS(_xlpm.let_dyn),
    _xlpm.lines, _xlfn.VSTACK(_xlpm.r_trad, _xlpm.r_let, _xlpm.r_trad - _xlpm.r_let),
    _xlpm.get_chars, _xlfn.LAMBDA(_xlpm.x, SUM(LEN(_xlpm.x))),
    _xlpm.c_trad, _xlpm.get_chars(_xlpm.trad),
    _xlpm.c_let, _xlpm.get_chars(_xlpm.let_dyn),
    _xlpm.chars, _xlfn.VSTACK(_xlpm.c_trad, _xlpm.c_let, _xlpm.c_trad - _xlpm.c_let),
    _xlpm.return, _xlfn.HSTACK(_xlpm.style, _xlpm.lines, _xlpm.chars),
    _xlpm.return
)</f>
        <v>Trad</v>
      </c>
      <c r="E269" s="17">
        <v>7</v>
      </c>
      <c r="F269" s="17">
        <v>121</v>
      </c>
    </row>
    <row r="270" spans="1:14" s="4" customFormat="1" ht="15.75" outlineLevel="2" x14ac:dyDescent="0.25">
      <c r="D270" s="83" t="str">
        <v>LET</v>
      </c>
      <c r="E270" s="17">
        <v>14</v>
      </c>
      <c r="F270" s="17">
        <v>288</v>
      </c>
    </row>
    <row r="271" spans="1:14" s="4" customFormat="1" ht="15.75" outlineLevel="2" x14ac:dyDescent="0.25">
      <c r="D271" s="89" t="str">
        <v>diff</v>
      </c>
      <c r="E271" s="89">
        <v>-7</v>
      </c>
      <c r="F271" s="89">
        <v>-167</v>
      </c>
    </row>
    <row r="272" spans="1:14" s="4" customFormat="1" ht="15.75" outlineLevel="1" x14ac:dyDescent="0.25"/>
    <row r="273" spans="1:8" s="4" customFormat="1" ht="15.75" outlineLevel="1" x14ac:dyDescent="0.25">
      <c r="A273" s="72" t="s">
        <v>549</v>
      </c>
    </row>
    <row r="274" spans="1:8" s="4" customFormat="1" ht="15.75" outlineLevel="2" x14ac:dyDescent="0.25">
      <c r="A274" s="74" t="s">
        <v>507</v>
      </c>
    </row>
    <row r="275" spans="1:8" s="4" customFormat="1" ht="15.75" outlineLevel="2" x14ac:dyDescent="0.25">
      <c r="A275" s="74" t="s">
        <v>512</v>
      </c>
    </row>
    <row r="276" spans="1:8" s="4" customFormat="1" ht="15.75" outlineLevel="2" x14ac:dyDescent="0.25"/>
    <row r="277" spans="1:8" s="4" customFormat="1" ht="15.75" outlineLevel="2" x14ac:dyDescent="0.25">
      <c r="D277" s="2" t="s">
        <v>505</v>
      </c>
      <c r="E277" s="2" t="s">
        <v>506</v>
      </c>
      <c r="F277" s="2" t="s">
        <v>504</v>
      </c>
      <c r="G277" s="2" t="s">
        <v>510</v>
      </c>
      <c r="H277" s="2" t="s">
        <v>511</v>
      </c>
    </row>
    <row r="278" spans="1:8" s="4" customFormat="1" ht="15.75" outlineLevel="2" x14ac:dyDescent="0.25">
      <c r="A278" s="78" t="s">
        <v>508</v>
      </c>
      <c r="B278" s="17">
        <v>20</v>
      </c>
      <c r="D278" s="83" t="str" cm="1">
        <f t="array" ref="D278:H280">_xlfn.LET(
    _xlpm.trad, $A$250:$G$256,
    _xlpm.let_dyn, $I$250:$N$263,
    _xlpm.data_n, $B$278,
    _xlpm.style, {"Trad";"LET";"diff"},
    _xlpm.stack, _xlfn.LAMBDA(_xlpm.t,_xlpm.r, _xlfn.VSTACK(_xlpm.t, _xlpm.r, _xlpm.t -_xlpm.r)),
    _xlpm.lines, _xlfn.LET(
        _xlpm.r_trad, ROWS(_xlpm.trad) * _xlpm.data_n,
        _xlpm.r_let, ROWS(_xlpm.let_dyn),
        _xlpm.stack(_xlpm.r_trad, _xlpm.r_let)
    ),
    _xlpm.chars, _xlfn.LET(
        _xlpm.get_chars, _xlfn.LAMBDA(_xlpm.x, SUM(LEN(_xlpm.x))),
        _xlpm.c_trad, _xlpm.get_chars(_xlpm.trad) * _xlpm.data_n,
        _xlpm.c_let, _xlpm.get_chars(_xlpm.let_dyn),
        _xlpm.stack(_xlpm.c_trad, _xlpm.c_let)
    ),
    _xlpm.ref_data, _xlfn.LET(
        _xlpm.rd_trad, 3 * _xlpm.data_n,
        _xlpm.rd_let, 1,
        _xlpm.stack(_xlpm.rd_trad, _xlpm.rd_let)
    ),
    _xlpm.ref_rules, _xlfn.LET(
        _xlpm.rr_trad, 2 * _xlpm.data_n,
        _xlpm.rr_let, 1,
        _xlpm.stack(_xlpm.rr_trad, _xlpm.rr_let)
    ),
    _xlpm.return, _xlfn.HSTACK(_xlpm.style, _xlpm.lines, _xlpm.chars, _xlpm.ref_data, _xlpm.ref_rules),
    _xlpm.return
)</f>
        <v>Trad</v>
      </c>
      <c r="E278" s="17">
        <v>140</v>
      </c>
      <c r="F278" s="17">
        <v>2420</v>
      </c>
      <c r="G278" s="17">
        <v>60</v>
      </c>
      <c r="H278" s="17">
        <v>40</v>
      </c>
    </row>
    <row r="279" spans="1:8" s="4" customFormat="1" ht="15.75" outlineLevel="2" x14ac:dyDescent="0.25">
      <c r="D279" s="83" t="str">
        <v>LET</v>
      </c>
      <c r="E279" s="17">
        <v>14</v>
      </c>
      <c r="F279" s="17">
        <v>288</v>
      </c>
      <c r="G279" s="17">
        <v>1</v>
      </c>
      <c r="H279" s="17">
        <v>1</v>
      </c>
    </row>
    <row r="280" spans="1:8" s="4" customFormat="1" ht="15.75" outlineLevel="2" x14ac:dyDescent="0.25">
      <c r="D280" s="89" t="str">
        <v>diff</v>
      </c>
      <c r="E280" s="89">
        <v>126</v>
      </c>
      <c r="F280" s="89">
        <v>2132</v>
      </c>
      <c r="G280" s="89">
        <v>59</v>
      </c>
      <c r="H280" s="90">
        <v>39</v>
      </c>
    </row>
    <row r="281" spans="1:8" s="4" customFormat="1" ht="15.75" outlineLevel="1" x14ac:dyDescent="0.25">
      <c r="H281" s="88"/>
    </row>
    <row r="282" spans="1:8" s="4" customFormat="1" ht="15.75" x14ac:dyDescent="0.25">
      <c r="H282" s="88"/>
    </row>
    <row r="283" spans="1:8" ht="20.25" x14ac:dyDescent="0.35">
      <c r="A283" s="12" t="s">
        <v>577</v>
      </c>
    </row>
    <row r="284" spans="1:8" outlineLevel="1" x14ac:dyDescent="0.3"/>
    <row r="285" spans="1:8" outlineLevel="1" x14ac:dyDescent="0.3">
      <c r="D285" s="129" t="s">
        <v>159</v>
      </c>
      <c r="E285" s="129"/>
      <c r="F285" s="129"/>
      <c r="G285" s="129"/>
      <c r="H285" s="129"/>
    </row>
    <row r="286" spans="1:8" outlineLevel="1" x14ac:dyDescent="0.3">
      <c r="D286" s="131" t="s">
        <v>169</v>
      </c>
      <c r="E286" s="131"/>
      <c r="F286" s="131"/>
      <c r="G286" s="131"/>
      <c r="H286" s="131"/>
    </row>
    <row r="287" spans="1:8" outlineLevel="1" x14ac:dyDescent="0.3">
      <c r="D287" s="131"/>
      <c r="E287" s="131"/>
      <c r="F287" s="131"/>
      <c r="G287" s="131"/>
      <c r="H287" s="131"/>
    </row>
    <row r="288" spans="1:8" outlineLevel="1" x14ac:dyDescent="0.3">
      <c r="D288" s="33"/>
      <c r="E288" s="33"/>
      <c r="F288" s="33"/>
      <c r="G288" s="33"/>
      <c r="H288" s="33"/>
    </row>
    <row r="289" spans="1:19" outlineLevel="1" x14ac:dyDescent="0.3">
      <c r="D289" s="136" t="s">
        <v>89</v>
      </c>
      <c r="E289" s="136"/>
      <c r="F289" s="136"/>
      <c r="G289" s="136"/>
      <c r="H289" s="136"/>
    </row>
    <row r="290" spans="1:19" outlineLevel="1" x14ac:dyDescent="0.3">
      <c r="D290" s="136" t="s">
        <v>160</v>
      </c>
      <c r="E290" s="136"/>
      <c r="F290" s="136"/>
      <c r="G290" s="136"/>
      <c r="H290" s="136"/>
    </row>
    <row r="291" spans="1:19" outlineLevel="1" x14ac:dyDescent="0.3">
      <c r="D291" s="136" t="s">
        <v>161</v>
      </c>
      <c r="E291" s="136"/>
      <c r="F291" s="136"/>
      <c r="G291" s="136"/>
      <c r="H291" s="136"/>
    </row>
    <row r="292" spans="1:19" outlineLevel="1" x14ac:dyDescent="0.3">
      <c r="D292" s="136" t="s">
        <v>162</v>
      </c>
      <c r="E292" s="136"/>
      <c r="F292" s="136"/>
      <c r="G292" s="136"/>
      <c r="H292" s="136"/>
    </row>
    <row r="293" spans="1:19" outlineLevel="1" x14ac:dyDescent="0.3">
      <c r="D293" s="136" t="s">
        <v>163</v>
      </c>
      <c r="E293" s="136"/>
      <c r="F293" s="136"/>
      <c r="G293" s="136"/>
      <c r="H293" s="136"/>
      <c r="R293" s="99"/>
    </row>
    <row r="294" spans="1:19" outlineLevel="1" x14ac:dyDescent="0.3">
      <c r="B294" s="26" t="s">
        <v>101</v>
      </c>
      <c r="D294" s="33"/>
      <c r="E294" s="33"/>
      <c r="F294" s="33"/>
      <c r="G294" s="33"/>
      <c r="H294" s="33"/>
      <c r="J294" s="22" t="s">
        <v>4</v>
      </c>
      <c r="N294" s="35" t="s">
        <v>345</v>
      </c>
      <c r="R294" s="35" t="s">
        <v>544</v>
      </c>
    </row>
    <row r="295" spans="1:19" ht="20.25" customHeight="1" outlineLevel="1" x14ac:dyDescent="0.35">
      <c r="A295" s="55" t="s">
        <v>9</v>
      </c>
      <c r="B295" s="31">
        <f>($B$297*$B$298)/$B$296</f>
        <v>2000</v>
      </c>
      <c r="C295" s="56" t="s">
        <v>167</v>
      </c>
      <c r="D295" s="129" t="s">
        <v>170</v>
      </c>
      <c r="E295" s="129"/>
      <c r="F295" s="129"/>
      <c r="G295" s="129"/>
      <c r="H295" s="129"/>
      <c r="I295" s="29" t="s">
        <v>9</v>
      </c>
      <c r="J295" s="20">
        <f>_xlfn.LET(
    _xlpm.v_1, $B$296,
    _xlpm.c_2, $B$297,
    _xlpm.v_2, $B$298,
    _xlpm.c_1, (_xlpm.c_2 * _xlpm.v_2) / _xlpm.v_1,
    _xlpm.return, _xlpm.c_1,
    _xlpm.return
)</f>
        <v>2000</v>
      </c>
      <c r="K295" s="30" t="s">
        <v>167</v>
      </c>
      <c r="M295" s="19" t="s">
        <v>9</v>
      </c>
      <c r="N295" s="34">
        <v>2000</v>
      </c>
      <c r="O295" s="28" t="s">
        <v>167</v>
      </c>
      <c r="Q295" s="19" t="s">
        <v>9</v>
      </c>
      <c r="R295" s="34">
        <v>2000</v>
      </c>
      <c r="S295" s="28" t="s">
        <v>167</v>
      </c>
    </row>
    <row r="296" spans="1:19" outlineLevel="1" x14ac:dyDescent="0.3">
      <c r="A296" s="19" t="s">
        <v>12</v>
      </c>
      <c r="B296" s="17">
        <v>5</v>
      </c>
      <c r="C296" s="28" t="s">
        <v>168</v>
      </c>
      <c r="D296" s="131" t="s">
        <v>171</v>
      </c>
      <c r="E296" s="131"/>
      <c r="F296" s="131"/>
      <c r="G296" s="131"/>
      <c r="H296" s="131"/>
      <c r="I296" s="19" t="s">
        <v>12</v>
      </c>
      <c r="J296" s="17">
        <v>5</v>
      </c>
      <c r="K296" s="28" t="s">
        <v>168</v>
      </c>
      <c r="M296" s="19" t="s">
        <v>12</v>
      </c>
      <c r="N296" s="34">
        <v>5</v>
      </c>
      <c r="O296" s="28" t="s">
        <v>168</v>
      </c>
      <c r="Q296" s="19" t="s">
        <v>12</v>
      </c>
      <c r="R296" s="34">
        <v>5</v>
      </c>
      <c r="S296" s="28" t="s">
        <v>168</v>
      </c>
    </row>
    <row r="297" spans="1:19" outlineLevel="1" x14ac:dyDescent="0.3">
      <c r="A297" s="19" t="s">
        <v>11</v>
      </c>
      <c r="B297" s="17">
        <v>500</v>
      </c>
      <c r="C297" s="28" t="s">
        <v>167</v>
      </c>
      <c r="D297" s="131"/>
      <c r="E297" s="131"/>
      <c r="F297" s="131"/>
      <c r="G297" s="131"/>
      <c r="H297" s="131"/>
      <c r="I297" s="19" t="s">
        <v>11</v>
      </c>
      <c r="J297" s="17">
        <v>500</v>
      </c>
      <c r="K297" s="28" t="s">
        <v>167</v>
      </c>
      <c r="M297" s="19" t="s">
        <v>11</v>
      </c>
      <c r="N297" s="34">
        <v>500</v>
      </c>
      <c r="O297" s="28" t="s">
        <v>167</v>
      </c>
      <c r="Q297" s="19" t="s">
        <v>11</v>
      </c>
      <c r="R297" s="34">
        <v>500</v>
      </c>
      <c r="S297" s="28" t="s">
        <v>167</v>
      </c>
    </row>
    <row r="298" spans="1:19" outlineLevel="1" x14ac:dyDescent="0.3">
      <c r="A298" s="19" t="s">
        <v>10</v>
      </c>
      <c r="B298" s="17">
        <v>20</v>
      </c>
      <c r="C298" s="28" t="s">
        <v>168</v>
      </c>
      <c r="D298" s="33"/>
      <c r="E298" s="33"/>
      <c r="F298" s="33"/>
      <c r="G298" s="33"/>
      <c r="H298" s="33"/>
      <c r="I298" s="19" t="s">
        <v>10</v>
      </c>
      <c r="J298" s="17">
        <v>20</v>
      </c>
      <c r="K298" s="28" t="s">
        <v>168</v>
      </c>
      <c r="M298" s="19" t="s">
        <v>10</v>
      </c>
      <c r="N298" s="34"/>
      <c r="O298" s="28" t="s">
        <v>168</v>
      </c>
      <c r="Q298" s="19" t="s">
        <v>10</v>
      </c>
      <c r="R298" s="34"/>
      <c r="S298" s="28" t="s">
        <v>168</v>
      </c>
    </row>
    <row r="299" spans="1:19" outlineLevel="1" x14ac:dyDescent="0.3">
      <c r="D299" s="33"/>
      <c r="E299" s="33"/>
      <c r="F299" s="33"/>
      <c r="G299" s="33"/>
      <c r="H299" s="33"/>
    </row>
    <row r="300" spans="1:19" ht="20.25" outlineLevel="1" x14ac:dyDescent="0.35">
      <c r="A300" s="19" t="s">
        <v>9</v>
      </c>
      <c r="B300" s="17">
        <v>2000</v>
      </c>
      <c r="C300" s="28" t="s">
        <v>167</v>
      </c>
      <c r="D300" s="129" t="s">
        <v>172</v>
      </c>
      <c r="E300" s="129"/>
      <c r="F300" s="129"/>
      <c r="G300" s="129"/>
      <c r="H300" s="129"/>
      <c r="I300" s="19" t="s">
        <v>9</v>
      </c>
      <c r="J300" s="17">
        <v>2000</v>
      </c>
      <c r="K300" s="28" t="s">
        <v>167</v>
      </c>
      <c r="N300" s="34" cm="1">
        <f t="array" ref="N300">DILUTIONEQ(N295,N296,N297,N298)</f>
        <v>20</v>
      </c>
      <c r="R300" s="34" cm="1">
        <f t="array" ref="R300">DILUTIONEQ_ADV(R295,R296,R297,R298)</f>
        <v>20</v>
      </c>
    </row>
    <row r="301" spans="1:19" outlineLevel="1" x14ac:dyDescent="0.3">
      <c r="A301" s="55" t="s">
        <v>12</v>
      </c>
      <c r="B301" s="31">
        <f>($B$302*$B$303)/$B$300</f>
        <v>5</v>
      </c>
      <c r="C301" s="56" t="s">
        <v>168</v>
      </c>
      <c r="D301" s="131" t="s">
        <v>173</v>
      </c>
      <c r="E301" s="131"/>
      <c r="F301" s="131"/>
      <c r="G301" s="131"/>
      <c r="H301" s="131"/>
      <c r="I301" s="29" t="s">
        <v>12</v>
      </c>
      <c r="J301" s="20">
        <f>_xlfn.LET(
    _xlpm.c_1, $B$300,
    _xlpm.c_2, $B$302,
    _xlpm.v_2, $B$303,
    _xlpm.v_1, (_xlpm.c_2 * _xlpm.v_2) / _xlpm.c_1,
    _xlpm.return, _xlpm.v_1,
    _xlpm.return
)</f>
        <v>5</v>
      </c>
      <c r="K301" s="30" t="s">
        <v>168</v>
      </c>
    </row>
    <row r="302" spans="1:19" outlineLevel="1" x14ac:dyDescent="0.3">
      <c r="A302" s="19" t="s">
        <v>11</v>
      </c>
      <c r="B302" s="17">
        <v>500</v>
      </c>
      <c r="C302" s="28" t="s">
        <v>167</v>
      </c>
      <c r="D302" s="131"/>
      <c r="E302" s="131"/>
      <c r="F302" s="131"/>
      <c r="G302" s="131"/>
      <c r="H302" s="131"/>
      <c r="I302" s="19" t="s">
        <v>11</v>
      </c>
      <c r="J302" s="17">
        <v>500</v>
      </c>
      <c r="K302" s="28" t="s">
        <v>167</v>
      </c>
    </row>
    <row r="303" spans="1:19" outlineLevel="1" x14ac:dyDescent="0.3">
      <c r="A303" s="19" t="s">
        <v>10</v>
      </c>
      <c r="B303" s="17">
        <v>20</v>
      </c>
      <c r="C303" s="28" t="s">
        <v>168</v>
      </c>
      <c r="D303" s="33"/>
      <c r="E303" s="33"/>
      <c r="F303" s="33"/>
      <c r="G303" s="33"/>
      <c r="H303" s="33"/>
      <c r="I303" s="19" t="s">
        <v>10</v>
      </c>
      <c r="J303" s="17">
        <v>20</v>
      </c>
      <c r="K303" s="28" t="s">
        <v>168</v>
      </c>
    </row>
    <row r="304" spans="1:19" outlineLevel="1" x14ac:dyDescent="0.3">
      <c r="D304" s="33"/>
      <c r="E304" s="33"/>
      <c r="F304" s="33"/>
      <c r="G304" s="33"/>
      <c r="H304" s="33"/>
    </row>
    <row r="305" spans="1:36" ht="20.25" outlineLevel="1" x14ac:dyDescent="0.35">
      <c r="A305" s="19" t="s">
        <v>9</v>
      </c>
      <c r="B305" s="17">
        <v>2000</v>
      </c>
      <c r="C305" s="28" t="s">
        <v>167</v>
      </c>
      <c r="D305" s="129" t="s">
        <v>174</v>
      </c>
      <c r="E305" s="129"/>
      <c r="F305" s="129"/>
      <c r="G305" s="129"/>
      <c r="H305" s="129"/>
      <c r="I305" s="19" t="s">
        <v>9</v>
      </c>
      <c r="J305" s="17">
        <v>2000</v>
      </c>
      <c r="K305" s="28" t="s">
        <v>167</v>
      </c>
    </row>
    <row r="306" spans="1:36" outlineLevel="1" x14ac:dyDescent="0.3">
      <c r="A306" s="19" t="s">
        <v>12</v>
      </c>
      <c r="B306" s="17">
        <v>5</v>
      </c>
      <c r="C306" s="28" t="s">
        <v>168</v>
      </c>
      <c r="D306" s="131" t="s">
        <v>175</v>
      </c>
      <c r="E306" s="131"/>
      <c r="F306" s="131"/>
      <c r="G306" s="131"/>
      <c r="H306" s="131"/>
      <c r="I306" s="19" t="s">
        <v>12</v>
      </c>
      <c r="J306" s="17">
        <v>5</v>
      </c>
      <c r="K306" s="28" t="s">
        <v>168</v>
      </c>
    </row>
    <row r="307" spans="1:36" outlineLevel="1" x14ac:dyDescent="0.3">
      <c r="A307" s="55" t="s">
        <v>11</v>
      </c>
      <c r="B307" s="31">
        <f>($B$305*$B$306)/$B$308</f>
        <v>500</v>
      </c>
      <c r="C307" s="56" t="s">
        <v>167</v>
      </c>
      <c r="D307" s="131"/>
      <c r="E307" s="131"/>
      <c r="F307" s="131"/>
      <c r="G307" s="131"/>
      <c r="H307" s="131"/>
      <c r="I307" s="29" t="s">
        <v>11</v>
      </c>
      <c r="J307" s="20">
        <f>_xlfn.LET(
    _xlpm.c_1, $B$305,
    _xlpm.v_1, $B$306,
    _xlpm.v_2, $B$308,
    _xlpm.c_2, (_xlpm.c_1 * _xlpm.v_1) / _xlpm.v_2,
    _xlpm.return, _xlpm.c_2,
    _xlpm.return
)</f>
        <v>500</v>
      </c>
      <c r="K307" s="30" t="s">
        <v>167</v>
      </c>
      <c r="N307" s="26" t="s">
        <v>346</v>
      </c>
    </row>
    <row r="308" spans="1:36" outlineLevel="1" x14ac:dyDescent="0.3">
      <c r="A308" s="19" t="s">
        <v>10</v>
      </c>
      <c r="B308" s="17">
        <v>20</v>
      </c>
      <c r="C308" s="28" t="s">
        <v>168</v>
      </c>
      <c r="D308" s="33"/>
      <c r="E308" s="33"/>
      <c r="F308" s="33"/>
      <c r="G308" s="33"/>
      <c r="H308" s="33"/>
      <c r="I308" s="19" t="s">
        <v>10</v>
      </c>
      <c r="J308" s="17">
        <v>20</v>
      </c>
      <c r="K308" s="28" t="s">
        <v>168</v>
      </c>
      <c r="M308" s="19" t="s">
        <v>9</v>
      </c>
      <c r="N308" s="31">
        <v>2000</v>
      </c>
      <c r="O308" s="28" t="s">
        <v>167</v>
      </c>
    </row>
    <row r="309" spans="1:36" outlineLevel="1" x14ac:dyDescent="0.3">
      <c r="D309" s="33"/>
      <c r="E309" s="33"/>
      <c r="F309" s="33"/>
      <c r="G309" s="33"/>
      <c r="H309" s="33"/>
      <c r="M309" s="19" t="s">
        <v>12</v>
      </c>
      <c r="N309" s="31">
        <v>5</v>
      </c>
      <c r="O309" s="28" t="s">
        <v>168</v>
      </c>
    </row>
    <row r="310" spans="1:36" ht="20.25" outlineLevel="1" x14ac:dyDescent="0.35">
      <c r="A310" s="19" t="s">
        <v>9</v>
      </c>
      <c r="B310" s="17">
        <v>2000</v>
      </c>
      <c r="C310" s="28" t="s">
        <v>167</v>
      </c>
      <c r="D310" s="129" t="s">
        <v>176</v>
      </c>
      <c r="E310" s="129"/>
      <c r="F310" s="129"/>
      <c r="G310" s="129"/>
      <c r="H310" s="129"/>
      <c r="I310" s="19" t="s">
        <v>9</v>
      </c>
      <c r="J310" s="17">
        <v>2000</v>
      </c>
      <c r="K310" s="28" t="s">
        <v>167</v>
      </c>
      <c r="M310" s="19" t="s">
        <v>11</v>
      </c>
      <c r="N310" s="31"/>
      <c r="O310" s="28" t="s">
        <v>167</v>
      </c>
    </row>
    <row r="311" spans="1:36" ht="18.75" customHeight="1" outlineLevel="1" x14ac:dyDescent="0.3">
      <c r="A311" s="19" t="s">
        <v>12</v>
      </c>
      <c r="B311" s="17">
        <v>5</v>
      </c>
      <c r="C311" s="28" t="s">
        <v>168</v>
      </c>
      <c r="D311" s="131" t="s">
        <v>177</v>
      </c>
      <c r="E311" s="131"/>
      <c r="F311" s="131"/>
      <c r="G311" s="131"/>
      <c r="H311" s="131"/>
      <c r="I311" s="19" t="s">
        <v>12</v>
      </c>
      <c r="J311" s="17">
        <v>5</v>
      </c>
      <c r="K311" s="28" t="s">
        <v>168</v>
      </c>
      <c r="M311" s="19" t="s">
        <v>10</v>
      </c>
      <c r="N311" s="31">
        <v>20</v>
      </c>
      <c r="O311" s="28" t="s">
        <v>168</v>
      </c>
    </row>
    <row r="312" spans="1:36" ht="18.75" customHeight="1" outlineLevel="1" x14ac:dyDescent="0.3">
      <c r="A312" s="19" t="s">
        <v>11</v>
      </c>
      <c r="B312" s="17">
        <v>500</v>
      </c>
      <c r="C312" s="28" t="s">
        <v>167</v>
      </c>
      <c r="D312" s="131"/>
      <c r="E312" s="131"/>
      <c r="F312" s="131"/>
      <c r="G312" s="131"/>
      <c r="H312" s="131"/>
      <c r="I312" s="19" t="s">
        <v>11</v>
      </c>
      <c r="J312" s="17">
        <v>500</v>
      </c>
      <c r="K312" s="28" t="s">
        <v>167</v>
      </c>
    </row>
    <row r="313" spans="1:36" outlineLevel="1" x14ac:dyDescent="0.3">
      <c r="A313" s="55" t="s">
        <v>10</v>
      </c>
      <c r="B313" s="31">
        <f>($B$310*$B$311)/$B$312</f>
        <v>20</v>
      </c>
      <c r="C313" s="56" t="s">
        <v>168</v>
      </c>
      <c r="I313" s="29" t="s">
        <v>10</v>
      </c>
      <c r="J313" s="20">
        <f>_xlfn.LET(
    _xlpm.c_1, $B$310,
    _xlpm.v_1, $B$311,
    _xlpm.c_2, $B$312,
    _xlpm.v_2, (_xlpm.c_1 * _xlpm.v_1) / _xlpm.c_2,
    _xlpm.return, _xlpm.v_2,
    _xlpm.return
)</f>
        <v>20</v>
      </c>
      <c r="K313" s="30" t="s">
        <v>168</v>
      </c>
      <c r="N313" s="31" cm="1">
        <f t="array" ref="N313">_xlfn.IFS(
(--(OR($N$308="",ISBLANK($N$308)))+
--(OR($N$309="",ISBLANK($N$309)))+
--(OR($N$310="",ISBLANK($N$310)))+
--(OR($N$311="",ISBLANK($N$311))))&lt;&gt;1,
"#UNKs!",
OR($N$308="",ISBLANK($N$308)),
($N$310*$N$311)/$N$309,
OR($N$309="",ISBLANK($N$309)),
($N$310*$N$311)/$N$308,
OR($N$310="",ISBLANK($N$310)),
($N$308*$N$309)/$N$311,
OR($N$311="",ISBLANK($N$311)),
($N$308*$N$309)/$N$310,
TRUE,"#OMITs!"
)</f>
        <v>500</v>
      </c>
    </row>
    <row r="314" spans="1:36" s="3" customFormat="1" ht="15" x14ac:dyDescent="0.25"/>
    <row r="315" spans="1:36" ht="20.25" x14ac:dyDescent="0.35">
      <c r="A315" s="12" t="s">
        <v>570</v>
      </c>
    </row>
    <row r="316" spans="1:36" outlineLevel="1" x14ac:dyDescent="0.3">
      <c r="A316" s="72" t="s">
        <v>458</v>
      </c>
    </row>
    <row r="317" spans="1:36" s="3" customFormat="1" outlineLevel="2" x14ac:dyDescent="0.3">
      <c r="A317" s="50" t="s">
        <v>459</v>
      </c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</row>
    <row r="318" spans="1:36" s="3" customFormat="1" outlineLevel="2" x14ac:dyDescent="0.3">
      <c r="A318" s="50" t="s">
        <v>463</v>
      </c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</row>
    <row r="319" spans="1:36" s="3" customFormat="1" outlineLevel="2" x14ac:dyDescent="0.3">
      <c r="A319" s="53" t="s">
        <v>461</v>
      </c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</row>
    <row r="320" spans="1:36" s="3" customFormat="1" outlineLevel="2" x14ac:dyDescent="0.3">
      <c r="A320" s="53" t="s">
        <v>462</v>
      </c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</row>
    <row r="321" spans="1:36" s="3" customFormat="1" outlineLevel="2" x14ac:dyDescent="0.3">
      <c r="A321" s="50" t="s">
        <v>466</v>
      </c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</row>
    <row r="322" spans="1:36" s="3" customFormat="1" outlineLevel="2" x14ac:dyDescent="0.3">
      <c r="A322" s="53" t="s">
        <v>465</v>
      </c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</row>
    <row r="323" spans="1:36" s="3" customFormat="1" outlineLevel="2" x14ac:dyDescent="0.3">
      <c r="A323" s="53" t="s">
        <v>464</v>
      </c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</row>
    <row r="324" spans="1:36" s="3" customFormat="1" outlineLevel="2" x14ac:dyDescent="0.3">
      <c r="A324" s="53" t="s">
        <v>467</v>
      </c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</row>
    <row r="325" spans="1:36" s="3" customFormat="1" outlineLevel="2" x14ac:dyDescent="0.3">
      <c r="A325" s="53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</row>
    <row r="326" spans="1:36" s="3" customFormat="1" outlineLevel="2" x14ac:dyDescent="0.3">
      <c r="A326" s="74" t="str">
        <f>"What improvements can be made to the LET formulas in cells " &amp; ADDRESS(ROW(J339),COLUMN(J339),4) &amp; ":" &amp; ADDRESS(ROW(J348),COLUMN(J348),4) &amp; "?"</f>
        <v>What improvements can be made to the LET formulas in cells J339:J348?</v>
      </c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</row>
    <row r="327" spans="1:36" s="3" customFormat="1" outlineLevel="2" x14ac:dyDescent="0.3">
      <c r="A327" s="74" t="s">
        <v>460</v>
      </c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</row>
    <row r="328" spans="1:36" s="3" customFormat="1" outlineLevel="2" x14ac:dyDescent="0.3">
      <c r="A328" s="74" t="s">
        <v>468</v>
      </c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</row>
    <row r="329" spans="1:36" s="3" customFormat="1" outlineLevel="1" x14ac:dyDescent="0.3">
      <c r="A329" s="74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</row>
    <row r="330" spans="1:36" s="3" customFormat="1" outlineLevel="1" x14ac:dyDescent="0.3">
      <c r="A330" s="72" t="s">
        <v>553</v>
      </c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</row>
    <row r="331" spans="1:36" outlineLevel="2" x14ac:dyDescent="0.3">
      <c r="C331" s="132" t="s">
        <v>406</v>
      </c>
      <c r="D331" s="132"/>
      <c r="E331" s="132"/>
      <c r="F331" s="132"/>
      <c r="G331" s="132"/>
      <c r="H331" s="132"/>
      <c r="I331" s="132"/>
    </row>
    <row r="332" spans="1:36" outlineLevel="2" x14ac:dyDescent="0.3">
      <c r="B332" s="77" t="s">
        <v>363</v>
      </c>
      <c r="C332" s="70">
        <v>300</v>
      </c>
      <c r="D332" s="70">
        <v>133</v>
      </c>
      <c r="E332" s="70">
        <v>92</v>
      </c>
      <c r="F332" s="69">
        <v>75.5</v>
      </c>
      <c r="G332" s="68">
        <v>0.72499999999999998</v>
      </c>
      <c r="H332" s="69">
        <v>13.7</v>
      </c>
      <c r="I332" s="70">
        <v>75</v>
      </c>
    </row>
    <row r="333" spans="1:36" outlineLevel="2" x14ac:dyDescent="0.3">
      <c r="B333" s="67"/>
      <c r="C333" s="67"/>
      <c r="D333" s="67"/>
      <c r="E333" s="67"/>
      <c r="F333" s="67"/>
      <c r="G333" s="67"/>
      <c r="H333" s="67"/>
      <c r="I333" s="67"/>
    </row>
    <row r="334" spans="1:36" outlineLevel="2" x14ac:dyDescent="0.3">
      <c r="B334" s="67"/>
      <c r="C334" s="132" t="s">
        <v>405</v>
      </c>
      <c r="D334" s="132"/>
      <c r="E334" s="132"/>
      <c r="F334" s="132"/>
      <c r="G334" s="132"/>
      <c r="H334" s="132"/>
      <c r="I334" s="132"/>
      <c r="M334" s="71" t="s">
        <v>407</v>
      </c>
    </row>
    <row r="335" spans="1:36" outlineLevel="2" x14ac:dyDescent="0.3">
      <c r="B335" s="77" t="s">
        <v>362</v>
      </c>
      <c r="C335" s="70">
        <v>50</v>
      </c>
      <c r="D335" s="70">
        <v>10</v>
      </c>
      <c r="E335" s="70">
        <v>7</v>
      </c>
      <c r="F335" s="69">
        <v>1.1000000000000001</v>
      </c>
      <c r="G335" s="68">
        <v>0.03</v>
      </c>
      <c r="H335" s="69">
        <v>0.4</v>
      </c>
      <c r="I335" s="70">
        <v>20</v>
      </c>
      <c r="M335" s="70">
        <v>1</v>
      </c>
    </row>
    <row r="336" spans="1:36" outlineLevel="2" x14ac:dyDescent="0.3">
      <c r="B336" s="77" t="s">
        <v>50</v>
      </c>
      <c r="C336" s="70">
        <v>100</v>
      </c>
      <c r="D336" s="70">
        <v>20</v>
      </c>
      <c r="E336" s="70">
        <v>11</v>
      </c>
      <c r="F336" s="69">
        <v>2.1</v>
      </c>
      <c r="G336" s="68">
        <v>0.06</v>
      </c>
      <c r="H336" s="69">
        <v>0.8</v>
      </c>
      <c r="I336" s="70">
        <v>35</v>
      </c>
      <c r="M336" s="70">
        <v>3</v>
      </c>
    </row>
    <row r="337" spans="1:36" outlineLevel="2" x14ac:dyDescent="0.3">
      <c r="C337" s="67"/>
      <c r="D337" s="67"/>
      <c r="E337" s="67"/>
      <c r="F337" s="67"/>
      <c r="G337" s="67"/>
      <c r="H337" s="67"/>
      <c r="I337" s="67"/>
    </row>
    <row r="338" spans="1:36" ht="20.25" outlineLevel="2" x14ac:dyDescent="0.35">
      <c r="B338" s="59" t="s">
        <v>355</v>
      </c>
      <c r="C338" s="59" t="s">
        <v>356</v>
      </c>
      <c r="D338" s="59" t="s">
        <v>357</v>
      </c>
      <c r="E338" s="59" t="s">
        <v>358</v>
      </c>
      <c r="F338" s="59" t="s">
        <v>359</v>
      </c>
      <c r="G338" s="59" t="s">
        <v>360</v>
      </c>
      <c r="H338" s="59" t="s">
        <v>403</v>
      </c>
      <c r="I338" s="59" t="s">
        <v>361</v>
      </c>
      <c r="J338" s="73" t="s">
        <v>364</v>
      </c>
      <c r="K338" s="73" t="s">
        <v>389</v>
      </c>
      <c r="M338" s="76" t="s">
        <v>400</v>
      </c>
    </row>
    <row r="339" spans="1:36" outlineLevel="2" x14ac:dyDescent="0.3">
      <c r="B339" s="16">
        <v>1</v>
      </c>
      <c r="C339" s="70">
        <v>300</v>
      </c>
      <c r="D339" s="70"/>
      <c r="E339" s="70">
        <v>91.637370333648832</v>
      </c>
      <c r="F339" s="70">
        <v>73.602300538765675</v>
      </c>
      <c r="G339" s="68">
        <v>0.73072805928399798</v>
      </c>
      <c r="H339" s="70"/>
      <c r="I339" s="70">
        <v>77.457247310105274</v>
      </c>
      <c r="J339" s="20" t="str">
        <f>_xlfn.LET(
    _xlpm.FN, IF(ABS(C339-$C$332) &gt;= $C$336, 3, IF(ABS(C339-$C$332) &gt;= $C$335, 1, 0)),
    _xlpm.Cd, IF(ABS(D339-$D$332) &gt;= $D$336, 3, IF(ABS(D339-$D$332) &gt;= $D$335, 1, 0)),
    _xlpm.HVK, IF(ABS(E339-$E$332) &gt;= $E$336, 3, IF(ABS(E339-$E$332) &gt;= $E$335, 1, 0)),
    _xlpm.Mill, IF(ABS(F339-$F$332) &gt;= $F$336, 3, IF(ABS(F339-$F$332) &gt;= $F$335, 1, 0)),
    _xlpm.Ash, IF(ABS(G339-$G$332) &gt;= $G$336, 3, IF(ABS(G339-$G$332) &gt;= $G$335, 1, 0)),
    _xlpm.Pro, IF(ABS(H339-$H$332) &gt;= $H$336, 3, IF(ABS(H339-$H$332) &gt;= $H$335, 1, 0)),
    _xlpm.GI, IF(ABS(I339-$I$332) &gt;= $I$336, 3, IF(ABS(I339-$I$332) &gt;= $I$335, 1, 0)),
    _xlpm.demerit, SUM(_xlpm.FN, _xlpm.Cd, _xlpm.HVK, _xlpm.Mill, _xlpm.Ash, _xlpm.Pro, _xlpm.GI),
    IF(
        OR(C339="", D339="", E339="", F339="", G339="", H339="", I339=""),
        "",
        IF(_xlpm.demerit &lt; 3, "Pass", "Discuss")
    )
)</f>
        <v/>
      </c>
      <c r="K339" s="20" t="str" cm="1">
        <f t="array" ref="K339">_xlfn.LET(
    _xlpm.s_flag, 1,
    _xlpm.s_poor, 3,
    _xlpm.max_demrits, 3,
    _xlpm.get_score, _xlfn.LAMBDA(_xlpm.val,_xlpm.exp,_xlpm.flag,_xlpm.poor,
        _xlfn.LET(
            _xlpm.abs_diff, ABS(_xlpm.val - _xlpm.exp),
            IF(_xlpm.abs_diff &gt;= _xlpm.poor, _xlpm.s_poor, IF(_xlpm.abs_diff &gt;= _xlpm.flag, _xlpm.s_flag, 0))
        )
    ),
    _xlpm.FN, _xlpm.get_score(C339, $C$332, $C$335, $C$336),
    _xlpm.Cd, _xlpm.get_score(D339, $D$332, $D$335, $D$336),
    _xlpm.HVK, _xlpm.get_score(E339, $E$332, $E$335, $E$336),
    _xlpm.Mill, _xlpm.get_score(F339, $F$332, $F$335, $F$336),
    _xlpm.Ash, _xlpm.get_score(G339, $G$332, $G$335, $G$336),
    _xlpm.Pro, _xlpm.get_score(H339, $H$332, $H$335, $H$336),
    _xlpm.GI, _xlpm.get_score(I339, $I$332, $I$335, $I$336),
    _xlpm.demerit, SUM(_xlpm.FN, _xlpm.Cd, _xlpm.HVK, _xlpm.Mill, _xlpm.Ash, _xlpm.Pro, _xlpm.GI),
    _xlpm.is_blk, OR(C339="", D339="", E339="", F339="", G339="", H339="", I339=""),
    _xlpm.msg, IF(_xlpm.demerit &lt; _xlpm.max_demrits, "Pass", "Discuss"),
    _xlpm.return, IF(_xlpm.is_blk, "", _xlpm.msg),
    _xlpm.return
)</f>
        <v/>
      </c>
      <c r="M339" s="34" t="str" cm="1">
        <f t="array" ref="M339:M348">MERIT_ASSESSMENT(C339:I348,C332:I332,C338:I338,C335:I336,M335:M336,M336)</f>
        <v>[1] BLK: Cd, Pro</v>
      </c>
      <c r="N339" s="67"/>
      <c r="O339" s="67"/>
      <c r="P339" s="67"/>
      <c r="Q339" s="67"/>
      <c r="R339" s="67"/>
    </row>
    <row r="340" spans="1:36" outlineLevel="2" x14ac:dyDescent="0.3">
      <c r="B340" s="16">
        <v>2</v>
      </c>
      <c r="C340" s="70">
        <v>252.47478343469157</v>
      </c>
      <c r="D340" s="70">
        <v>151.67218293889272</v>
      </c>
      <c r="E340" s="70">
        <v>88.902798516441791</v>
      </c>
      <c r="F340" s="69">
        <v>75.767237563058785</v>
      </c>
      <c r="G340" s="68">
        <v>0.71669489687928178</v>
      </c>
      <c r="H340" s="69">
        <v>13.94533886238805</v>
      </c>
      <c r="I340" s="70">
        <v>65.132971042994271</v>
      </c>
      <c r="J340" s="20" t="str">
        <f t="shared" ref="J340:J348" si="4">_xlfn.LET(
    _xlpm.FN, IF(ABS(C340-$C$332) &gt;= $C$336, 3, IF(ABS(C340-$C$332) &gt;= $C$335, 1, 0)),
    _xlpm.Cd, IF(ABS(D340-$D$332) &gt;= $D$336, 3, IF(ABS(D340-$D$332) &gt;= $D$335, 1, 0)),
    _xlpm.HVK, IF(ABS(E340-$E$332) &gt;= $E$336, 3, IF(ABS(E340-$E$332) &gt;= $E$335, 1, 0)),
    _xlpm.Mill, IF(ABS(F340-$F$332) &gt;= $F$336, 3, IF(ABS(F340-$F$332) &gt;= $F$335, 1, 0)),
    _xlpm.Ash, IF(ABS(G340-$G$332) &gt;= $G$336, 3, IF(ABS(G340-$G$332) &gt;= $G$335, 1, 0)),
    _xlpm.Pro, IF(ABS(H340-$H$332) &gt;= $H$336, 3, IF(ABS(H340-$H$332) &gt;= $H$335, 1, 0)),
    _xlpm.GI, IF(ABS(I340-$I$332) &gt;= $I$336, 3, IF(ABS(I340-$I$332) &gt;= $I$335, 1, 0)),
    _xlpm.demerit, SUM(_xlpm.FN, _xlpm.Cd, _xlpm.HVK, _xlpm.Mill, _xlpm.Ash, _xlpm.Pro, _xlpm.GI),
    _xlpm.is_blk, OR(C340="", D340="", E340="", F340="", G340="", H340="", I340=""),
    _xlpm.return, IF(_xlpm.is_blk, "", IF(_xlpm.demerit &lt; 3, "Pass", "Discuss")),
    _xlpm.return
)</f>
        <v>Pass</v>
      </c>
      <c r="K340" s="20" t="str" cm="1">
        <f t="array" ref="K340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_xlpm.get_score(C340, $C$332, $C$335, $C$336),
    _xlpm.Cd, _xlpm.get_score(D340, $D$332, $D$335, $D$336),
    _xlpm.HVK, _xlpm.get_score(E340, $E$332, $E$335, $E$336),
    _xlpm.Mill, _xlpm.get_score(F340, $F$332, $F$335, $F$336),
    _xlpm.Ash, _xlpm.get_score(G340, $G$332, $G$335, $G$336),
    _xlpm.Pro, _xlpm.get_score(H340, $H$332, $H$335, $H$336),
    _xlpm.GI, _xlpm.get_score(I340, $I$332, $I$335, $I$336),
    _xlpm.demerit, SUM(_xlpm.FN, _xlpm.Cd, _xlpm.HVK, _xlpm.Mill, _xlpm.Ash, _xlpm.Pro, _xlpm.GI),
    _xlpm.is_blk, OR(C340="", D340="", E340="", F340="", G340="", H340="", I340=""),
    _xlpm.return, IF(
        _xlpm.is_blk,
        "",
        IF(_xlpm.demerit &lt; _xlpm.max_demrits, "Pass", "Discuss")
    ),
    _xlpm.return
)</f>
        <v>Pass</v>
      </c>
      <c r="M340" s="70" t="str">
        <v>Pass</v>
      </c>
      <c r="N340" s="67"/>
      <c r="O340" s="67"/>
      <c r="P340" s="67"/>
      <c r="Q340" s="67"/>
      <c r="R340" s="67"/>
    </row>
    <row r="341" spans="1:36" outlineLevel="2" x14ac:dyDescent="0.3">
      <c r="B341" s="16">
        <v>3</v>
      </c>
      <c r="C341" s="70">
        <v>213.46422899626384</v>
      </c>
      <c r="D341" s="70">
        <v>125.59439746584815</v>
      </c>
      <c r="E341" s="70">
        <v>98.482591058522615</v>
      </c>
      <c r="F341" s="69">
        <v>73.581147959717129</v>
      </c>
      <c r="G341" s="68">
        <v>0.78072805928399802</v>
      </c>
      <c r="H341" s="69">
        <v>14.316034904126106</v>
      </c>
      <c r="I341" s="70">
        <v>82.264297765365811</v>
      </c>
      <c r="J341" s="20" t="str">
        <f t="shared" si="4"/>
        <v>Discuss</v>
      </c>
      <c r="K341" s="20" t="str" cm="1">
        <f t="array" ref="K341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_xlpm.get_score(C341, $C$332, $C$335, $C$336),
    _xlpm.Cd, _xlpm.get_score(D341, $D$332, $D$335, $D$336),
    _xlpm.HVK, _xlpm.get_score(E341, $E$332, $E$335, $E$336),
    _xlpm.Mill, _xlpm.get_score(F341, $F$332, $F$335, $F$336),
    _xlpm.Ash, _xlpm.get_score(G341, $G$332, $G$335, $G$336),
    _xlpm.Pro, _xlpm.get_score(H341, $H$332, $H$335, $H$336),
    _xlpm.GI, _xlpm.get_score(I341, $I$332, $I$335, $I$336),
    _xlpm.demerit, SUM(_xlpm.FN, _xlpm.Cd, _xlpm.HVK, _xlpm.Mill, _xlpm.Ash, _xlpm.Pro, _xlpm.GI),
    _xlpm.is_blk, OR(C341="", D341="", E341="", F341="", G341="", H341="", I341=""),
    _xlpm.return, IF(
        _xlpm.is_blk,
        "",
        IF(_xlpm.demerit &lt; _xlpm.max_demrits, "Pass", "Discuss")
    ),
    _xlpm.return
)</f>
        <v>Discuss</v>
      </c>
      <c r="M341" s="70" t="str">
        <v>Discuss</v>
      </c>
      <c r="N341" s="67"/>
      <c r="O341" s="67"/>
      <c r="P341" s="67"/>
      <c r="Q341" s="67"/>
      <c r="R341" s="67"/>
    </row>
    <row r="342" spans="1:36" outlineLevel="2" x14ac:dyDescent="0.3">
      <c r="B342" s="16">
        <v>4</v>
      </c>
      <c r="C342" s="70">
        <v>341.20761126744736</v>
      </c>
      <c r="D342" s="70">
        <v>133.2086923019134</v>
      </c>
      <c r="E342" s="70">
        <v>86.693425350941794</v>
      </c>
      <c r="F342" s="69"/>
      <c r="G342" s="68">
        <v>0.72795989823961282</v>
      </c>
      <c r="H342" s="69">
        <v>13.952207409018637</v>
      </c>
      <c r="I342" s="70">
        <v>99.974401537749728</v>
      </c>
      <c r="J342" s="20" t="str">
        <f t="shared" si="4"/>
        <v/>
      </c>
      <c r="K342" s="20" t="str" cm="1">
        <f t="array" ref="K342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_xlpm.get_score(C342, $C$332, $C$335, $C$336),
    _xlpm.Cd, _xlpm.get_score(D342, $D$332, $D$335, $D$336),
    _xlpm.HVK, _xlpm.get_score(E342, $E$332, $E$335, $E$336),
    _xlpm.Mill, _xlpm.get_score(F342, $F$332, $F$335, $F$336),
    _xlpm.Ash, _xlpm.get_score(G342, $G$332, $G$335, $G$336),
    _xlpm.Pro, _xlpm.get_score(H342, $H$332, $H$335, $H$336),
    _xlpm.GI, _xlpm.get_score(I342, $I$332, $I$335, $I$336),
    _xlpm.demerit, SUM(_xlpm.FN, _xlpm.Cd, _xlpm.HVK, _xlpm.Mill, _xlpm.Ash, _xlpm.Pro, _xlpm.GI),
    _xlpm.is_blk, OR(C342="", D342="", E342="", F342="", G342="", H342="", I342=""),
    _xlpm.return, IF(
        _xlpm.is_blk,
        "",
        IF(_xlpm.demerit &lt; _xlpm.max_demrits, "Pass", "Discuss")
    ),
    _xlpm.return
)</f>
        <v/>
      </c>
      <c r="M342" s="70" t="str">
        <v>[1] BLK: Mill</v>
      </c>
      <c r="N342" s="67"/>
      <c r="O342" s="67"/>
      <c r="P342" s="67"/>
      <c r="Q342" s="67"/>
      <c r="R342" s="67"/>
    </row>
    <row r="343" spans="1:36" outlineLevel="2" x14ac:dyDescent="0.3">
      <c r="B343" s="16">
        <v>5</v>
      </c>
      <c r="C343" s="70">
        <v>351.32841376593097</v>
      </c>
      <c r="D343" s="70">
        <v>131.53836892284707</v>
      </c>
      <c r="E343" s="70">
        <v>102.09997748388687</v>
      </c>
      <c r="F343" s="69">
        <v>75.853527801233142</v>
      </c>
      <c r="G343" s="68">
        <v>0.70615194820177007</v>
      </c>
      <c r="H343" s="69">
        <v>13.765138605002608</v>
      </c>
      <c r="I343" s="70">
        <v>51.652073730114722</v>
      </c>
      <c r="J343" s="20" t="str">
        <f t="shared" si="4"/>
        <v>Discuss</v>
      </c>
      <c r="K343" s="20" t="str" cm="1">
        <f t="array" ref="K343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_xlpm.get_score(C343, $C$332, $C$335, $C$336),
    _xlpm.Cd, _xlpm.get_score(D343, $D$332, $D$335, $D$336),
    _xlpm.HVK, _xlpm.get_score(E343, $E$332, $E$335, $E$336),
    _xlpm.Mill, _xlpm.get_score(F343, $F$332, $F$335, $F$336),
    _xlpm.Ash, _xlpm.get_score(G343, $G$332, $G$335, $G$336),
    _xlpm.Pro, _xlpm.get_score(H343, $H$332, $H$335, $H$336),
    _xlpm.GI, _xlpm.get_score(I343, $I$332, $I$335, $I$336),
    _xlpm.demerit, SUM(_xlpm.FN, _xlpm.Cd, _xlpm.HVK, _xlpm.Mill, _xlpm.Ash, _xlpm.Pro, _xlpm.GI),
    _xlpm.is_blk, OR(C343="", D343="", E343="", F343="", G343="", H343="", I343=""),
    _xlpm.return, IF(
        _xlpm.is_blk,
        "",
        IF(_xlpm.demerit &lt; _xlpm.max_demrits, "Pass", "Discuss")
    ),
    _xlpm.return
)</f>
        <v>Discuss</v>
      </c>
      <c r="M343" s="70" t="str">
        <v>Discuss</v>
      </c>
      <c r="N343" s="67"/>
      <c r="O343" s="67"/>
      <c r="P343" s="67"/>
      <c r="Q343" s="67"/>
      <c r="R343" s="67"/>
    </row>
    <row r="344" spans="1:36" outlineLevel="2" x14ac:dyDescent="0.3">
      <c r="B344" s="16">
        <v>6</v>
      </c>
      <c r="C344" s="70">
        <v>245.68333218507468</v>
      </c>
      <c r="D344" s="70">
        <v>118.37164773229574</v>
      </c>
      <c r="E344" s="70">
        <v>101.25252425241891</v>
      </c>
      <c r="F344" s="69">
        <v>75.695207626663191</v>
      </c>
      <c r="G344" s="68">
        <v>0.68641903562536288</v>
      </c>
      <c r="H344" s="69">
        <v>13.416568720417708</v>
      </c>
      <c r="I344" s="70">
        <v>61.312827715505193</v>
      </c>
      <c r="J344" s="20" t="str">
        <f t="shared" si="4"/>
        <v>Discuss</v>
      </c>
      <c r="K344" s="20" t="str" cm="1">
        <f t="array" ref="K344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_xlpm.get_score(C344, $C$332, $C$335, $C$336),
    _xlpm.Cd, _xlpm.get_score(D344, $D$332, $D$335, $D$336),
    _xlpm.HVK, _xlpm.get_score(E344, $E$332, $E$335, $E$336),
    _xlpm.Mill, _xlpm.get_score(F344, $F$332, $F$335, $F$336),
    _xlpm.Ash, _xlpm.get_score(G344, $G$332, $G$335, $G$336),
    _xlpm.Pro, _xlpm.get_score(H344, $H$332, $H$335, $H$336),
    _xlpm.GI, _xlpm.get_score(I344, $I$332, $I$335, $I$336),
    _xlpm.demerit, SUM(_xlpm.FN, _xlpm.Cd, _xlpm.HVK, _xlpm.Mill, _xlpm.Ash, _xlpm.Pro, _xlpm.GI),
    _xlpm.is_blk, OR(C344="", D344="", E344="", F344="", G344="", H344="", I344=""),
    _xlpm.return, IF(
        _xlpm.is_blk,
        "",
        IF(_xlpm.demerit &lt; _xlpm.max_demrits, "Pass", "Discuss")
    ),
    _xlpm.return
)</f>
        <v>Discuss</v>
      </c>
      <c r="M344" s="70" t="str">
        <v>Discuss</v>
      </c>
      <c r="N344" s="67"/>
      <c r="O344" s="67"/>
      <c r="P344" s="67"/>
      <c r="Q344" s="67"/>
      <c r="R344" s="67"/>
    </row>
    <row r="345" spans="1:36" outlineLevel="2" x14ac:dyDescent="0.3">
      <c r="B345" s="16">
        <v>7</v>
      </c>
      <c r="C345" s="70">
        <v>251.01321729027342</v>
      </c>
      <c r="D345" s="70">
        <v>150.2945365740716</v>
      </c>
      <c r="E345" s="70">
        <v>86.888279992290435</v>
      </c>
      <c r="F345" s="69">
        <v>75.550837282399684</v>
      </c>
      <c r="G345" s="68">
        <v>0.72664455529797767</v>
      </c>
      <c r="H345" s="69">
        <v>13.124143350752684</v>
      </c>
      <c r="I345" s="70">
        <v>64.354046079966366</v>
      </c>
      <c r="J345" s="20" t="str">
        <f t="shared" si="4"/>
        <v>Pass</v>
      </c>
      <c r="K345" s="20" t="str" cm="1">
        <f t="array" ref="K345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_xlpm.get_score(C345, $C$332, $C$335, $C$336),
    _xlpm.Cd, _xlpm.get_score(D345, $D$332, $D$335, $D$336),
    _xlpm.HVK, _xlpm.get_score(E345, $E$332, $E$335, $E$336),
    _xlpm.Mill, _xlpm.get_score(F345, $F$332, $F$335, $F$336),
    _xlpm.Ash, _xlpm.get_score(G345, $G$332, $G$335, $G$336),
    _xlpm.Pro, _xlpm.get_score(H345, $H$332, $H$335, $H$336),
    _xlpm.GI, _xlpm.get_score(I345, $I$332, $I$335, $I$336),
    _xlpm.demerit, SUM(_xlpm.FN, _xlpm.Cd, _xlpm.HVK, _xlpm.Mill, _xlpm.Ash, _xlpm.Pro, _xlpm.GI),
    _xlpm.is_blk, OR(C345="", D345="", E345="", F345="", G345="", H345="", I345=""),
    _xlpm.return, IF(
        _xlpm.is_blk,
        "",
        IF(_xlpm.demerit &lt; _xlpm.max_demrits, "Pass", "Discuss")
    ),
    _xlpm.return
)</f>
        <v>Pass</v>
      </c>
      <c r="M345" s="70" t="str">
        <v>Pass</v>
      </c>
      <c r="N345" s="67"/>
      <c r="O345" s="67"/>
      <c r="P345" s="67"/>
      <c r="Q345" s="67"/>
      <c r="R345" s="67"/>
    </row>
    <row r="346" spans="1:36" outlineLevel="2" x14ac:dyDescent="0.3">
      <c r="B346" s="16">
        <v>8</v>
      </c>
      <c r="C346" s="70">
        <v>233.21189606191479</v>
      </c>
      <c r="D346" s="70">
        <v>144.55325284966796</v>
      </c>
      <c r="E346" s="70">
        <v>85.540957115263396</v>
      </c>
      <c r="F346" s="69">
        <v>73.80414357283199</v>
      </c>
      <c r="G346" s="68">
        <v>0.7631998053372574</v>
      </c>
      <c r="H346" s="69">
        <v>13.581195590802825</v>
      </c>
      <c r="I346" s="70">
        <v>108.17519966791183</v>
      </c>
      <c r="J346" s="20" t="str">
        <f t="shared" si="4"/>
        <v>Discuss</v>
      </c>
      <c r="K346" s="20" t="str" cm="1">
        <f t="array" ref="K346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_xlpm.get_score(C346, $C$332, $C$335, $C$336),
    _xlpm.Cd, _xlpm.get_score(D346, $D$332, $D$335, $D$336),
    _xlpm.HVK, _xlpm.get_score(E346, $E$332, $E$335, $E$336),
    _xlpm.Mill, _xlpm.get_score(F346, $F$332, $F$335, $F$336),
    _xlpm.Ash, _xlpm.get_score(G346, $G$332, $G$335, $G$336),
    _xlpm.Pro, _xlpm.get_score(H346, $H$332, $H$335, $H$336),
    _xlpm.GI, _xlpm.get_score(I346, $I$332, $I$335, $I$336),
    _xlpm.demerit, SUM(_xlpm.FN, _xlpm.Cd, _xlpm.HVK, _xlpm.Mill, _xlpm.Ash, _xlpm.Pro, _xlpm.GI),
    _xlpm.is_blk, OR(C346="", D346="", E346="", F346="", G346="", H346="", I346=""),
    _xlpm.return, IF(
        _xlpm.is_blk,
        "",
        IF(_xlpm.demerit &lt; _xlpm.max_demrits, "Pass", "Discuss")
    ),
    _xlpm.return
)</f>
        <v>Discuss</v>
      </c>
      <c r="M346" s="70" t="str">
        <v>Discuss</v>
      </c>
      <c r="N346" s="67"/>
      <c r="O346" s="67"/>
      <c r="P346" s="67"/>
      <c r="Q346" s="67"/>
      <c r="R346" s="67"/>
    </row>
    <row r="347" spans="1:36" outlineLevel="2" x14ac:dyDescent="0.3">
      <c r="B347" s="16">
        <v>9</v>
      </c>
      <c r="C347" s="70">
        <v>311.65639883181854</v>
      </c>
      <c r="D347" s="70">
        <v>148.48438905046515</v>
      </c>
      <c r="E347" s="70">
        <v>88.020320592807991</v>
      </c>
      <c r="F347" s="69">
        <v>76.936436650059505</v>
      </c>
      <c r="G347" s="68">
        <v>0.6835003300197785</v>
      </c>
      <c r="H347" s="69">
        <v>14.215069148517996</v>
      </c>
      <c r="I347" s="70">
        <v>68.209767155999259</v>
      </c>
      <c r="J347" s="20" t="str">
        <f t="shared" si="4"/>
        <v>Discuss</v>
      </c>
      <c r="K347" s="20" t="str" cm="1">
        <f t="array" ref="K347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_xlpm.get_score(C347, $C$332, $C$335, $C$336),
    _xlpm.Cd, _xlpm.get_score(D347, $D$332, $D$335, $D$336),
    _xlpm.HVK, _xlpm.get_score(E347, $E$332, $E$335, $E$336),
    _xlpm.Mill, _xlpm.get_score(F347, $F$332, $F$335, $F$336),
    _xlpm.Ash, _xlpm.get_score(G347, $G$332, $G$335, $G$336),
    _xlpm.Pro, _xlpm.get_score(H347, $H$332, $H$335, $H$336),
    _xlpm.GI, _xlpm.get_score(I347, $I$332, $I$335, $I$336),
    _xlpm.demerit, SUM(_xlpm.FN, _xlpm.Cd, _xlpm.HVK, _xlpm.Mill, _xlpm.Ash, _xlpm.Pro, _xlpm.GI),
    _xlpm.is_blk, OR(C347="", D347="", E347="", F347="", G347="", H347="", I347=""),
    _xlpm.return, IF(
        _xlpm.is_blk,
        "",
        IF(_xlpm.demerit &lt; _xlpm.max_demrits, "Pass", "Discuss")
    ),
    _xlpm.return
)</f>
        <v>Discuss</v>
      </c>
      <c r="M347" s="70" t="str">
        <v>Discuss</v>
      </c>
      <c r="N347" s="67"/>
      <c r="O347" s="67"/>
      <c r="P347" s="67"/>
      <c r="Q347" s="67"/>
      <c r="R347" s="67"/>
    </row>
    <row r="348" spans="1:36" outlineLevel="2" x14ac:dyDescent="0.3">
      <c r="B348" s="16">
        <v>10</v>
      </c>
      <c r="C348" s="70">
        <v>208.63001752298692</v>
      </c>
      <c r="D348" s="70">
        <v>148.2169590328684</v>
      </c>
      <c r="E348" s="70">
        <v>92.064754354087569</v>
      </c>
      <c r="F348" s="69">
        <v>76.005595721051407</v>
      </c>
      <c r="G348" s="68">
        <v>0.73769156211905695</v>
      </c>
      <c r="H348" s="69">
        <v>13.714044379541743</v>
      </c>
      <c r="I348" s="70">
        <v>81.347353850303946</v>
      </c>
      <c r="J348" s="20" t="str">
        <f t="shared" si="4"/>
        <v>Pass</v>
      </c>
      <c r="K348" s="20" t="str" cm="1">
        <f t="array" ref="K348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_xlpm.get_score(C348, $C$332, $C$335, $C$336),
    _xlpm.Cd, _xlpm.get_score(D348, $D$332, $D$335, $D$336),
    _xlpm.HVK, _xlpm.get_score(E348, $E$332, $E$335, $E$336),
    _xlpm.Mill, _xlpm.get_score(F348, $F$332, $F$335, $F$336),
    _xlpm.Ash, _xlpm.get_score(G348, $G$332, $G$335, $G$336),
    _xlpm.Pro, _xlpm.get_score(H348, $H$332, $H$335, $H$336),
    _xlpm.GI, _xlpm.get_score(I348, $I$332, $I$335, $I$336),
    _xlpm.demerit, SUM(_xlpm.FN, _xlpm.Cd, _xlpm.HVK, _xlpm.Mill, _xlpm.Ash, _xlpm.Pro, _xlpm.GI),
    _xlpm.is_blk, OR(C348="", D348="", E348="", F348="", G348="", H348="", I348=""),
    _xlpm.return, IF(
        _xlpm.is_blk,
        "",
        IF(_xlpm.demerit &lt; _xlpm.max_demrits, "Pass", "Discuss")
    ),
    _xlpm.return
)</f>
        <v>Pass</v>
      </c>
      <c r="M348" s="70" t="str">
        <v>Pass</v>
      </c>
      <c r="N348" s="67"/>
      <c r="O348" s="67"/>
      <c r="P348" s="67"/>
      <c r="Q348" s="67"/>
      <c r="R348" s="67"/>
    </row>
    <row r="349" spans="1:36" s="3" customFormat="1" outlineLevel="1" x14ac:dyDescent="0.3"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</row>
    <row r="350" spans="1:36" outlineLevel="1" x14ac:dyDescent="0.3">
      <c r="A350" s="75" t="s">
        <v>569</v>
      </c>
    </row>
    <row r="351" spans="1:36" s="3" customFormat="1" ht="15" customHeight="1" outlineLevel="2" x14ac:dyDescent="0.3">
      <c r="A351" s="133" t="s">
        <v>365</v>
      </c>
      <c r="B351" s="133"/>
      <c r="C351" s="133"/>
      <c r="D351" s="133"/>
      <c r="E351" s="133"/>
      <c r="F351" s="133"/>
      <c r="G351" s="133"/>
      <c r="H351" s="133"/>
      <c r="I351" s="133"/>
      <c r="J351" s="133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</row>
    <row r="352" spans="1:36" s="3" customFormat="1" ht="15" customHeight="1" outlineLevel="2" x14ac:dyDescent="0.3">
      <c r="A352" s="133" t="s">
        <v>366</v>
      </c>
      <c r="B352" s="133"/>
      <c r="C352" s="133"/>
      <c r="D352" s="133"/>
      <c r="E352" s="133"/>
      <c r="F352" s="133"/>
      <c r="G352" s="133"/>
      <c r="H352" s="133"/>
      <c r="I352" s="133"/>
      <c r="J352" s="133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</row>
    <row r="353" spans="1:36" s="3" customFormat="1" ht="15" customHeight="1" outlineLevel="2" x14ac:dyDescent="0.3">
      <c r="A353" s="133" t="s">
        <v>367</v>
      </c>
      <c r="B353" s="133"/>
      <c r="C353" s="133"/>
      <c r="D353" s="133"/>
      <c r="E353" s="133"/>
      <c r="F353" s="133"/>
      <c r="G353" s="133"/>
      <c r="H353" s="133"/>
      <c r="I353" s="133"/>
      <c r="J353" s="133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</row>
    <row r="354" spans="1:36" s="3" customFormat="1" ht="15" customHeight="1" outlineLevel="2" x14ac:dyDescent="0.3">
      <c r="A354" s="133" t="s">
        <v>368</v>
      </c>
      <c r="B354" s="133"/>
      <c r="C354" s="133"/>
      <c r="D354" s="133"/>
      <c r="E354" s="133"/>
      <c r="F354" s="133"/>
      <c r="G354" s="133"/>
      <c r="H354" s="133"/>
      <c r="I354" s="133"/>
      <c r="J354" s="133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</row>
    <row r="355" spans="1:36" s="3" customFormat="1" ht="15" customHeight="1" outlineLevel="2" x14ac:dyDescent="0.3">
      <c r="A355" s="133" t="s">
        <v>369</v>
      </c>
      <c r="B355" s="133"/>
      <c r="C355" s="133"/>
      <c r="D355" s="133"/>
      <c r="E355" s="133"/>
      <c r="F355" s="133"/>
      <c r="G355" s="133"/>
      <c r="H355" s="133"/>
      <c r="I355" s="133"/>
      <c r="J355" s="133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</row>
    <row r="356" spans="1:36" s="3" customFormat="1" ht="15" customHeight="1" outlineLevel="2" x14ac:dyDescent="0.3">
      <c r="A356" s="133" t="s">
        <v>370</v>
      </c>
      <c r="B356" s="133"/>
      <c r="C356" s="133"/>
      <c r="D356" s="133"/>
      <c r="E356" s="133"/>
      <c r="F356" s="133"/>
      <c r="G356" s="133"/>
      <c r="H356" s="133"/>
      <c r="I356" s="133"/>
      <c r="J356" s="133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</row>
    <row r="357" spans="1:36" s="3" customFormat="1" ht="15" customHeight="1" outlineLevel="2" x14ac:dyDescent="0.3">
      <c r="A357" s="133" t="s">
        <v>371</v>
      </c>
      <c r="B357" s="133"/>
      <c r="C357" s="133"/>
      <c r="D357" s="133"/>
      <c r="E357" s="133"/>
      <c r="F357" s="133"/>
      <c r="G357" s="133"/>
      <c r="H357" s="133"/>
      <c r="I357" s="133"/>
      <c r="J357" s="133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</row>
    <row r="358" spans="1:36" s="3" customFormat="1" ht="15" customHeight="1" outlineLevel="2" x14ac:dyDescent="0.3">
      <c r="A358" s="133" t="s">
        <v>372</v>
      </c>
      <c r="B358" s="133"/>
      <c r="C358" s="133"/>
      <c r="D358" s="133"/>
      <c r="E358" s="133"/>
      <c r="F358" s="133"/>
      <c r="G358" s="133"/>
      <c r="H358" s="133"/>
      <c r="I358" s="133"/>
      <c r="J358" s="133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</row>
    <row r="359" spans="1:36" s="3" customFormat="1" ht="15" customHeight="1" outlineLevel="2" x14ac:dyDescent="0.3">
      <c r="A359" s="133" t="s">
        <v>373</v>
      </c>
      <c r="B359" s="133"/>
      <c r="C359" s="133"/>
      <c r="D359" s="133"/>
      <c r="E359" s="133"/>
      <c r="F359" s="133"/>
      <c r="G359" s="133"/>
      <c r="H359" s="133"/>
      <c r="I359" s="133"/>
      <c r="J359" s="133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</row>
    <row r="360" spans="1:36" s="3" customFormat="1" ht="15" customHeight="1" outlineLevel="2" x14ac:dyDescent="0.3">
      <c r="A360" s="133" t="s">
        <v>374</v>
      </c>
      <c r="B360" s="133"/>
      <c r="C360" s="133"/>
      <c r="D360" s="133"/>
      <c r="E360" s="133"/>
      <c r="F360" s="133"/>
      <c r="G360" s="133"/>
      <c r="H360" s="133"/>
      <c r="I360" s="133"/>
      <c r="J360" s="133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</row>
    <row r="361" spans="1:36" s="3" customFormat="1" ht="15" customHeight="1" outlineLevel="2" x14ac:dyDescent="0.3">
      <c r="A361" s="133" t="s">
        <v>375</v>
      </c>
      <c r="B361" s="133"/>
      <c r="C361" s="133"/>
      <c r="D361" s="133"/>
      <c r="E361" s="133"/>
      <c r="F361" s="133"/>
      <c r="G361" s="133"/>
      <c r="H361" s="133"/>
      <c r="I361" s="133"/>
      <c r="J361" s="133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</row>
    <row r="362" spans="1:36" s="3" customFormat="1" ht="15" customHeight="1" outlineLevel="2" x14ac:dyDescent="0.3">
      <c r="A362" s="133" t="s">
        <v>376</v>
      </c>
      <c r="B362" s="133"/>
      <c r="C362" s="133"/>
      <c r="D362" s="133"/>
      <c r="E362" s="133"/>
      <c r="F362" s="133"/>
      <c r="G362" s="133"/>
      <c r="H362" s="133"/>
      <c r="I362" s="133"/>
      <c r="J362" s="133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</row>
    <row r="363" spans="1:36" s="3" customFormat="1" ht="15" customHeight="1" outlineLevel="2" x14ac:dyDescent="0.3">
      <c r="A363" s="133" t="s">
        <v>377</v>
      </c>
      <c r="B363" s="133"/>
      <c r="C363" s="133"/>
      <c r="D363" s="133"/>
      <c r="E363" s="133"/>
      <c r="F363" s="133"/>
      <c r="G363" s="133"/>
      <c r="H363" s="133"/>
      <c r="I363" s="133"/>
      <c r="J363" s="133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</row>
    <row r="364" spans="1:36" s="3" customFormat="1" ht="15" customHeight="1" outlineLevel="2" x14ac:dyDescent="0.3">
      <c r="A364" s="133" t="s">
        <v>378</v>
      </c>
      <c r="B364" s="133"/>
      <c r="C364" s="133"/>
      <c r="D364" s="133"/>
      <c r="E364" s="133"/>
      <c r="F364" s="133"/>
      <c r="G364" s="133"/>
      <c r="H364" s="133"/>
      <c r="I364" s="133"/>
      <c r="J364" s="133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</row>
    <row r="365" spans="1:36" s="3" customFormat="1" ht="15" customHeight="1" outlineLevel="2" x14ac:dyDescent="0.3">
      <c r="A365" s="133" t="s">
        <v>151</v>
      </c>
      <c r="B365" s="133"/>
      <c r="C365" s="133"/>
      <c r="D365" s="133"/>
      <c r="E365" s="133"/>
      <c r="F365" s="133"/>
      <c r="G365" s="133"/>
      <c r="H365" s="133"/>
      <c r="I365" s="133"/>
      <c r="J365" s="133"/>
      <c r="K365" s="74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</row>
    <row r="366" spans="1:36" outlineLevel="1" x14ac:dyDescent="0.3">
      <c r="A366" s="95" t="s">
        <v>379</v>
      </c>
      <c r="B366" s="39"/>
      <c r="C366" s="39"/>
      <c r="D366" s="39"/>
      <c r="E366" s="39"/>
      <c r="F366" s="39"/>
      <c r="G366" s="39"/>
      <c r="H366" s="39"/>
      <c r="I366" s="39"/>
      <c r="J366" s="39"/>
      <c r="K366" s="95" t="s">
        <v>384</v>
      </c>
      <c r="L366" s="39"/>
    </row>
    <row r="367" spans="1:36" s="3" customFormat="1" outlineLevel="2" x14ac:dyDescent="0.3">
      <c r="A367" s="50" t="s">
        <v>382</v>
      </c>
      <c r="K367" s="50" t="s">
        <v>385</v>
      </c>
      <c r="L367" s="74"/>
      <c r="M367" s="74"/>
      <c r="N367" s="74"/>
      <c r="O367" s="74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</row>
    <row r="368" spans="1:36" s="3" customFormat="1" outlineLevel="2" x14ac:dyDescent="0.3">
      <c r="A368" s="53" t="s">
        <v>380</v>
      </c>
      <c r="K368" s="50" t="s">
        <v>386</v>
      </c>
      <c r="L368" s="74"/>
      <c r="M368" s="74"/>
      <c r="N368" s="74"/>
      <c r="O368" s="74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</row>
    <row r="369" spans="1:36" s="3" customFormat="1" outlineLevel="2" x14ac:dyDescent="0.3">
      <c r="A369" s="53" t="s">
        <v>414</v>
      </c>
      <c r="K369" s="53" t="s">
        <v>412</v>
      </c>
      <c r="L369" s="74"/>
      <c r="M369" s="74"/>
      <c r="N369" s="74"/>
      <c r="O369" s="74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</row>
    <row r="370" spans="1:36" s="3" customFormat="1" outlineLevel="2" x14ac:dyDescent="0.3">
      <c r="A370" s="53" t="s">
        <v>383</v>
      </c>
      <c r="K370" s="53" t="s">
        <v>413</v>
      </c>
      <c r="L370" s="74"/>
      <c r="M370" s="74"/>
      <c r="N370" s="74"/>
      <c r="O370" s="74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</row>
    <row r="371" spans="1:36" s="3" customFormat="1" outlineLevel="2" x14ac:dyDescent="0.3">
      <c r="A371" s="135" t="s">
        <v>410</v>
      </c>
      <c r="B371" s="135"/>
      <c r="C371" s="135"/>
      <c r="D371" s="135"/>
      <c r="E371" s="135"/>
      <c r="F371" s="135"/>
      <c r="G371" s="135"/>
      <c r="H371" s="135"/>
      <c r="I371" s="135"/>
      <c r="J371" s="135"/>
      <c r="K371" s="53" t="s">
        <v>387</v>
      </c>
      <c r="L371" s="74"/>
      <c r="M371" s="74"/>
      <c r="N371" s="74"/>
      <c r="O371" s="74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</row>
    <row r="372" spans="1:36" s="3" customFormat="1" outlineLevel="2" x14ac:dyDescent="0.3">
      <c r="A372" s="135" t="s">
        <v>411</v>
      </c>
      <c r="B372" s="135"/>
      <c r="C372" s="135"/>
      <c r="D372" s="135"/>
      <c r="E372" s="135"/>
      <c r="F372" s="135"/>
      <c r="G372" s="135"/>
      <c r="H372" s="135"/>
      <c r="I372" s="135"/>
      <c r="J372" s="135"/>
      <c r="K372" s="53" t="s">
        <v>388</v>
      </c>
      <c r="L372" s="74"/>
      <c r="M372" s="74"/>
      <c r="N372" s="74"/>
      <c r="O372" s="74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</row>
    <row r="373" spans="1:36" s="3" customFormat="1" outlineLevel="2" x14ac:dyDescent="0.3">
      <c r="A373" s="50" t="s">
        <v>408</v>
      </c>
      <c r="K373" s="53" t="s">
        <v>390</v>
      </c>
      <c r="L373" s="74"/>
      <c r="M373" s="74"/>
      <c r="N373" s="74"/>
      <c r="O373" s="74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</row>
    <row r="374" spans="1:36" s="3" customFormat="1" outlineLevel="2" x14ac:dyDescent="0.3">
      <c r="A374" s="50" t="s">
        <v>409</v>
      </c>
      <c r="K374" s="53" t="s">
        <v>391</v>
      </c>
      <c r="L374" s="74"/>
      <c r="M374" s="74"/>
      <c r="N374" s="74"/>
      <c r="O374" s="74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</row>
    <row r="375" spans="1:36" s="3" customFormat="1" outlineLevel="2" x14ac:dyDescent="0.3">
      <c r="A375" s="50" t="s">
        <v>381</v>
      </c>
      <c r="L375" s="74"/>
      <c r="M375" s="74"/>
      <c r="N375" s="74"/>
      <c r="O375" s="74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</row>
    <row r="376" spans="1:36" s="3" customFormat="1" outlineLevel="1" x14ac:dyDescent="0.3">
      <c r="A376" s="50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</row>
    <row r="377" spans="1:36" outlineLevel="1" x14ac:dyDescent="0.3">
      <c r="A377" s="75" t="s">
        <v>555</v>
      </c>
    </row>
    <row r="378" spans="1:36" s="3" customFormat="1" ht="15" customHeight="1" outlineLevel="2" x14ac:dyDescent="0.3">
      <c r="A378" s="133" t="s">
        <v>365</v>
      </c>
      <c r="B378" s="133"/>
      <c r="C378" s="133"/>
      <c r="D378" s="133"/>
      <c r="E378" s="133"/>
      <c r="F378" s="133"/>
      <c r="G378" s="133"/>
      <c r="H378" s="133"/>
      <c r="I378" s="133"/>
      <c r="J378" s="133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</row>
    <row r="379" spans="1:36" s="3" customFormat="1" ht="15" customHeight="1" outlineLevel="2" x14ac:dyDescent="0.3">
      <c r="A379" s="133" t="s">
        <v>415</v>
      </c>
      <c r="B379" s="133"/>
      <c r="C379" s="133"/>
      <c r="D379" s="133"/>
      <c r="E379" s="133"/>
      <c r="F379" s="133"/>
      <c r="G379" s="133"/>
      <c r="H379" s="133"/>
      <c r="I379" s="133"/>
      <c r="J379" s="133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</row>
    <row r="380" spans="1:36" s="3" customFormat="1" ht="15" customHeight="1" outlineLevel="2" x14ac:dyDescent="0.3">
      <c r="A380" s="133" t="s">
        <v>416</v>
      </c>
      <c r="B380" s="133"/>
      <c r="C380" s="133"/>
      <c r="D380" s="133"/>
      <c r="E380" s="133"/>
      <c r="F380" s="133"/>
      <c r="G380" s="133"/>
      <c r="H380" s="133"/>
      <c r="I380" s="133"/>
      <c r="J380" s="133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</row>
    <row r="381" spans="1:36" s="3" customFormat="1" ht="15" customHeight="1" outlineLevel="2" x14ac:dyDescent="0.3">
      <c r="A381" s="133" t="s">
        <v>392</v>
      </c>
      <c r="B381" s="133"/>
      <c r="C381" s="133"/>
      <c r="D381" s="133"/>
      <c r="E381" s="133"/>
      <c r="F381" s="133"/>
      <c r="G381" s="133"/>
      <c r="H381" s="133"/>
      <c r="I381" s="133"/>
      <c r="J381" s="133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</row>
    <row r="382" spans="1:36" s="3" customFormat="1" ht="15" customHeight="1" outlineLevel="2" x14ac:dyDescent="0.3">
      <c r="A382" s="133" t="s">
        <v>417</v>
      </c>
      <c r="B382" s="133"/>
      <c r="C382" s="133"/>
      <c r="D382" s="133"/>
      <c r="E382" s="133"/>
      <c r="F382" s="133"/>
      <c r="G382" s="133"/>
      <c r="H382" s="133"/>
      <c r="I382" s="133"/>
      <c r="J382" s="133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</row>
    <row r="383" spans="1:36" s="3" customFormat="1" ht="15" customHeight="1" outlineLevel="2" x14ac:dyDescent="0.3">
      <c r="A383" s="133" t="s">
        <v>393</v>
      </c>
      <c r="B383" s="133"/>
      <c r="C383" s="133"/>
      <c r="D383" s="133"/>
      <c r="E383" s="133"/>
      <c r="F383" s="133"/>
      <c r="G383" s="133"/>
      <c r="H383" s="133"/>
      <c r="I383" s="133"/>
      <c r="J383" s="133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</row>
    <row r="384" spans="1:36" s="3" customFormat="1" ht="15" customHeight="1" outlineLevel="2" x14ac:dyDescent="0.3">
      <c r="A384" s="133" t="s">
        <v>418</v>
      </c>
      <c r="B384" s="133"/>
      <c r="C384" s="133"/>
      <c r="D384" s="133"/>
      <c r="E384" s="133"/>
      <c r="F384" s="133"/>
      <c r="G384" s="133"/>
      <c r="H384" s="133"/>
      <c r="I384" s="133"/>
      <c r="J384" s="133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</row>
    <row r="385" spans="1:36" s="3" customFormat="1" ht="15" customHeight="1" outlineLevel="2" x14ac:dyDescent="0.3">
      <c r="A385" s="133" t="s">
        <v>419</v>
      </c>
      <c r="B385" s="133"/>
      <c r="C385" s="133"/>
      <c r="D385" s="133"/>
      <c r="E385" s="133"/>
      <c r="F385" s="133"/>
      <c r="G385" s="133"/>
      <c r="H385" s="133"/>
      <c r="I385" s="133"/>
      <c r="J385" s="133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</row>
    <row r="386" spans="1:36" s="3" customFormat="1" ht="15" customHeight="1" outlineLevel="2" x14ac:dyDescent="0.3">
      <c r="A386" s="133" t="s">
        <v>394</v>
      </c>
      <c r="B386" s="133"/>
      <c r="C386" s="133"/>
      <c r="D386" s="133"/>
      <c r="E386" s="133"/>
      <c r="F386" s="133"/>
      <c r="G386" s="133"/>
      <c r="H386" s="133"/>
      <c r="I386" s="133"/>
      <c r="J386" s="133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</row>
    <row r="387" spans="1:36" s="3" customFormat="1" ht="15" customHeight="1" outlineLevel="2" x14ac:dyDescent="0.3">
      <c r="A387" s="133" t="s">
        <v>395</v>
      </c>
      <c r="B387" s="133"/>
      <c r="C387" s="133"/>
      <c r="D387" s="133"/>
      <c r="E387" s="133"/>
      <c r="F387" s="133"/>
      <c r="G387" s="133"/>
      <c r="H387" s="133"/>
      <c r="I387" s="133"/>
      <c r="J387" s="133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</row>
    <row r="388" spans="1:36" s="3" customFormat="1" ht="15" customHeight="1" outlineLevel="2" x14ac:dyDescent="0.3">
      <c r="A388" s="133" t="s">
        <v>420</v>
      </c>
      <c r="B388" s="133"/>
      <c r="C388" s="133"/>
      <c r="D388" s="133"/>
      <c r="E388" s="133"/>
      <c r="F388" s="133"/>
      <c r="G388" s="133"/>
      <c r="H388" s="133"/>
      <c r="I388" s="133"/>
      <c r="J388" s="133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</row>
    <row r="389" spans="1:36" s="3" customFormat="1" ht="15" customHeight="1" outlineLevel="2" x14ac:dyDescent="0.3">
      <c r="A389" s="133" t="s">
        <v>421</v>
      </c>
      <c r="B389" s="133"/>
      <c r="C389" s="133"/>
      <c r="D389" s="133"/>
      <c r="E389" s="133"/>
      <c r="F389" s="133"/>
      <c r="G389" s="133"/>
      <c r="H389" s="133"/>
      <c r="I389" s="133"/>
      <c r="J389" s="133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</row>
    <row r="390" spans="1:36" s="3" customFormat="1" ht="15" customHeight="1" outlineLevel="2" x14ac:dyDescent="0.3">
      <c r="A390" s="133" t="s">
        <v>422</v>
      </c>
      <c r="B390" s="133"/>
      <c r="C390" s="133"/>
      <c r="D390" s="133"/>
      <c r="E390" s="133"/>
      <c r="F390" s="133"/>
      <c r="G390" s="133"/>
      <c r="H390" s="133"/>
      <c r="I390" s="133"/>
      <c r="J390" s="133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</row>
    <row r="391" spans="1:36" s="3" customFormat="1" ht="15" customHeight="1" outlineLevel="2" x14ac:dyDescent="0.3">
      <c r="A391" s="133" t="s">
        <v>423</v>
      </c>
      <c r="B391" s="133"/>
      <c r="C391" s="133"/>
      <c r="D391" s="133"/>
      <c r="E391" s="133"/>
      <c r="F391" s="133"/>
      <c r="G391" s="133"/>
      <c r="H391" s="133"/>
      <c r="I391" s="133"/>
      <c r="J391" s="133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</row>
    <row r="392" spans="1:36" s="3" customFormat="1" ht="15" customHeight="1" outlineLevel="2" x14ac:dyDescent="0.3">
      <c r="A392" s="133" t="s">
        <v>424</v>
      </c>
      <c r="B392" s="133"/>
      <c r="C392" s="133"/>
      <c r="D392" s="133"/>
      <c r="E392" s="133"/>
      <c r="F392" s="133"/>
      <c r="G392" s="133"/>
      <c r="H392" s="133"/>
      <c r="I392" s="133"/>
      <c r="J392" s="133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</row>
    <row r="393" spans="1:36" s="3" customFormat="1" ht="15" customHeight="1" outlineLevel="2" x14ac:dyDescent="0.3">
      <c r="A393" s="133" t="s">
        <v>425</v>
      </c>
      <c r="B393" s="133"/>
      <c r="C393" s="133"/>
      <c r="D393" s="133"/>
      <c r="E393" s="133"/>
      <c r="F393" s="133"/>
      <c r="G393" s="133"/>
      <c r="H393" s="133"/>
      <c r="I393" s="133"/>
      <c r="J393" s="133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</row>
    <row r="394" spans="1:36" s="3" customFormat="1" ht="15" customHeight="1" outlineLevel="2" x14ac:dyDescent="0.3">
      <c r="A394" s="133" t="s">
        <v>426</v>
      </c>
      <c r="B394" s="133"/>
      <c r="C394" s="133"/>
      <c r="D394" s="133"/>
      <c r="E394" s="133"/>
      <c r="F394" s="133"/>
      <c r="G394" s="133"/>
      <c r="H394" s="133"/>
      <c r="I394" s="133"/>
      <c r="J394" s="133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</row>
    <row r="395" spans="1:36" s="3" customFormat="1" ht="15" customHeight="1" outlineLevel="2" x14ac:dyDescent="0.3">
      <c r="A395" s="133" t="s">
        <v>373</v>
      </c>
      <c r="B395" s="133"/>
      <c r="C395" s="133"/>
      <c r="D395" s="133"/>
      <c r="E395" s="133"/>
      <c r="F395" s="133"/>
      <c r="G395" s="133"/>
      <c r="H395" s="133"/>
      <c r="I395" s="133"/>
      <c r="J395" s="133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</row>
    <row r="396" spans="1:36" s="3" customFormat="1" ht="15" customHeight="1" outlineLevel="2" x14ac:dyDescent="0.3">
      <c r="A396" s="133" t="s">
        <v>427</v>
      </c>
      <c r="B396" s="133"/>
      <c r="C396" s="133"/>
      <c r="D396" s="133"/>
      <c r="E396" s="133"/>
      <c r="F396" s="133"/>
      <c r="G396" s="133"/>
      <c r="H396" s="133"/>
      <c r="I396" s="133"/>
      <c r="J396" s="133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</row>
    <row r="397" spans="1:36" s="3" customFormat="1" ht="15" customHeight="1" outlineLevel="2" x14ac:dyDescent="0.3">
      <c r="A397" s="133" t="s">
        <v>396</v>
      </c>
      <c r="B397" s="133"/>
      <c r="C397" s="133"/>
      <c r="D397" s="133"/>
      <c r="E397" s="133"/>
      <c r="F397" s="133"/>
      <c r="G397" s="133"/>
      <c r="H397" s="133"/>
      <c r="I397" s="133"/>
      <c r="J397" s="133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</row>
    <row r="398" spans="1:36" s="3" customFormat="1" ht="15" customHeight="1" outlineLevel="2" x14ac:dyDescent="0.3">
      <c r="A398" s="133" t="s">
        <v>397</v>
      </c>
      <c r="B398" s="133"/>
      <c r="C398" s="133"/>
      <c r="D398" s="133"/>
      <c r="E398" s="133"/>
      <c r="F398" s="133"/>
      <c r="G398" s="133"/>
      <c r="H398" s="133"/>
      <c r="I398" s="133"/>
      <c r="J398" s="133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</row>
    <row r="399" spans="1:36" s="3" customFormat="1" ht="15" customHeight="1" outlineLevel="2" x14ac:dyDescent="0.3">
      <c r="A399" s="133" t="s">
        <v>398</v>
      </c>
      <c r="B399" s="133"/>
      <c r="C399" s="133"/>
      <c r="D399" s="133"/>
      <c r="E399" s="133"/>
      <c r="F399" s="133"/>
      <c r="G399" s="133"/>
      <c r="H399" s="133"/>
      <c r="I399" s="133"/>
      <c r="J399" s="133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</row>
    <row r="400" spans="1:36" s="3" customFormat="1" ht="15" customHeight="1" outlineLevel="2" x14ac:dyDescent="0.3">
      <c r="A400" s="133" t="s">
        <v>151</v>
      </c>
      <c r="B400" s="133"/>
      <c r="C400" s="133"/>
      <c r="D400" s="133"/>
      <c r="E400" s="133"/>
      <c r="F400" s="133"/>
      <c r="G400" s="133"/>
      <c r="H400" s="133"/>
      <c r="I400" s="133"/>
      <c r="J400" s="133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</row>
    <row r="401" spans="1:36" s="3" customFormat="1" outlineLevel="1" x14ac:dyDescent="0.3">
      <c r="A401" s="95" t="s">
        <v>379</v>
      </c>
      <c r="B401" s="39"/>
      <c r="C401" s="39"/>
      <c r="D401" s="39"/>
      <c r="E401" s="39"/>
      <c r="F401" s="39"/>
      <c r="G401" s="39"/>
      <c r="H401" s="39"/>
      <c r="I401" s="39"/>
      <c r="J401" s="39"/>
      <c r="K401" s="95" t="s">
        <v>384</v>
      </c>
      <c r="L401" s="39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</row>
    <row r="402" spans="1:36" s="3" customFormat="1" outlineLevel="2" x14ac:dyDescent="0.3">
      <c r="A402" s="50" t="s">
        <v>469</v>
      </c>
      <c r="K402" s="50" t="s">
        <v>399</v>
      </c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</row>
    <row r="403" spans="1:36" s="3" customFormat="1" outlineLevel="2" x14ac:dyDescent="0.3">
      <c r="A403" s="50" t="s">
        <v>470</v>
      </c>
      <c r="K403" s="50" t="s">
        <v>402</v>
      </c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</row>
    <row r="404" spans="1:36" s="3" customFormat="1" outlineLevel="2" x14ac:dyDescent="0.3">
      <c r="A404" s="50" t="s">
        <v>515</v>
      </c>
      <c r="K404" s="50" t="s">
        <v>404</v>
      </c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</row>
    <row r="405" spans="1:36" s="3" customFormat="1" outlineLevel="2" x14ac:dyDescent="0.3">
      <c r="A405" s="53" t="s">
        <v>401</v>
      </c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</row>
    <row r="406" spans="1:36" s="3" customFormat="1" outlineLevel="1" x14ac:dyDescent="0.3">
      <c r="A406" s="50"/>
      <c r="K406" s="53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</row>
    <row r="407" spans="1:36" s="3" customFormat="1" outlineLevel="1" x14ac:dyDescent="0.3">
      <c r="A407" s="75" t="s">
        <v>554</v>
      </c>
      <c r="K407" s="53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</row>
    <row r="408" spans="1:36" s="3" customFormat="1" outlineLevel="2" x14ac:dyDescent="0.3">
      <c r="A408" s="94" t="s">
        <v>531</v>
      </c>
      <c r="K408" s="53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</row>
    <row r="409" spans="1:36" s="3" customFormat="1" ht="15" customHeight="1" outlineLevel="2" x14ac:dyDescent="0.3">
      <c r="A409" s="134" t="s">
        <v>456</v>
      </c>
      <c r="B409" s="133"/>
      <c r="C409" s="133"/>
      <c r="D409" s="133"/>
      <c r="E409" s="133"/>
      <c r="F409" s="133"/>
      <c r="G409" s="133"/>
      <c r="H409" s="133"/>
      <c r="I409" s="133"/>
      <c r="J409" s="133"/>
      <c r="K409" s="53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</row>
    <row r="410" spans="1:36" s="3" customFormat="1" ht="15" customHeight="1" outlineLevel="2" x14ac:dyDescent="0.3">
      <c r="A410" s="133" t="s">
        <v>455</v>
      </c>
      <c r="B410" s="133"/>
      <c r="C410" s="133"/>
      <c r="D410" s="133"/>
      <c r="E410" s="133"/>
      <c r="F410" s="133"/>
      <c r="G410" s="133"/>
      <c r="H410" s="133"/>
      <c r="I410" s="133"/>
      <c r="J410" s="133"/>
      <c r="K410" s="53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</row>
    <row r="411" spans="1:36" s="3" customFormat="1" ht="15" customHeight="1" outlineLevel="2" x14ac:dyDescent="0.3">
      <c r="A411" s="133" t="s">
        <v>428</v>
      </c>
      <c r="B411" s="133"/>
      <c r="C411" s="133"/>
      <c r="D411" s="133"/>
      <c r="E411" s="133"/>
      <c r="F411" s="133"/>
      <c r="G411" s="133"/>
      <c r="H411" s="133"/>
      <c r="I411" s="133"/>
      <c r="J411" s="133"/>
      <c r="K411" s="53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</row>
    <row r="412" spans="1:36" s="3" customFormat="1" ht="15" customHeight="1" outlineLevel="2" x14ac:dyDescent="0.3">
      <c r="A412" s="133" t="s">
        <v>429</v>
      </c>
      <c r="B412" s="133"/>
      <c r="C412" s="133"/>
      <c r="D412" s="133"/>
      <c r="E412" s="133"/>
      <c r="F412" s="133"/>
      <c r="G412" s="133"/>
      <c r="H412" s="133"/>
      <c r="I412" s="133"/>
      <c r="J412" s="133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</row>
    <row r="413" spans="1:36" s="3" customFormat="1" ht="15" customHeight="1" outlineLevel="2" x14ac:dyDescent="0.3">
      <c r="A413" s="133" t="s">
        <v>430</v>
      </c>
      <c r="B413" s="133"/>
      <c r="C413" s="133"/>
      <c r="D413" s="133"/>
      <c r="E413" s="133"/>
      <c r="F413" s="133"/>
      <c r="G413" s="133"/>
      <c r="H413" s="133"/>
      <c r="I413" s="133"/>
      <c r="J413" s="133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</row>
    <row r="414" spans="1:36" s="3" customFormat="1" ht="15" customHeight="1" outlineLevel="2" x14ac:dyDescent="0.3">
      <c r="A414" s="133" t="s">
        <v>431</v>
      </c>
      <c r="B414" s="133"/>
      <c r="C414" s="133"/>
      <c r="D414" s="133"/>
      <c r="E414" s="133"/>
      <c r="F414" s="133"/>
      <c r="G414" s="133"/>
      <c r="H414" s="133"/>
      <c r="I414" s="133"/>
      <c r="J414" s="133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</row>
    <row r="415" spans="1:36" s="3" customFormat="1" ht="15" customHeight="1" outlineLevel="2" x14ac:dyDescent="0.3">
      <c r="A415" s="133" t="s">
        <v>432</v>
      </c>
      <c r="B415" s="133"/>
      <c r="C415" s="133"/>
      <c r="D415" s="133"/>
      <c r="E415" s="133"/>
      <c r="F415" s="133"/>
      <c r="G415" s="133"/>
      <c r="H415" s="133"/>
      <c r="I415" s="133"/>
      <c r="J415" s="133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</row>
    <row r="416" spans="1:36" s="3" customFormat="1" ht="15" customHeight="1" outlineLevel="2" x14ac:dyDescent="0.3">
      <c r="A416" s="133" t="s">
        <v>433</v>
      </c>
      <c r="B416" s="133"/>
      <c r="C416" s="133"/>
      <c r="D416" s="133"/>
      <c r="E416" s="133"/>
      <c r="F416" s="133"/>
      <c r="G416" s="133"/>
      <c r="H416" s="133"/>
      <c r="I416" s="133"/>
      <c r="J416" s="133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</row>
    <row r="417" spans="1:36" s="3" customFormat="1" ht="15" customHeight="1" outlineLevel="2" x14ac:dyDescent="0.3">
      <c r="A417" s="133" t="s">
        <v>434</v>
      </c>
      <c r="B417" s="133"/>
      <c r="C417" s="133"/>
      <c r="D417" s="133"/>
      <c r="E417" s="133"/>
      <c r="F417" s="133"/>
      <c r="G417" s="133"/>
      <c r="H417" s="133"/>
      <c r="I417" s="133"/>
      <c r="J417" s="133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</row>
    <row r="418" spans="1:36" s="3" customFormat="1" ht="15" customHeight="1" outlineLevel="2" x14ac:dyDescent="0.3">
      <c r="A418" s="133" t="s">
        <v>435</v>
      </c>
      <c r="B418" s="133"/>
      <c r="C418" s="133"/>
      <c r="D418" s="133"/>
      <c r="E418" s="133"/>
      <c r="F418" s="133"/>
      <c r="G418" s="133"/>
      <c r="H418" s="133"/>
      <c r="I418" s="133"/>
      <c r="J418" s="133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</row>
    <row r="419" spans="1:36" s="3" customFormat="1" ht="15" customHeight="1" outlineLevel="2" x14ac:dyDescent="0.3">
      <c r="A419" s="133" t="s">
        <v>436</v>
      </c>
      <c r="B419" s="133"/>
      <c r="C419" s="133"/>
      <c r="D419" s="133"/>
      <c r="E419" s="133"/>
      <c r="F419" s="133"/>
      <c r="G419" s="133"/>
      <c r="H419" s="133"/>
      <c r="I419" s="133"/>
      <c r="J419" s="133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</row>
    <row r="420" spans="1:36" s="3" customFormat="1" ht="15" customHeight="1" outlineLevel="2" x14ac:dyDescent="0.3">
      <c r="A420" s="133" t="s">
        <v>437</v>
      </c>
      <c r="B420" s="133"/>
      <c r="C420" s="133"/>
      <c r="D420" s="133"/>
      <c r="E420" s="133"/>
      <c r="F420" s="133"/>
      <c r="G420" s="133"/>
      <c r="H420" s="133"/>
      <c r="I420" s="133"/>
      <c r="J420" s="133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</row>
    <row r="421" spans="1:36" s="3" customFormat="1" ht="15" customHeight="1" outlineLevel="2" x14ac:dyDescent="0.3">
      <c r="A421" s="133" t="s">
        <v>438</v>
      </c>
      <c r="B421" s="133"/>
      <c r="C421" s="133"/>
      <c r="D421" s="133"/>
      <c r="E421" s="133"/>
      <c r="F421" s="133"/>
      <c r="G421" s="133"/>
      <c r="H421" s="133"/>
      <c r="I421" s="133"/>
      <c r="J421" s="133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</row>
    <row r="422" spans="1:36" s="3" customFormat="1" ht="15" customHeight="1" outlineLevel="2" x14ac:dyDescent="0.3">
      <c r="A422" s="133" t="s">
        <v>439</v>
      </c>
      <c r="B422" s="133"/>
      <c r="C422" s="133"/>
      <c r="D422" s="133"/>
      <c r="E422" s="133"/>
      <c r="F422" s="133"/>
      <c r="G422" s="133"/>
      <c r="H422" s="133"/>
      <c r="I422" s="133"/>
      <c r="J422" s="133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</row>
    <row r="423" spans="1:36" s="3" customFormat="1" ht="15" customHeight="1" outlineLevel="2" x14ac:dyDescent="0.3">
      <c r="A423" s="133" t="s">
        <v>440</v>
      </c>
      <c r="B423" s="133"/>
      <c r="C423" s="133"/>
      <c r="D423" s="133"/>
      <c r="E423" s="133"/>
      <c r="F423" s="133"/>
      <c r="G423" s="133"/>
      <c r="H423" s="133"/>
      <c r="I423" s="133"/>
      <c r="J423" s="133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</row>
    <row r="424" spans="1:36" s="3" customFormat="1" ht="15" customHeight="1" outlineLevel="2" x14ac:dyDescent="0.3">
      <c r="A424" s="133" t="s">
        <v>441</v>
      </c>
      <c r="B424" s="133"/>
      <c r="C424" s="133"/>
      <c r="D424" s="133"/>
      <c r="E424" s="133"/>
      <c r="F424" s="133"/>
      <c r="G424" s="133"/>
      <c r="H424" s="133"/>
      <c r="I424" s="133"/>
      <c r="J424" s="133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</row>
    <row r="425" spans="1:36" s="3" customFormat="1" ht="15" customHeight="1" outlineLevel="2" x14ac:dyDescent="0.3">
      <c r="A425" s="133" t="s">
        <v>442</v>
      </c>
      <c r="B425" s="133"/>
      <c r="C425" s="133"/>
      <c r="D425" s="133"/>
      <c r="E425" s="133"/>
      <c r="F425" s="133"/>
      <c r="G425" s="133"/>
      <c r="H425" s="133"/>
      <c r="I425" s="133"/>
      <c r="J425" s="133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</row>
    <row r="426" spans="1:36" s="3" customFormat="1" ht="15" customHeight="1" outlineLevel="2" x14ac:dyDescent="0.3">
      <c r="A426" s="133" t="s">
        <v>443</v>
      </c>
      <c r="B426" s="133"/>
      <c r="C426" s="133"/>
      <c r="D426" s="133"/>
      <c r="E426" s="133"/>
      <c r="F426" s="133"/>
      <c r="G426" s="133"/>
      <c r="H426" s="133"/>
      <c r="I426" s="133"/>
      <c r="J426" s="133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</row>
    <row r="427" spans="1:36" s="3" customFormat="1" ht="15" customHeight="1" outlineLevel="2" x14ac:dyDescent="0.3">
      <c r="A427" s="133" t="s">
        <v>444</v>
      </c>
      <c r="B427" s="133"/>
      <c r="C427" s="133"/>
      <c r="D427" s="133"/>
      <c r="E427" s="133"/>
      <c r="F427" s="133"/>
      <c r="G427" s="133"/>
      <c r="H427" s="133"/>
      <c r="I427" s="133"/>
      <c r="J427" s="133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</row>
    <row r="428" spans="1:36" s="3" customFormat="1" ht="15" customHeight="1" outlineLevel="2" x14ac:dyDescent="0.3">
      <c r="A428" s="133" t="s">
        <v>394</v>
      </c>
      <c r="B428" s="133"/>
      <c r="C428" s="133"/>
      <c r="D428" s="133"/>
      <c r="E428" s="133"/>
      <c r="F428" s="133"/>
      <c r="G428" s="133"/>
      <c r="H428" s="133"/>
      <c r="I428" s="133"/>
      <c r="J428" s="133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</row>
    <row r="429" spans="1:36" s="3" customFormat="1" ht="15" customHeight="1" outlineLevel="2" x14ac:dyDescent="0.3">
      <c r="A429" s="133" t="s">
        <v>395</v>
      </c>
      <c r="B429" s="133"/>
      <c r="C429" s="133"/>
      <c r="D429" s="133"/>
      <c r="E429" s="133"/>
      <c r="F429" s="133"/>
      <c r="G429" s="133"/>
      <c r="H429" s="133"/>
      <c r="I429" s="133"/>
      <c r="J429" s="133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</row>
    <row r="430" spans="1:36" s="3" customFormat="1" ht="15" customHeight="1" outlineLevel="2" x14ac:dyDescent="0.3">
      <c r="A430" s="133" t="s">
        <v>445</v>
      </c>
      <c r="B430" s="133"/>
      <c r="C430" s="133"/>
      <c r="D430" s="133"/>
      <c r="E430" s="133"/>
      <c r="F430" s="133"/>
      <c r="G430" s="133"/>
      <c r="H430" s="133"/>
      <c r="I430" s="133"/>
      <c r="J430" s="133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</row>
    <row r="431" spans="1:36" s="3" customFormat="1" ht="15" customHeight="1" outlineLevel="2" x14ac:dyDescent="0.3">
      <c r="A431" s="133" t="s">
        <v>446</v>
      </c>
      <c r="B431" s="133"/>
      <c r="C431" s="133"/>
      <c r="D431" s="133"/>
      <c r="E431" s="133"/>
      <c r="F431" s="133"/>
      <c r="G431" s="133"/>
      <c r="H431" s="133"/>
      <c r="I431" s="133"/>
      <c r="J431" s="133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</row>
    <row r="432" spans="1:36" s="3" customFormat="1" ht="15" customHeight="1" outlineLevel="2" x14ac:dyDescent="0.3">
      <c r="A432" s="133" t="s">
        <v>447</v>
      </c>
      <c r="B432" s="133"/>
      <c r="C432" s="133"/>
      <c r="D432" s="133"/>
      <c r="E432" s="133"/>
      <c r="F432" s="133"/>
      <c r="G432" s="133"/>
      <c r="H432" s="133"/>
      <c r="I432" s="133"/>
      <c r="J432" s="133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</row>
    <row r="433" spans="1:36" s="3" customFormat="1" ht="15" customHeight="1" outlineLevel="2" x14ac:dyDescent="0.3">
      <c r="A433" s="133" t="s">
        <v>448</v>
      </c>
      <c r="B433" s="133"/>
      <c r="C433" s="133"/>
      <c r="D433" s="133"/>
      <c r="E433" s="133"/>
      <c r="F433" s="133"/>
      <c r="G433" s="133"/>
      <c r="H433" s="133"/>
      <c r="I433" s="133"/>
      <c r="J433" s="133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</row>
    <row r="434" spans="1:36" s="3" customFormat="1" ht="15" customHeight="1" outlineLevel="2" x14ac:dyDescent="0.3">
      <c r="A434" s="133" t="s">
        <v>449</v>
      </c>
      <c r="B434" s="133"/>
      <c r="C434" s="133"/>
      <c r="D434" s="133"/>
      <c r="E434" s="133"/>
      <c r="F434" s="133"/>
      <c r="G434" s="133"/>
      <c r="H434" s="133"/>
      <c r="I434" s="133"/>
      <c r="J434" s="133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</row>
    <row r="435" spans="1:36" s="3" customFormat="1" ht="15" customHeight="1" outlineLevel="2" x14ac:dyDescent="0.3">
      <c r="A435" s="133" t="s">
        <v>450</v>
      </c>
      <c r="B435" s="133"/>
      <c r="C435" s="133"/>
      <c r="D435" s="133"/>
      <c r="E435" s="133"/>
      <c r="F435" s="133"/>
      <c r="G435" s="133"/>
      <c r="H435" s="133"/>
      <c r="I435" s="133"/>
      <c r="J435" s="133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</row>
    <row r="436" spans="1:36" s="3" customFormat="1" ht="15" customHeight="1" outlineLevel="2" x14ac:dyDescent="0.3">
      <c r="A436" s="133" t="s">
        <v>395</v>
      </c>
      <c r="B436" s="133"/>
      <c r="C436" s="133"/>
      <c r="D436" s="133"/>
      <c r="E436" s="133"/>
      <c r="F436" s="133"/>
      <c r="G436" s="133"/>
      <c r="H436" s="133"/>
      <c r="I436" s="133"/>
      <c r="J436" s="133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</row>
    <row r="437" spans="1:36" s="3" customFormat="1" ht="15" customHeight="1" outlineLevel="2" x14ac:dyDescent="0.3">
      <c r="A437" s="133" t="s">
        <v>451</v>
      </c>
      <c r="B437" s="133"/>
      <c r="C437" s="133"/>
      <c r="D437" s="133"/>
      <c r="E437" s="133"/>
      <c r="F437" s="133"/>
      <c r="G437" s="133"/>
      <c r="H437" s="133"/>
      <c r="I437" s="133"/>
      <c r="J437" s="133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</row>
    <row r="438" spans="1:36" s="3" customFormat="1" ht="15" customHeight="1" outlineLevel="2" x14ac:dyDescent="0.3">
      <c r="A438" s="133" t="s">
        <v>452</v>
      </c>
      <c r="B438" s="133"/>
      <c r="C438" s="133"/>
      <c r="D438" s="133"/>
      <c r="E438" s="133"/>
      <c r="F438" s="133"/>
      <c r="G438" s="133"/>
      <c r="H438" s="133"/>
      <c r="I438" s="133"/>
      <c r="J438" s="133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</row>
    <row r="439" spans="1:36" s="3" customFormat="1" ht="15" customHeight="1" outlineLevel="2" x14ac:dyDescent="0.3">
      <c r="A439" s="133" t="s">
        <v>453</v>
      </c>
      <c r="B439" s="133"/>
      <c r="C439" s="133"/>
      <c r="D439" s="133"/>
      <c r="E439" s="133"/>
      <c r="F439" s="133"/>
      <c r="G439" s="133"/>
      <c r="H439" s="133"/>
      <c r="I439" s="133"/>
      <c r="J439" s="133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</row>
    <row r="440" spans="1:36" s="3" customFormat="1" ht="15" customHeight="1" outlineLevel="2" x14ac:dyDescent="0.3">
      <c r="A440" s="133" t="s">
        <v>454</v>
      </c>
      <c r="B440" s="133"/>
      <c r="C440" s="133"/>
      <c r="D440" s="133"/>
      <c r="E440" s="133"/>
      <c r="F440" s="133"/>
      <c r="G440" s="133"/>
      <c r="H440" s="133"/>
      <c r="I440" s="133"/>
      <c r="J440" s="133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</row>
    <row r="441" spans="1:36" s="3" customFormat="1" ht="15" customHeight="1" outlineLevel="2" x14ac:dyDescent="0.3">
      <c r="A441" s="133" t="s">
        <v>398</v>
      </c>
      <c r="B441" s="133"/>
      <c r="C441" s="133"/>
      <c r="D441" s="133"/>
      <c r="E441" s="133"/>
      <c r="F441" s="133"/>
      <c r="G441" s="133"/>
      <c r="H441" s="133"/>
      <c r="I441" s="133"/>
      <c r="J441" s="133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</row>
    <row r="442" spans="1:36" s="3" customFormat="1" ht="15" customHeight="1" outlineLevel="2" x14ac:dyDescent="0.3">
      <c r="A442" s="133" t="s">
        <v>457</v>
      </c>
      <c r="B442" s="133"/>
      <c r="C442" s="133"/>
      <c r="D442" s="133"/>
      <c r="E442" s="133"/>
      <c r="F442" s="133"/>
      <c r="G442" s="133"/>
      <c r="H442" s="133"/>
      <c r="I442" s="133"/>
      <c r="J442" s="133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</row>
    <row r="443" spans="1:36" outlineLevel="1" x14ac:dyDescent="0.3">
      <c r="A443" s="95" t="s">
        <v>379</v>
      </c>
      <c r="B443" s="39"/>
      <c r="C443" s="39"/>
      <c r="D443" s="39"/>
      <c r="E443" s="39"/>
      <c r="F443" s="39"/>
      <c r="G443" s="39"/>
      <c r="H443" s="39"/>
      <c r="I443" s="39"/>
      <c r="J443" s="39"/>
      <c r="K443" s="95" t="s">
        <v>384</v>
      </c>
      <c r="L443" s="39"/>
    </row>
    <row r="444" spans="1:36" outlineLevel="2" x14ac:dyDescent="0.3">
      <c r="A444" s="50" t="s">
        <v>518</v>
      </c>
      <c r="B444" s="3"/>
      <c r="C444" s="3"/>
      <c r="D444" s="3"/>
      <c r="E444" s="3"/>
      <c r="F444" s="3"/>
      <c r="G444" s="3"/>
      <c r="H444" s="3"/>
      <c r="I444" s="3"/>
      <c r="J444" s="3"/>
      <c r="K444" s="50" t="s">
        <v>524</v>
      </c>
      <c r="L444" s="3"/>
    </row>
    <row r="445" spans="1:36" outlineLevel="2" x14ac:dyDescent="0.3">
      <c r="A445" s="50" t="s">
        <v>519</v>
      </c>
      <c r="B445" s="3"/>
      <c r="C445" s="3"/>
      <c r="D445" s="3"/>
      <c r="E445" s="3"/>
      <c r="F445" s="3"/>
      <c r="G445" s="3"/>
      <c r="H445" s="3"/>
      <c r="I445" s="3"/>
      <c r="J445" s="3"/>
      <c r="K445" s="50" t="s">
        <v>523</v>
      </c>
      <c r="L445" s="3"/>
    </row>
    <row r="446" spans="1:36" outlineLevel="2" x14ac:dyDescent="0.3">
      <c r="A446" s="50" t="s">
        <v>521</v>
      </c>
      <c r="B446" s="3"/>
      <c r="C446" s="3"/>
      <c r="D446" s="3"/>
      <c r="E446" s="3"/>
      <c r="F446" s="3"/>
      <c r="G446" s="3"/>
      <c r="H446" s="3"/>
      <c r="I446" s="3"/>
      <c r="J446" s="3"/>
      <c r="K446" s="50" t="s">
        <v>520</v>
      </c>
      <c r="L446" s="3"/>
    </row>
    <row r="447" spans="1:36" outlineLevel="2" x14ac:dyDescent="0.3">
      <c r="A447" s="53" t="s">
        <v>522</v>
      </c>
      <c r="B447" s="3"/>
      <c r="C447" s="3"/>
      <c r="D447" s="3"/>
      <c r="E447" s="3"/>
      <c r="F447" s="3"/>
      <c r="G447" s="3"/>
      <c r="H447" s="3"/>
      <c r="I447" s="3"/>
      <c r="J447" s="3"/>
      <c r="K447" s="50" t="s">
        <v>527</v>
      </c>
      <c r="L447" s="3"/>
    </row>
    <row r="448" spans="1:36" outlineLevel="2" x14ac:dyDescent="0.3">
      <c r="A448" s="53" t="s">
        <v>557</v>
      </c>
      <c r="B448" s="3"/>
      <c r="C448" s="3"/>
      <c r="D448" s="3"/>
      <c r="E448" s="3"/>
      <c r="F448" s="3"/>
      <c r="G448" s="3"/>
      <c r="H448" s="3"/>
      <c r="I448" s="3"/>
      <c r="J448" s="3"/>
      <c r="K448" s="53" t="s">
        <v>528</v>
      </c>
      <c r="L448" s="3"/>
    </row>
    <row r="449" spans="1:27" outlineLevel="2" x14ac:dyDescent="0.3">
      <c r="A449" s="50" t="s">
        <v>526</v>
      </c>
      <c r="K449" s="53" t="s">
        <v>529</v>
      </c>
    </row>
    <row r="450" spans="1:27" outlineLevel="2" x14ac:dyDescent="0.3">
      <c r="K450" s="53" t="s">
        <v>530</v>
      </c>
    </row>
    <row r="451" spans="1:27" outlineLevel="1" x14ac:dyDescent="0.3">
      <c r="K451" s="53"/>
    </row>
    <row r="452" spans="1:27" outlineLevel="1" x14ac:dyDescent="0.3">
      <c r="A452" s="72" t="s">
        <v>579</v>
      </c>
      <c r="B452" s="3"/>
      <c r="C452" s="3"/>
      <c r="D452" s="3"/>
      <c r="E452" s="3"/>
      <c r="F452" s="3"/>
      <c r="G452" s="3"/>
      <c r="H452" s="3"/>
      <c r="I452" s="3"/>
      <c r="J452" s="3"/>
      <c r="L452" s="3"/>
      <c r="M452" s="3"/>
    </row>
    <row r="453" spans="1:27" outlineLevel="2" x14ac:dyDescent="0.3">
      <c r="C453" s="132" t="s">
        <v>406</v>
      </c>
      <c r="D453" s="132"/>
      <c r="E453" s="132"/>
      <c r="F453" s="132"/>
      <c r="G453" s="132"/>
      <c r="H453" s="132"/>
      <c r="I453" s="132"/>
    </row>
    <row r="454" spans="1:27" outlineLevel="2" x14ac:dyDescent="0.3">
      <c r="B454" s="77" t="s">
        <v>363</v>
      </c>
      <c r="C454" s="70">
        <v>300</v>
      </c>
      <c r="D454" s="70">
        <v>133</v>
      </c>
      <c r="E454" s="70">
        <v>92</v>
      </c>
      <c r="F454" s="69">
        <v>75.5</v>
      </c>
      <c r="G454" s="68">
        <v>0.72499999999999998</v>
      </c>
      <c r="H454" s="69">
        <v>13.7</v>
      </c>
      <c r="I454" s="70">
        <v>75</v>
      </c>
    </row>
    <row r="455" spans="1:27" outlineLevel="2" x14ac:dyDescent="0.3">
      <c r="B455" s="67"/>
      <c r="C455" s="67"/>
      <c r="D455" s="67"/>
      <c r="E455" s="67"/>
      <c r="F455" s="67"/>
      <c r="G455" s="67"/>
      <c r="H455" s="67"/>
      <c r="I455" s="67"/>
    </row>
    <row r="456" spans="1:27" outlineLevel="2" x14ac:dyDescent="0.3">
      <c r="B456" s="67"/>
      <c r="C456" s="132" t="s">
        <v>405</v>
      </c>
      <c r="D456" s="132"/>
      <c r="E456" s="132"/>
      <c r="F456" s="132"/>
      <c r="G456" s="132"/>
      <c r="H456" s="132"/>
      <c r="I456" s="132"/>
      <c r="M456" s="71" t="s">
        <v>407</v>
      </c>
    </row>
    <row r="457" spans="1:27" outlineLevel="2" x14ac:dyDescent="0.3">
      <c r="B457" s="77" t="s">
        <v>362</v>
      </c>
      <c r="C457" s="70">
        <v>50</v>
      </c>
      <c r="D457" s="70">
        <v>10</v>
      </c>
      <c r="E457" s="70">
        <v>7</v>
      </c>
      <c r="F457" s="69">
        <v>1.1000000000000001</v>
      </c>
      <c r="G457" s="68">
        <v>0.03</v>
      </c>
      <c r="H457" s="69">
        <v>0.4</v>
      </c>
      <c r="I457" s="70">
        <v>20</v>
      </c>
      <c r="M457" s="70">
        <v>1</v>
      </c>
    </row>
    <row r="458" spans="1:27" outlineLevel="2" x14ac:dyDescent="0.3">
      <c r="B458" s="77" t="s">
        <v>50</v>
      </c>
      <c r="C458" s="70">
        <v>100</v>
      </c>
      <c r="D458" s="70">
        <v>20</v>
      </c>
      <c r="E458" s="70">
        <v>11</v>
      </c>
      <c r="F458" s="69">
        <v>2.1</v>
      </c>
      <c r="G458" s="68">
        <v>0.06</v>
      </c>
      <c r="H458" s="69">
        <v>0.8</v>
      </c>
      <c r="I458" s="70">
        <v>35</v>
      </c>
      <c r="M458" s="70">
        <v>3</v>
      </c>
    </row>
    <row r="459" spans="1:27" outlineLevel="2" x14ac:dyDescent="0.3">
      <c r="C459" s="67"/>
      <c r="D459" s="67"/>
      <c r="E459" s="67"/>
      <c r="F459" s="67"/>
      <c r="G459" s="67"/>
      <c r="H459" s="67"/>
      <c r="I459" s="67"/>
    </row>
    <row r="460" spans="1:27" outlineLevel="2" x14ac:dyDescent="0.3">
      <c r="C460" s="67"/>
      <c r="D460" s="67"/>
      <c r="E460" s="67"/>
      <c r="F460" s="67"/>
      <c r="G460" s="67"/>
      <c r="H460" s="67"/>
      <c r="I460" s="67"/>
      <c r="M460" s="71" t="s">
        <v>525</v>
      </c>
    </row>
    <row r="461" spans="1:27" outlineLevel="2" x14ac:dyDescent="0.3">
      <c r="B461" s="77" t="s">
        <v>517</v>
      </c>
      <c r="C461" s="92" t="b">
        <v>1</v>
      </c>
      <c r="D461" s="92" t="b">
        <v>1</v>
      </c>
      <c r="E461" s="92" t="b">
        <v>1</v>
      </c>
      <c r="F461" s="92" t="b">
        <v>1</v>
      </c>
      <c r="G461" s="92" t="b">
        <v>1</v>
      </c>
      <c r="H461" s="92" t="b">
        <v>1</v>
      </c>
      <c r="I461" s="92" t="b">
        <v>1</v>
      </c>
      <c r="M461" s="92" t="b">
        <v>1</v>
      </c>
      <c r="O461" s="93"/>
    </row>
    <row r="462" spans="1:27" outlineLevel="2" x14ac:dyDescent="0.3">
      <c r="C462" s="67"/>
      <c r="D462" s="67"/>
      <c r="E462" s="67"/>
      <c r="F462" s="67"/>
      <c r="G462" s="67"/>
      <c r="H462" s="67"/>
      <c r="I462" s="67"/>
    </row>
    <row r="463" spans="1:27" ht="20.25" outlineLevel="2" x14ac:dyDescent="0.35">
      <c r="B463" s="59" t="s">
        <v>355</v>
      </c>
      <c r="C463" s="59" t="s">
        <v>356</v>
      </c>
      <c r="D463" s="59" t="s">
        <v>357</v>
      </c>
      <c r="E463" s="59" t="s">
        <v>358</v>
      </c>
      <c r="F463" s="59" t="s">
        <v>359</v>
      </c>
      <c r="G463" s="59" t="s">
        <v>360</v>
      </c>
      <c r="H463" s="59" t="s">
        <v>403</v>
      </c>
      <c r="I463" s="59" t="s">
        <v>361</v>
      </c>
      <c r="M463" s="76" t="s">
        <v>516</v>
      </c>
      <c r="U463" s="157" t="s">
        <v>534</v>
      </c>
    </row>
    <row r="464" spans="1:27" outlineLevel="2" x14ac:dyDescent="0.3">
      <c r="B464" s="16">
        <v>1</v>
      </c>
      <c r="C464" s="70">
        <v>300</v>
      </c>
      <c r="D464" s="70"/>
      <c r="E464" s="70">
        <v>91.637370333648832</v>
      </c>
      <c r="F464" s="70">
        <v>73.602300538765675</v>
      </c>
      <c r="G464" s="68">
        <v>0.73072805928399798</v>
      </c>
      <c r="H464" s="70"/>
      <c r="I464" s="70">
        <v>77.457247310105274</v>
      </c>
      <c r="M464" s="154" cm="1">
        <f t="array" ref="M464:S473">MERIT_ASSESSMENT_ARRAY(C464:I473,C454:I454,C463:I463,C457:I458,M457:M458,M458,C461:I461, M461)</f>
        <v>0</v>
      </c>
      <c r="N464" s="158" t="str">
        <v>Cd</v>
      </c>
      <c r="O464" s="158">
        <v>0</v>
      </c>
      <c r="P464" s="158">
        <v>1</v>
      </c>
      <c r="Q464" s="158">
        <v>0</v>
      </c>
      <c r="R464" s="158" t="str">
        <v>Pro</v>
      </c>
      <c r="S464" s="158">
        <v>0</v>
      </c>
      <c r="T464" s="67"/>
      <c r="U464" s="153" cm="1">
        <f t="array" ref="U464:AA473">_xlfn.IFS(NOT(OR(C461:I461)),"#MASK!",NOT(ISLOGICAL(IF(OR(ISBLANK(M461),M461=""),FALSE,M461))),"#DEBUG!",IF(OR(ISBLANK(M461),M461=""),FALSE,M461)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TRUE,IF(_xlfn.BYROW(IF(ISTEXT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""),_xlfn.LAMBDA(_xlpm.r,_xlfn.TEXTJOIN(", ",TRUE,_xlpm.r)))="",IF(_xlfn.BYROW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_xleta.SUM)&lt;M458,"Pass","Discuss"),"["&amp;_xlfn.BYROW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_xleta.SUM)&amp;"] BLK: "&amp;_xlfn.BYROW(IF(ISTEXT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""),_xlfn.LAMBDA(_xlpm.r,_xlfn.TEXTJOIN(", ",TRUE,_xlpm.r)))))</f>
        <v>0</v>
      </c>
      <c r="V464" s="158" t="str">
        <v>Cd</v>
      </c>
      <c r="W464" s="158">
        <v>0</v>
      </c>
      <c r="X464" s="160">
        <v>1</v>
      </c>
      <c r="Y464" s="160">
        <v>0</v>
      </c>
      <c r="Z464" s="160" t="str">
        <v>Pro</v>
      </c>
      <c r="AA464" s="160">
        <v>0</v>
      </c>
    </row>
    <row r="465" spans="1:27" outlineLevel="2" x14ac:dyDescent="0.3">
      <c r="B465" s="16">
        <v>2</v>
      </c>
      <c r="C465" s="70"/>
      <c r="D465" s="70">
        <v>151.67218293889272</v>
      </c>
      <c r="E465" s="70">
        <v>88.902798516441791</v>
      </c>
      <c r="F465" s="69">
        <v>75.767237563058785</v>
      </c>
      <c r="G465" s="68">
        <v>0.71669489687928178</v>
      </c>
      <c r="H465" s="69">
        <v>13.94533886238805</v>
      </c>
      <c r="I465" s="70">
        <v>65.132971042994271</v>
      </c>
      <c r="M465" s="159" t="str">
        <v>FN</v>
      </c>
      <c r="N465" s="158">
        <v>1</v>
      </c>
      <c r="O465" s="158">
        <v>0</v>
      </c>
      <c r="P465" s="158">
        <v>0</v>
      </c>
      <c r="Q465" s="158">
        <v>0</v>
      </c>
      <c r="R465" s="158">
        <v>0</v>
      </c>
      <c r="S465" s="158">
        <v>0</v>
      </c>
      <c r="T465" s="67"/>
      <c r="U465" s="159" t="str">
        <v>FN</v>
      </c>
      <c r="V465" s="158">
        <v>1</v>
      </c>
      <c r="W465" s="158">
        <v>0</v>
      </c>
      <c r="X465" s="160">
        <v>0</v>
      </c>
      <c r="Y465" s="160">
        <v>0</v>
      </c>
      <c r="Z465" s="160">
        <v>0</v>
      </c>
      <c r="AA465" s="160">
        <v>0</v>
      </c>
    </row>
    <row r="466" spans="1:27" outlineLevel="2" x14ac:dyDescent="0.3">
      <c r="B466" s="16">
        <v>3</v>
      </c>
      <c r="C466" s="70">
        <v>213.46422899626384</v>
      </c>
      <c r="D466" s="70">
        <v>125.59439746584815</v>
      </c>
      <c r="E466" s="70">
        <v>98.482591058522615</v>
      </c>
      <c r="F466" s="69">
        <v>73.581147959717129</v>
      </c>
      <c r="G466" s="68">
        <v>0.78072805928399802</v>
      </c>
      <c r="H466" s="69">
        <v>14.316034904126106</v>
      </c>
      <c r="I466" s="70">
        <v>82.264297765365811</v>
      </c>
      <c r="M466" s="159">
        <v>1</v>
      </c>
      <c r="N466" s="158">
        <v>0</v>
      </c>
      <c r="O466" s="158">
        <v>0</v>
      </c>
      <c r="P466" s="158">
        <v>1</v>
      </c>
      <c r="Q466" s="158">
        <v>1</v>
      </c>
      <c r="R466" s="158">
        <v>1</v>
      </c>
      <c r="S466" s="158">
        <v>0</v>
      </c>
      <c r="T466" s="67"/>
      <c r="U466" s="159">
        <v>1</v>
      </c>
      <c r="V466" s="158">
        <v>0</v>
      </c>
      <c r="W466" s="158">
        <v>0</v>
      </c>
      <c r="X466" s="160">
        <v>1</v>
      </c>
      <c r="Y466" s="160">
        <v>1</v>
      </c>
      <c r="Z466" s="160">
        <v>1</v>
      </c>
      <c r="AA466" s="160">
        <v>0</v>
      </c>
    </row>
    <row r="467" spans="1:27" outlineLevel="2" x14ac:dyDescent="0.3">
      <c r="B467" s="16">
        <v>4</v>
      </c>
      <c r="C467" s="70">
        <v>200</v>
      </c>
      <c r="D467" s="70">
        <v>133.2086923019134</v>
      </c>
      <c r="E467" s="70">
        <v>86.693425350941794</v>
      </c>
      <c r="F467" s="69"/>
      <c r="G467" s="68">
        <v>0.72795989823961282</v>
      </c>
      <c r="H467" s="69">
        <v>13.952207409018637</v>
      </c>
      <c r="I467" s="70">
        <v>99.974401537749728</v>
      </c>
      <c r="M467" s="159">
        <v>3</v>
      </c>
      <c r="N467" s="158">
        <v>0</v>
      </c>
      <c r="O467" s="158">
        <v>0</v>
      </c>
      <c r="P467" s="158" t="str">
        <v>Mill</v>
      </c>
      <c r="Q467" s="158">
        <v>0</v>
      </c>
      <c r="R467" s="158">
        <v>0</v>
      </c>
      <c r="S467" s="158">
        <v>1</v>
      </c>
      <c r="T467" s="67"/>
      <c r="U467" s="159">
        <v>3</v>
      </c>
      <c r="V467" s="158">
        <v>0</v>
      </c>
      <c r="W467" s="158">
        <v>0</v>
      </c>
      <c r="X467" s="160" t="str">
        <v>Mill</v>
      </c>
      <c r="Y467" s="160">
        <v>0</v>
      </c>
      <c r="Z467" s="160">
        <v>0</v>
      </c>
      <c r="AA467" s="160">
        <v>1</v>
      </c>
    </row>
    <row r="468" spans="1:27" outlineLevel="2" x14ac:dyDescent="0.3">
      <c r="B468" s="16">
        <v>5</v>
      </c>
      <c r="C468" s="70">
        <v>351.32841376593097</v>
      </c>
      <c r="D468" s="70">
        <v>131.53836892284707</v>
      </c>
      <c r="E468" s="70">
        <v>102.09997748388687</v>
      </c>
      <c r="F468" s="69">
        <v>75.853527801233142</v>
      </c>
      <c r="G468" s="68">
        <v>0.70615194820177007</v>
      </c>
      <c r="H468" s="69">
        <v>13.765138605002608</v>
      </c>
      <c r="I468" s="70">
        <v>51.652073730114722</v>
      </c>
      <c r="M468" s="159">
        <v>1</v>
      </c>
      <c r="N468" s="158">
        <v>0</v>
      </c>
      <c r="O468" s="158">
        <v>1</v>
      </c>
      <c r="P468" s="158">
        <v>0</v>
      </c>
      <c r="Q468" s="158">
        <v>0</v>
      </c>
      <c r="R468" s="158">
        <v>0</v>
      </c>
      <c r="S468" s="158">
        <v>1</v>
      </c>
      <c r="T468" s="67"/>
      <c r="U468" s="159">
        <v>1</v>
      </c>
      <c r="V468" s="158">
        <v>0</v>
      </c>
      <c r="W468" s="158">
        <v>1</v>
      </c>
      <c r="X468" s="160">
        <v>0</v>
      </c>
      <c r="Y468" s="160">
        <v>0</v>
      </c>
      <c r="Z468" s="160">
        <v>0</v>
      </c>
      <c r="AA468" s="160">
        <v>1</v>
      </c>
    </row>
    <row r="469" spans="1:27" outlineLevel="2" x14ac:dyDescent="0.3">
      <c r="B469" s="16">
        <v>6</v>
      </c>
      <c r="C469" s="70">
        <v>245.68333218507468</v>
      </c>
      <c r="D469" s="70">
        <v>118.37164773229574</v>
      </c>
      <c r="E469" s="70">
        <v>101.25252425241891</v>
      </c>
      <c r="F469" s="69">
        <v>75.695207626663191</v>
      </c>
      <c r="G469" s="68">
        <v>0.68641903562536288</v>
      </c>
      <c r="H469" s="69">
        <v>13.416568720417708</v>
      </c>
      <c r="I469" s="70">
        <v>61.312827715505193</v>
      </c>
      <c r="M469" s="159">
        <v>1</v>
      </c>
      <c r="N469" s="158">
        <v>1</v>
      </c>
      <c r="O469" s="158">
        <v>1</v>
      </c>
      <c r="P469" s="158">
        <v>0</v>
      </c>
      <c r="Q469" s="158">
        <v>1</v>
      </c>
      <c r="R469" s="158">
        <v>0</v>
      </c>
      <c r="S469" s="158">
        <v>0</v>
      </c>
      <c r="T469" s="67"/>
      <c r="U469" s="159">
        <v>1</v>
      </c>
      <c r="V469" s="158">
        <v>1</v>
      </c>
      <c r="W469" s="158">
        <v>1</v>
      </c>
      <c r="X469" s="160">
        <v>0</v>
      </c>
      <c r="Y469" s="160">
        <v>1</v>
      </c>
      <c r="Z469" s="160">
        <v>0</v>
      </c>
      <c r="AA469" s="160">
        <v>0</v>
      </c>
    </row>
    <row r="470" spans="1:27" outlineLevel="2" x14ac:dyDescent="0.3">
      <c r="B470" s="16">
        <v>7</v>
      </c>
      <c r="C470" s="70">
        <v>251.01321729027342</v>
      </c>
      <c r="D470" s="70">
        <v>150.2945365740716</v>
      </c>
      <c r="E470" s="70">
        <v>86.888279992290435</v>
      </c>
      <c r="F470" s="69">
        <v>75.550837282399684</v>
      </c>
      <c r="G470" s="68">
        <v>0.72664455529797767</v>
      </c>
      <c r="H470" s="69">
        <v>13.124143350752684</v>
      </c>
      <c r="I470" s="70">
        <v>64.354046079966366</v>
      </c>
      <c r="M470" s="159">
        <v>0</v>
      </c>
      <c r="N470" s="158">
        <v>1</v>
      </c>
      <c r="O470" s="158">
        <v>0</v>
      </c>
      <c r="P470" s="158">
        <v>0</v>
      </c>
      <c r="Q470" s="158">
        <v>0</v>
      </c>
      <c r="R470" s="158">
        <v>1</v>
      </c>
      <c r="S470" s="158">
        <v>0</v>
      </c>
      <c r="T470" s="67"/>
      <c r="U470" s="159">
        <v>0</v>
      </c>
      <c r="V470" s="158">
        <v>1</v>
      </c>
      <c r="W470" s="158">
        <v>0</v>
      </c>
      <c r="X470" s="160">
        <v>0</v>
      </c>
      <c r="Y470" s="160">
        <v>0</v>
      </c>
      <c r="Z470" s="160">
        <v>1</v>
      </c>
      <c r="AA470" s="160">
        <v>0</v>
      </c>
    </row>
    <row r="471" spans="1:27" outlineLevel="2" x14ac:dyDescent="0.3">
      <c r="B471" s="16">
        <v>8</v>
      </c>
      <c r="C471" s="70">
        <v>233.21189606191479</v>
      </c>
      <c r="D471" s="70">
        <v>144.55325284966796</v>
      </c>
      <c r="E471" s="70">
        <v>85.540957115263396</v>
      </c>
      <c r="F471" s="69">
        <v>73.80414357283199</v>
      </c>
      <c r="G471" s="68">
        <v>0.7631998053372574</v>
      </c>
      <c r="H471" s="69">
        <v>13.581195590802825</v>
      </c>
      <c r="I471" s="70">
        <v>108.17519966791183</v>
      </c>
      <c r="M471" s="159">
        <v>1</v>
      </c>
      <c r="N471" s="158">
        <v>1</v>
      </c>
      <c r="O471" s="158">
        <v>0</v>
      </c>
      <c r="P471" s="158">
        <v>1</v>
      </c>
      <c r="Q471" s="158">
        <v>1</v>
      </c>
      <c r="R471" s="158">
        <v>0</v>
      </c>
      <c r="S471" s="158">
        <v>1</v>
      </c>
      <c r="T471" s="67"/>
      <c r="U471" s="159">
        <v>1</v>
      </c>
      <c r="V471" s="158">
        <v>1</v>
      </c>
      <c r="W471" s="158">
        <v>0</v>
      </c>
      <c r="X471" s="160">
        <v>1</v>
      </c>
      <c r="Y471" s="160">
        <v>1</v>
      </c>
      <c r="Z471" s="160">
        <v>0</v>
      </c>
      <c r="AA471" s="160">
        <v>1</v>
      </c>
    </row>
    <row r="472" spans="1:27" outlineLevel="2" x14ac:dyDescent="0.3">
      <c r="B472" s="16">
        <v>9</v>
      </c>
      <c r="C472" s="70">
        <v>311.65639883181854</v>
      </c>
      <c r="D472" s="70">
        <v>148.48438905046515</v>
      </c>
      <c r="E472" s="70">
        <v>88.020320592807991</v>
      </c>
      <c r="F472" s="69">
        <v>76.936436650059505</v>
      </c>
      <c r="G472" s="68">
        <v>0.6835003300197785</v>
      </c>
      <c r="H472" s="69">
        <v>14.215069148517996</v>
      </c>
      <c r="I472" s="70">
        <v>68.209767155999259</v>
      </c>
      <c r="M472" s="159">
        <v>0</v>
      </c>
      <c r="N472" s="158">
        <v>1</v>
      </c>
      <c r="O472" s="158">
        <v>0</v>
      </c>
      <c r="P472" s="158">
        <v>1</v>
      </c>
      <c r="Q472" s="158">
        <v>1</v>
      </c>
      <c r="R472" s="158">
        <v>1</v>
      </c>
      <c r="S472" s="158">
        <v>0</v>
      </c>
      <c r="T472" s="67"/>
      <c r="U472" s="159">
        <v>0</v>
      </c>
      <c r="V472" s="158">
        <v>1</v>
      </c>
      <c r="W472" s="158">
        <v>0</v>
      </c>
      <c r="X472" s="160">
        <v>1</v>
      </c>
      <c r="Y472" s="160">
        <v>1</v>
      </c>
      <c r="Z472" s="160">
        <v>1</v>
      </c>
      <c r="AA472" s="160">
        <v>0</v>
      </c>
    </row>
    <row r="473" spans="1:27" outlineLevel="2" x14ac:dyDescent="0.3">
      <c r="B473" s="16">
        <v>10</v>
      </c>
      <c r="C473" s="70">
        <v>208.63001752298692</v>
      </c>
      <c r="D473" s="70">
        <v>148.2169590328684</v>
      </c>
      <c r="E473" s="70">
        <v>92.064754354087569</v>
      </c>
      <c r="F473" s="69">
        <v>76.005595721051407</v>
      </c>
      <c r="G473" s="68">
        <v>0.73769156211905695</v>
      </c>
      <c r="H473" s="69">
        <v>13.714044379541743</v>
      </c>
      <c r="I473" s="70">
        <v>81.347353850303946</v>
      </c>
      <c r="M473" s="159">
        <v>1</v>
      </c>
      <c r="N473" s="158">
        <v>1</v>
      </c>
      <c r="O473" s="158">
        <v>0</v>
      </c>
      <c r="P473" s="158">
        <v>0</v>
      </c>
      <c r="Q473" s="158">
        <v>0</v>
      </c>
      <c r="R473" s="158">
        <v>0</v>
      </c>
      <c r="S473" s="158">
        <v>0</v>
      </c>
      <c r="T473" s="67"/>
      <c r="U473" s="159">
        <v>1</v>
      </c>
      <c r="V473" s="158">
        <v>1</v>
      </c>
      <c r="W473" s="158">
        <v>0</v>
      </c>
      <c r="X473" s="160">
        <v>0</v>
      </c>
      <c r="Y473" s="160">
        <v>0</v>
      </c>
      <c r="Z473" s="160">
        <v>0</v>
      </c>
      <c r="AA473" s="160">
        <v>0</v>
      </c>
    </row>
    <row r="474" spans="1:27" outlineLevel="1" x14ac:dyDescent="0.3"/>
    <row r="475" spans="1:27" outlineLevel="1" x14ac:dyDescent="0.3">
      <c r="A475" s="75" t="s">
        <v>556</v>
      </c>
    </row>
    <row r="476" spans="1:27" outlineLevel="2" x14ac:dyDescent="0.3">
      <c r="A476" s="94" t="s">
        <v>532</v>
      </c>
    </row>
    <row r="477" spans="1:27" ht="15" customHeight="1" outlineLevel="2" x14ac:dyDescent="0.3">
      <c r="A477" s="134" t="s">
        <v>629</v>
      </c>
      <c r="B477" s="134"/>
      <c r="C477" s="134"/>
      <c r="D477" s="134"/>
      <c r="E477" s="134"/>
      <c r="F477" s="134"/>
    </row>
    <row r="478" spans="1:27" ht="15" customHeight="1" outlineLevel="2" x14ac:dyDescent="0.3">
      <c r="A478" s="133" t="s">
        <v>455</v>
      </c>
      <c r="B478" s="133"/>
      <c r="C478" s="133"/>
      <c r="D478" s="133"/>
      <c r="E478" s="133"/>
      <c r="F478" s="133"/>
    </row>
    <row r="479" spans="1:27" ht="15" customHeight="1" outlineLevel="2" x14ac:dyDescent="0.3">
      <c r="A479" s="133" t="s">
        <v>630</v>
      </c>
      <c r="B479" s="133"/>
      <c r="C479" s="133"/>
      <c r="D479" s="133"/>
      <c r="E479" s="133"/>
      <c r="F479" s="133"/>
    </row>
    <row r="480" spans="1:27" ht="15" customHeight="1" outlineLevel="2" x14ac:dyDescent="0.3">
      <c r="A480" s="133" t="s">
        <v>631</v>
      </c>
      <c r="B480" s="133"/>
      <c r="C480" s="133"/>
      <c r="D480" s="133"/>
      <c r="E480" s="133"/>
      <c r="F480" s="133"/>
    </row>
    <row r="481" spans="1:12" ht="15" customHeight="1" outlineLevel="2" x14ac:dyDescent="0.3">
      <c r="A481" s="133" t="s">
        <v>632</v>
      </c>
      <c r="B481" s="133"/>
      <c r="C481" s="133"/>
      <c r="D481" s="133"/>
      <c r="E481" s="133"/>
      <c r="F481" s="133"/>
    </row>
    <row r="482" spans="1:12" ht="15" customHeight="1" outlineLevel="2" x14ac:dyDescent="0.3">
      <c r="A482" s="133" t="s">
        <v>398</v>
      </c>
      <c r="B482" s="133"/>
      <c r="C482" s="133"/>
      <c r="D482" s="133"/>
      <c r="E482" s="133"/>
      <c r="F482" s="133"/>
    </row>
    <row r="483" spans="1:12" ht="15" customHeight="1" outlineLevel="2" x14ac:dyDescent="0.3">
      <c r="A483" s="133" t="s">
        <v>151</v>
      </c>
      <c r="B483" s="133"/>
      <c r="C483" s="133"/>
      <c r="D483" s="133"/>
      <c r="E483" s="133"/>
      <c r="F483" s="133"/>
    </row>
    <row r="484" spans="1:12" outlineLevel="2" x14ac:dyDescent="0.3"/>
    <row r="485" spans="1:12" outlineLevel="2" x14ac:dyDescent="0.3">
      <c r="A485" s="94" t="s">
        <v>533</v>
      </c>
    </row>
    <row r="486" spans="1:12" ht="15" customHeight="1" outlineLevel="2" x14ac:dyDescent="0.3">
      <c r="A486" s="134" t="s">
        <v>609</v>
      </c>
      <c r="B486" s="134"/>
      <c r="C486" s="134"/>
      <c r="D486" s="134"/>
      <c r="E486" s="134"/>
      <c r="F486" s="134"/>
      <c r="G486" s="134"/>
      <c r="H486" s="134"/>
      <c r="I486" s="134"/>
      <c r="J486" s="134"/>
      <c r="K486" s="134"/>
      <c r="L486" s="134"/>
    </row>
    <row r="487" spans="1:12" ht="15" customHeight="1" outlineLevel="2" x14ac:dyDescent="0.3">
      <c r="A487" s="133" t="s">
        <v>365</v>
      </c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</row>
    <row r="488" spans="1:12" ht="15" customHeight="1" outlineLevel="2" x14ac:dyDescent="0.3">
      <c r="A488" s="133" t="s">
        <v>610</v>
      </c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</row>
    <row r="489" spans="1:12" ht="15" customHeight="1" outlineLevel="2" x14ac:dyDescent="0.3">
      <c r="A489" s="133" t="s">
        <v>428</v>
      </c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</row>
    <row r="490" spans="1:12" ht="15" customHeight="1" outlineLevel="2" x14ac:dyDescent="0.3">
      <c r="A490" s="133" t="s">
        <v>429</v>
      </c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</row>
    <row r="491" spans="1:12" ht="15" customHeight="1" outlineLevel="2" x14ac:dyDescent="0.3">
      <c r="A491" s="133" t="s">
        <v>430</v>
      </c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</row>
    <row r="492" spans="1:12" ht="15" customHeight="1" outlineLevel="2" x14ac:dyDescent="0.3">
      <c r="A492" s="133" t="s">
        <v>431</v>
      </c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</row>
    <row r="493" spans="1:12" ht="15" customHeight="1" outlineLevel="2" x14ac:dyDescent="0.3">
      <c r="A493" s="133" t="s">
        <v>432</v>
      </c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</row>
    <row r="494" spans="1:12" ht="15" customHeight="1" outlineLevel="2" x14ac:dyDescent="0.3">
      <c r="A494" s="133" t="s">
        <v>611</v>
      </c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</row>
    <row r="495" spans="1:12" ht="15" customHeight="1" outlineLevel="2" x14ac:dyDescent="0.3">
      <c r="A495" s="133" t="s">
        <v>612</v>
      </c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</row>
    <row r="496" spans="1:12" ht="15" customHeight="1" outlineLevel="2" x14ac:dyDescent="0.3">
      <c r="A496" s="133" t="s">
        <v>613</v>
      </c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</row>
    <row r="497" spans="1:12" ht="15" customHeight="1" outlineLevel="2" x14ac:dyDescent="0.3">
      <c r="A497" s="133" t="s">
        <v>614</v>
      </c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</row>
    <row r="498" spans="1:12" ht="15" customHeight="1" outlineLevel="2" x14ac:dyDescent="0.3">
      <c r="A498" s="133" t="s">
        <v>615</v>
      </c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</row>
    <row r="499" spans="1:12" ht="15" customHeight="1" outlineLevel="2" x14ac:dyDescent="0.3">
      <c r="A499" s="133" t="s">
        <v>616</v>
      </c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</row>
    <row r="500" spans="1:12" ht="15" customHeight="1" outlineLevel="2" x14ac:dyDescent="0.3">
      <c r="A500" s="133" t="s">
        <v>443</v>
      </c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</row>
    <row r="501" spans="1:12" ht="15" customHeight="1" outlineLevel="2" x14ac:dyDescent="0.3">
      <c r="A501" s="133" t="s">
        <v>444</v>
      </c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</row>
    <row r="502" spans="1:12" ht="15" customHeight="1" outlineLevel="2" x14ac:dyDescent="0.3">
      <c r="A502" s="133" t="s">
        <v>394</v>
      </c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</row>
    <row r="503" spans="1:12" ht="15" customHeight="1" outlineLevel="2" x14ac:dyDescent="0.3">
      <c r="A503" s="133" t="s">
        <v>395</v>
      </c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</row>
    <row r="504" spans="1:12" ht="15" customHeight="1" outlineLevel="2" x14ac:dyDescent="0.3">
      <c r="A504" s="133" t="s">
        <v>617</v>
      </c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</row>
    <row r="505" spans="1:12" ht="15" customHeight="1" outlineLevel="2" x14ac:dyDescent="0.3">
      <c r="A505" s="133" t="s">
        <v>618</v>
      </c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</row>
    <row r="506" spans="1:12" ht="15" customHeight="1" outlineLevel="2" x14ac:dyDescent="0.3">
      <c r="A506" s="133" t="s">
        <v>446</v>
      </c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</row>
    <row r="507" spans="1:12" ht="15" customHeight="1" outlineLevel="2" x14ac:dyDescent="0.3">
      <c r="A507" s="133" t="s">
        <v>447</v>
      </c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</row>
    <row r="508" spans="1:12" ht="15" customHeight="1" outlineLevel="2" x14ac:dyDescent="0.3">
      <c r="A508" s="133" t="s">
        <v>448</v>
      </c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</row>
    <row r="509" spans="1:12" ht="15" customHeight="1" outlineLevel="2" x14ac:dyDescent="0.3">
      <c r="A509" s="133" t="s">
        <v>449</v>
      </c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</row>
    <row r="510" spans="1:12" ht="15" customHeight="1" outlineLevel="2" x14ac:dyDescent="0.3">
      <c r="A510" s="133" t="s">
        <v>450</v>
      </c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</row>
    <row r="511" spans="1:12" ht="15" customHeight="1" outlineLevel="2" x14ac:dyDescent="0.3">
      <c r="A511" s="133" t="s">
        <v>395</v>
      </c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</row>
    <row r="512" spans="1:12" ht="15" customHeight="1" outlineLevel="2" x14ac:dyDescent="0.3">
      <c r="A512" s="133" t="s">
        <v>451</v>
      </c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</row>
    <row r="513" spans="1:12" ht="15" customHeight="1" outlineLevel="2" x14ac:dyDescent="0.3">
      <c r="A513" s="133" t="s">
        <v>452</v>
      </c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</row>
    <row r="514" spans="1:12" ht="15" customHeight="1" outlineLevel="2" x14ac:dyDescent="0.3">
      <c r="A514" s="133" t="s">
        <v>453</v>
      </c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</row>
    <row r="515" spans="1:12" ht="15" customHeight="1" outlineLevel="2" x14ac:dyDescent="0.3">
      <c r="A515" s="133" t="s">
        <v>619</v>
      </c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</row>
    <row r="516" spans="1:12" ht="15" customHeight="1" outlineLevel="2" x14ac:dyDescent="0.3">
      <c r="A516" s="133" t="s">
        <v>620</v>
      </c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</row>
    <row r="517" spans="1:12" ht="15" customHeight="1" outlineLevel="2" x14ac:dyDescent="0.3">
      <c r="A517" s="133" t="s">
        <v>621</v>
      </c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</row>
    <row r="518" spans="1:12" ht="15" customHeight="1" outlineLevel="2" x14ac:dyDescent="0.3">
      <c r="A518" s="133" t="s">
        <v>622</v>
      </c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</row>
    <row r="519" spans="1:12" ht="15" customHeight="1" outlineLevel="2" x14ac:dyDescent="0.3">
      <c r="A519" s="133" t="s">
        <v>623</v>
      </c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</row>
    <row r="520" spans="1:12" ht="15" customHeight="1" outlineLevel="2" x14ac:dyDescent="0.3">
      <c r="A520" s="133" t="s">
        <v>624</v>
      </c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</row>
    <row r="521" spans="1:12" ht="15" customHeight="1" outlineLevel="2" x14ac:dyDescent="0.3">
      <c r="A521" s="133" t="s">
        <v>625</v>
      </c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</row>
    <row r="522" spans="1:12" ht="15" customHeight="1" outlineLevel="2" x14ac:dyDescent="0.3">
      <c r="A522" s="133" t="s">
        <v>626</v>
      </c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</row>
    <row r="523" spans="1:12" ht="15" customHeight="1" outlineLevel="2" x14ac:dyDescent="0.3">
      <c r="A523" s="133" t="s">
        <v>627</v>
      </c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</row>
    <row r="524" spans="1:12" ht="15" customHeight="1" outlineLevel="2" x14ac:dyDescent="0.3">
      <c r="A524" s="133" t="s">
        <v>628</v>
      </c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</row>
    <row r="525" spans="1:12" ht="15" customHeight="1" outlineLevel="2" x14ac:dyDescent="0.3">
      <c r="A525" s="133" t="s">
        <v>395</v>
      </c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</row>
    <row r="526" spans="1:12" ht="15" customHeight="1" outlineLevel="2" x14ac:dyDescent="0.3">
      <c r="A526" s="133" t="s">
        <v>398</v>
      </c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</row>
    <row r="527" spans="1:12" ht="15" customHeight="1" outlineLevel="2" x14ac:dyDescent="0.3">
      <c r="A527" s="133" t="s">
        <v>151</v>
      </c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</row>
    <row r="528" spans="1:12" outlineLevel="2" x14ac:dyDescent="0.3"/>
    <row r="529" spans="1:9" outlineLevel="2" x14ac:dyDescent="0.3">
      <c r="A529" s="94" t="s">
        <v>558</v>
      </c>
    </row>
    <row r="530" spans="1:9" ht="15" customHeight="1" outlineLevel="2" x14ac:dyDescent="0.3">
      <c r="A530" s="133" t="s">
        <v>365</v>
      </c>
      <c r="B530" s="133"/>
      <c r="C530" s="133"/>
      <c r="D530" s="133"/>
      <c r="E530" s="133"/>
      <c r="F530" s="133"/>
      <c r="G530" s="133"/>
      <c r="H530" s="133"/>
      <c r="I530" s="133"/>
    </row>
    <row r="531" spans="1:9" ht="15" customHeight="1" outlineLevel="2" x14ac:dyDescent="0.3">
      <c r="A531" s="133" t="s">
        <v>633</v>
      </c>
      <c r="B531" s="133"/>
      <c r="C531" s="133"/>
      <c r="D531" s="133"/>
      <c r="E531" s="133"/>
      <c r="F531" s="133"/>
      <c r="G531" s="133"/>
      <c r="H531" s="133"/>
      <c r="I531" s="133"/>
    </row>
    <row r="532" spans="1:9" ht="15" customHeight="1" outlineLevel="2" x14ac:dyDescent="0.3">
      <c r="A532" s="133" t="s">
        <v>634</v>
      </c>
      <c r="B532" s="133"/>
      <c r="C532" s="133"/>
      <c r="D532" s="133"/>
      <c r="E532" s="133"/>
      <c r="F532" s="133"/>
      <c r="G532" s="133"/>
      <c r="H532" s="133"/>
      <c r="I532" s="133"/>
    </row>
    <row r="533" spans="1:9" ht="15" customHeight="1" outlineLevel="2" x14ac:dyDescent="0.3">
      <c r="A533" s="133" t="s">
        <v>635</v>
      </c>
      <c r="B533" s="133"/>
      <c r="C533" s="133"/>
      <c r="D533" s="133"/>
      <c r="E533" s="133"/>
      <c r="F533" s="133"/>
      <c r="G533" s="133"/>
      <c r="H533" s="133"/>
      <c r="I533" s="133"/>
    </row>
    <row r="534" spans="1:9" ht="15" customHeight="1" outlineLevel="2" x14ac:dyDescent="0.3">
      <c r="A534" s="133" t="s">
        <v>636</v>
      </c>
      <c r="B534" s="133"/>
      <c r="C534" s="133"/>
      <c r="D534" s="133"/>
      <c r="E534" s="133"/>
      <c r="F534" s="133"/>
      <c r="G534" s="133"/>
      <c r="H534" s="133"/>
      <c r="I534" s="133"/>
    </row>
    <row r="535" spans="1:9" ht="15" customHeight="1" outlineLevel="2" x14ac:dyDescent="0.3">
      <c r="A535" s="133" t="s">
        <v>637</v>
      </c>
      <c r="B535" s="133"/>
      <c r="C535" s="133"/>
      <c r="D535" s="133"/>
      <c r="E535" s="133"/>
      <c r="F535" s="133"/>
      <c r="G535" s="133"/>
      <c r="H535" s="133"/>
      <c r="I535" s="133"/>
    </row>
    <row r="536" spans="1:9" ht="15" customHeight="1" outlineLevel="2" x14ac:dyDescent="0.3">
      <c r="A536" s="133" t="s">
        <v>638</v>
      </c>
      <c r="B536" s="133"/>
      <c r="C536" s="133"/>
      <c r="D536" s="133"/>
      <c r="E536" s="133"/>
      <c r="F536" s="133"/>
      <c r="G536" s="133"/>
      <c r="H536" s="133"/>
      <c r="I536" s="133"/>
    </row>
    <row r="537" spans="1:9" ht="15" customHeight="1" outlineLevel="2" x14ac:dyDescent="0.3">
      <c r="A537" s="133" t="s">
        <v>639</v>
      </c>
      <c r="B537" s="133"/>
      <c r="C537" s="133"/>
      <c r="D537" s="133"/>
      <c r="E537" s="133"/>
      <c r="F537" s="133"/>
      <c r="G537" s="133"/>
      <c r="H537" s="133"/>
      <c r="I537" s="133"/>
    </row>
    <row r="538" spans="1:9" ht="15" customHeight="1" outlineLevel="2" x14ac:dyDescent="0.3">
      <c r="A538" s="133" t="s">
        <v>640</v>
      </c>
      <c r="B538" s="133"/>
      <c r="C538" s="133"/>
      <c r="D538" s="133"/>
      <c r="E538" s="133"/>
      <c r="F538" s="133"/>
      <c r="G538" s="133"/>
      <c r="H538" s="133"/>
      <c r="I538" s="133"/>
    </row>
    <row r="539" spans="1:9" ht="15" customHeight="1" outlineLevel="2" x14ac:dyDescent="0.3">
      <c r="A539" s="133" t="s">
        <v>641</v>
      </c>
      <c r="B539" s="133"/>
      <c r="C539" s="133"/>
      <c r="D539" s="133"/>
      <c r="E539" s="133"/>
      <c r="F539" s="133"/>
      <c r="G539" s="133"/>
      <c r="H539" s="133"/>
      <c r="I539" s="133"/>
    </row>
    <row r="540" spans="1:9" ht="15" customHeight="1" outlineLevel="2" x14ac:dyDescent="0.3">
      <c r="A540" s="133" t="s">
        <v>642</v>
      </c>
      <c r="B540" s="133"/>
      <c r="C540" s="133"/>
      <c r="D540" s="133"/>
      <c r="E540" s="133"/>
      <c r="F540" s="133"/>
      <c r="G540" s="133"/>
      <c r="H540" s="133"/>
      <c r="I540" s="133"/>
    </row>
    <row r="541" spans="1:9" ht="15" customHeight="1" outlineLevel="2" x14ac:dyDescent="0.3">
      <c r="A541" s="133" t="s">
        <v>398</v>
      </c>
      <c r="B541" s="133"/>
      <c r="C541" s="133"/>
      <c r="D541" s="133"/>
      <c r="E541" s="133"/>
      <c r="F541" s="133"/>
      <c r="G541" s="133"/>
      <c r="H541" s="133"/>
      <c r="I541" s="133"/>
    </row>
    <row r="542" spans="1:9" ht="15" customHeight="1" outlineLevel="2" x14ac:dyDescent="0.3">
      <c r="A542" s="133" t="s">
        <v>151</v>
      </c>
      <c r="B542" s="133"/>
      <c r="C542" s="133"/>
      <c r="D542" s="133"/>
      <c r="E542" s="133"/>
      <c r="F542" s="133"/>
      <c r="G542" s="133"/>
      <c r="H542" s="133"/>
      <c r="I542" s="133"/>
    </row>
    <row r="543" spans="1:9" outlineLevel="1" x14ac:dyDescent="0.3"/>
  </sheetData>
  <mergeCells count="259">
    <mergeCell ref="A539:I539"/>
    <mergeCell ref="A540:I540"/>
    <mergeCell ref="A541:I541"/>
    <mergeCell ref="A542:I542"/>
    <mergeCell ref="A530:I530"/>
    <mergeCell ref="A531:I531"/>
    <mergeCell ref="A532:I532"/>
    <mergeCell ref="A533:I533"/>
    <mergeCell ref="A534:I534"/>
    <mergeCell ref="A535:I535"/>
    <mergeCell ref="A536:I536"/>
    <mergeCell ref="A537:I537"/>
    <mergeCell ref="A538:I538"/>
    <mergeCell ref="A521:L521"/>
    <mergeCell ref="A522:L522"/>
    <mergeCell ref="A523:L523"/>
    <mergeCell ref="A524:L524"/>
    <mergeCell ref="A525:L525"/>
    <mergeCell ref="A526:L526"/>
    <mergeCell ref="A527:L527"/>
    <mergeCell ref="A477:F477"/>
    <mergeCell ref="A478:F478"/>
    <mergeCell ref="A479:F479"/>
    <mergeCell ref="A480:F480"/>
    <mergeCell ref="A481:F481"/>
    <mergeCell ref="A482:F482"/>
    <mergeCell ref="A483:F483"/>
    <mergeCell ref="A512:L512"/>
    <mergeCell ref="A513:L513"/>
    <mergeCell ref="A514:L514"/>
    <mergeCell ref="A515:L515"/>
    <mergeCell ref="A516:L516"/>
    <mergeCell ref="A517:L517"/>
    <mergeCell ref="A518:L518"/>
    <mergeCell ref="A519:L519"/>
    <mergeCell ref="A520:L520"/>
    <mergeCell ref="A503:L503"/>
    <mergeCell ref="A504:L504"/>
    <mergeCell ref="A505:L505"/>
    <mergeCell ref="A506:L506"/>
    <mergeCell ref="A507:L507"/>
    <mergeCell ref="A508:L508"/>
    <mergeCell ref="A509:L509"/>
    <mergeCell ref="A510:L510"/>
    <mergeCell ref="A511:L511"/>
    <mergeCell ref="A494:L494"/>
    <mergeCell ref="A495:L495"/>
    <mergeCell ref="A496:L496"/>
    <mergeCell ref="A497:L497"/>
    <mergeCell ref="A498:L498"/>
    <mergeCell ref="A499:L499"/>
    <mergeCell ref="A500:L500"/>
    <mergeCell ref="A501:L501"/>
    <mergeCell ref="A502:L502"/>
    <mergeCell ref="I257:N257"/>
    <mergeCell ref="I258:N258"/>
    <mergeCell ref="I259:N259"/>
    <mergeCell ref="I260:N260"/>
    <mergeCell ref="I261:N261"/>
    <mergeCell ref="I262:N262"/>
    <mergeCell ref="D15:D16"/>
    <mergeCell ref="C75:I76"/>
    <mergeCell ref="C112:I113"/>
    <mergeCell ref="D111:H111"/>
    <mergeCell ref="C118:I119"/>
    <mergeCell ref="A250:G250"/>
    <mergeCell ref="A251:G251"/>
    <mergeCell ref="A252:G252"/>
    <mergeCell ref="A253:G253"/>
    <mergeCell ref="A254:G254"/>
    <mergeCell ref="A255:G255"/>
    <mergeCell ref="A256:G256"/>
    <mergeCell ref="I250:N250"/>
    <mergeCell ref="I251:N251"/>
    <mergeCell ref="I252:N252"/>
    <mergeCell ref="I253:N253"/>
    <mergeCell ref="I254:N254"/>
    <mergeCell ref="I255:N255"/>
    <mergeCell ref="I256:N256"/>
    <mergeCell ref="D1:E1"/>
    <mergeCell ref="G1:H1"/>
    <mergeCell ref="J1:K1"/>
    <mergeCell ref="M1:N1"/>
    <mergeCell ref="D285:H285"/>
    <mergeCell ref="D286:H287"/>
    <mergeCell ref="D289:H289"/>
    <mergeCell ref="D290:H290"/>
    <mergeCell ref="D291:H291"/>
    <mergeCell ref="D202:H202"/>
    <mergeCell ref="D198:H199"/>
    <mergeCell ref="D195:H195"/>
    <mergeCell ref="D188:H188"/>
    <mergeCell ref="D189:H189"/>
    <mergeCell ref="D190:H190"/>
    <mergeCell ref="D191:H191"/>
    <mergeCell ref="D192:H192"/>
    <mergeCell ref="D193:H193"/>
    <mergeCell ref="D143:H143"/>
    <mergeCell ref="D21:H21"/>
    <mergeCell ref="D22:H22"/>
    <mergeCell ref="D20:H20"/>
    <mergeCell ref="D137:H137"/>
    <mergeCell ref="I263:N263"/>
    <mergeCell ref="D4:H4"/>
    <mergeCell ref="D5:H6"/>
    <mergeCell ref="D8:H8"/>
    <mergeCell ref="D9:H9"/>
    <mergeCell ref="D10:H10"/>
    <mergeCell ref="D11:H11"/>
    <mergeCell ref="D128:H128"/>
    <mergeCell ref="D129:H129"/>
    <mergeCell ref="D130:H130"/>
    <mergeCell ref="D36:H36"/>
    <mergeCell ref="D23:H23"/>
    <mergeCell ref="D24:H24"/>
    <mergeCell ref="D25:H25"/>
    <mergeCell ref="D26:H26"/>
    <mergeCell ref="D27:H27"/>
    <mergeCell ref="D29:H29"/>
    <mergeCell ref="D30:H31"/>
    <mergeCell ref="D33:H33"/>
    <mergeCell ref="D34:H34"/>
    <mergeCell ref="D35:H35"/>
    <mergeCell ref="D53:H53"/>
    <mergeCell ref="D54:H55"/>
    <mergeCell ref="D57:H57"/>
    <mergeCell ref="D58:H58"/>
    <mergeCell ref="D44:H44"/>
    <mergeCell ref="D45:H45"/>
    <mergeCell ref="D46:H46"/>
    <mergeCell ref="D47:H47"/>
    <mergeCell ref="D48:H48"/>
    <mergeCell ref="D49:H49"/>
    <mergeCell ref="D50:H50"/>
    <mergeCell ref="D51:H51"/>
    <mergeCell ref="D301:H302"/>
    <mergeCell ref="D305:H305"/>
    <mergeCell ref="D306:H307"/>
    <mergeCell ref="D310:H310"/>
    <mergeCell ref="D311:H312"/>
    <mergeCell ref="D292:H292"/>
    <mergeCell ref="D293:H293"/>
    <mergeCell ref="D296:H297"/>
    <mergeCell ref="D295:H295"/>
    <mergeCell ref="D300:H300"/>
    <mergeCell ref="D59:H59"/>
    <mergeCell ref="D60:H60"/>
    <mergeCell ref="D203:H203"/>
    <mergeCell ref="D204:H204"/>
    <mergeCell ref="D205:H205"/>
    <mergeCell ref="D197:H197"/>
    <mergeCell ref="D201:H201"/>
    <mergeCell ref="D194:H194"/>
    <mergeCell ref="E158:F158"/>
    <mergeCell ref="E159:F159"/>
    <mergeCell ref="D138:H139"/>
    <mergeCell ref="D141:H141"/>
    <mergeCell ref="D142:H142"/>
    <mergeCell ref="D144:H144"/>
    <mergeCell ref="D133:H133"/>
    <mergeCell ref="D134:H134"/>
    <mergeCell ref="D135:H135"/>
    <mergeCell ref="D132:H132"/>
    <mergeCell ref="D131:H131"/>
    <mergeCell ref="A351:J351"/>
    <mergeCell ref="A352:J352"/>
    <mergeCell ref="A353:J353"/>
    <mergeCell ref="A354:J354"/>
    <mergeCell ref="A355:J355"/>
    <mergeCell ref="A356:J356"/>
    <mergeCell ref="A357:J357"/>
    <mergeCell ref="A358:J358"/>
    <mergeCell ref="A359:J359"/>
    <mergeCell ref="A360:J360"/>
    <mergeCell ref="A361:J361"/>
    <mergeCell ref="A362:J362"/>
    <mergeCell ref="A363:J363"/>
    <mergeCell ref="A364:J364"/>
    <mergeCell ref="A365:J365"/>
    <mergeCell ref="A378:J378"/>
    <mergeCell ref="A379:J379"/>
    <mergeCell ref="A380:J380"/>
    <mergeCell ref="A399:J399"/>
    <mergeCell ref="A400:J400"/>
    <mergeCell ref="C334:I334"/>
    <mergeCell ref="C331:I331"/>
    <mergeCell ref="A372:J372"/>
    <mergeCell ref="A371:J371"/>
    <mergeCell ref="A390:J390"/>
    <mergeCell ref="A391:J391"/>
    <mergeCell ref="A392:J392"/>
    <mergeCell ref="A393:J393"/>
    <mergeCell ref="A394:J394"/>
    <mergeCell ref="A395:J395"/>
    <mergeCell ref="A396:J396"/>
    <mergeCell ref="A397:J397"/>
    <mergeCell ref="A398:J398"/>
    <mergeCell ref="A381:J381"/>
    <mergeCell ref="A382:J382"/>
    <mergeCell ref="A383:J383"/>
    <mergeCell ref="A384:J384"/>
    <mergeCell ref="A385:J385"/>
    <mergeCell ref="A386:J386"/>
    <mergeCell ref="A387:J387"/>
    <mergeCell ref="A388:J388"/>
    <mergeCell ref="A389:J389"/>
    <mergeCell ref="A409:J409"/>
    <mergeCell ref="A410:J410"/>
    <mergeCell ref="A411:J411"/>
    <mergeCell ref="A412:J412"/>
    <mergeCell ref="A413:J413"/>
    <mergeCell ref="A414:J414"/>
    <mergeCell ref="A415:J415"/>
    <mergeCell ref="A416:J416"/>
    <mergeCell ref="A417:J417"/>
    <mergeCell ref="A418:J418"/>
    <mergeCell ref="A419:J419"/>
    <mergeCell ref="A420:J420"/>
    <mergeCell ref="A421:J421"/>
    <mergeCell ref="A422:J422"/>
    <mergeCell ref="A423:J423"/>
    <mergeCell ref="A424:J424"/>
    <mergeCell ref="A425:J425"/>
    <mergeCell ref="A426:J426"/>
    <mergeCell ref="A436:J436"/>
    <mergeCell ref="A437:J437"/>
    <mergeCell ref="A438:J438"/>
    <mergeCell ref="A439:J439"/>
    <mergeCell ref="A440:J440"/>
    <mergeCell ref="A441:J441"/>
    <mergeCell ref="A442:J442"/>
    <mergeCell ref="A427:J427"/>
    <mergeCell ref="A428:J428"/>
    <mergeCell ref="A429:J429"/>
    <mergeCell ref="A430:J430"/>
    <mergeCell ref="A431:J431"/>
    <mergeCell ref="A432:J432"/>
    <mergeCell ref="A433:J433"/>
    <mergeCell ref="A434:J434"/>
    <mergeCell ref="A435:J435"/>
    <mergeCell ref="C453:I453"/>
    <mergeCell ref="C456:I456"/>
    <mergeCell ref="A486:L486"/>
    <mergeCell ref="A487:L487"/>
    <mergeCell ref="A488:L488"/>
    <mergeCell ref="A489:L489"/>
    <mergeCell ref="A490:L490"/>
    <mergeCell ref="A491:L491"/>
    <mergeCell ref="A492:L492"/>
    <mergeCell ref="A493:L493"/>
    <mergeCell ref="H158:I158"/>
    <mergeCell ref="H159:I159"/>
    <mergeCell ref="D68:H68"/>
    <mergeCell ref="D69:H69"/>
    <mergeCell ref="D70:H70"/>
    <mergeCell ref="D71:H71"/>
    <mergeCell ref="D72:H72"/>
    <mergeCell ref="D73:H73"/>
    <mergeCell ref="D74:H74"/>
  </mergeCells>
  <conditionalFormatting sqref="C464:I473">
    <cfRule type="expression" dxfId="8" priority="7" stopIfTrue="1">
      <formula>_xlfn.LET(     _xlpm.max_demerit, $M$458,     _xlpm.value, C464,     _xlpm.expected, C$454,     _xlpm.header, C$463,     _xlpm.guide_value, C$457:C$458,     _xlpm.guide_score, $M$457:$M$458,     _xlpm.mask, C$461,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  <cfRule type="expression" dxfId="7" priority="8">
      <formula>_xlfn.LET(     _xlpm.max_demerit, $M$457,     _xlpm.value, C464,     _xlpm.expected, C$454,     _xlpm.header, C$463,     _xlpm.guide_value, C$457:C$458,     _xlpm.guide_score, $M$457:$M$458,     _xlpm.mask, C$461,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</conditionalFormatting>
  <conditionalFormatting sqref="E160:F184">
    <cfRule type="expression" dxfId="6" priority="13">
      <formula>E160=""</formula>
    </cfRule>
  </conditionalFormatting>
  <conditionalFormatting sqref="N295:N298">
    <cfRule type="expression" dxfId="5" priority="15">
      <formula>N295&lt;&gt;""</formula>
    </cfRule>
  </conditionalFormatting>
  <conditionalFormatting sqref="N308:N311">
    <cfRule type="expression" dxfId="4" priority="14">
      <formula>N308&lt;&gt;""</formula>
    </cfRule>
  </conditionalFormatting>
  <conditionalFormatting sqref="R295:R298">
    <cfRule type="expression" dxfId="3" priority="6">
      <formula>R295&lt;&gt;""</formula>
    </cfRule>
  </conditionalFormatting>
  <conditionalFormatting sqref="H160:I184">
    <cfRule type="expression" dxfId="2" priority="3">
      <formula>H160=""</formula>
    </cfRule>
  </conditionalFormatting>
  <conditionalFormatting sqref="M464:S473">
    <cfRule type="expression" dxfId="1" priority="2">
      <formula>M464=""</formula>
    </cfRule>
  </conditionalFormatting>
  <conditionalFormatting sqref="U464:AA473">
    <cfRule type="expression" dxfId="0" priority="1">
      <formula>U464=""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5F79E-9BE3-4314-82CB-749EB61D3D75}">
  <dimension ref="A14:A31"/>
  <sheetViews>
    <sheetView workbookViewId="0">
      <selection activeCell="A14" sqref="A14:A31"/>
    </sheetView>
  </sheetViews>
  <sheetFormatPr defaultRowHeight="15" x14ac:dyDescent="0.25"/>
  <cols>
    <col min="1" max="1" width="39.75" customWidth="1"/>
  </cols>
  <sheetData>
    <row r="14" spans="1:1" x14ac:dyDescent="0.25">
      <c r="A14" t="s">
        <v>559</v>
      </c>
    </row>
    <row r="15" spans="1:1" x14ac:dyDescent="0.25">
      <c r="A15" t="s">
        <v>573</v>
      </c>
    </row>
    <row r="16" spans="1:1" x14ac:dyDescent="0.25">
      <c r="A16" t="s">
        <v>574</v>
      </c>
    </row>
    <row r="17" spans="1:1" x14ac:dyDescent="0.25">
      <c r="A17" t="s">
        <v>575</v>
      </c>
    </row>
    <row r="19" spans="1:1" x14ac:dyDescent="0.25">
      <c r="A19" t="s">
        <v>576</v>
      </c>
    </row>
    <row r="20" spans="1:1" x14ac:dyDescent="0.25">
      <c r="A20" t="s">
        <v>565</v>
      </c>
    </row>
    <row r="22" spans="1:1" x14ac:dyDescent="0.25">
      <c r="A22" t="s">
        <v>562</v>
      </c>
    </row>
    <row r="23" spans="1:1" x14ac:dyDescent="0.25">
      <c r="A23" t="s">
        <v>563</v>
      </c>
    </row>
    <row r="25" spans="1:1" x14ac:dyDescent="0.25">
      <c r="A25" t="s">
        <v>564</v>
      </c>
    </row>
    <row r="27" spans="1:1" x14ac:dyDescent="0.25">
      <c r="A27" t="s">
        <v>570</v>
      </c>
    </row>
    <row r="28" spans="1:1" x14ac:dyDescent="0.25">
      <c r="A28" s="100" t="s">
        <v>569</v>
      </c>
    </row>
    <row r="29" spans="1:1" x14ac:dyDescent="0.25">
      <c r="A29" s="100" t="s">
        <v>555</v>
      </c>
    </row>
    <row r="30" spans="1:1" x14ac:dyDescent="0.25">
      <c r="A30" s="100" t="s">
        <v>554</v>
      </c>
    </row>
    <row r="31" spans="1:1" x14ac:dyDescent="0.25">
      <c r="A31" s="100" t="s">
        <v>556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FkATQBE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D7A8D956-6E0E-47D1-9180-8F905735AA0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Introduction</vt:lpstr>
      <vt:lpstr>Excel Labs</vt:lpstr>
      <vt:lpstr>LET</vt:lpstr>
      <vt:lpstr>LAMBDA</vt:lpstr>
      <vt:lpstr>Examples</vt:lpstr>
      <vt:lpstr>Sheet2</vt:lpstr>
    </vt:vector>
  </TitlesOfParts>
  <Company>CGC-CCG Office SAC Bilingue - patched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Bestvater (CGC/CCG)</dc:creator>
  <cp:lastModifiedBy>Michael Bestvater (CGC/CCG)</cp:lastModifiedBy>
  <dcterms:created xsi:type="dcterms:W3CDTF">2025-10-31T14:22:38Z</dcterms:created>
  <dcterms:modified xsi:type="dcterms:W3CDTF">2026-07-07T18:21:08Z</dcterms:modified>
</cp:coreProperties>
</file>