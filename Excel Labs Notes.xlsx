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est\Downloads\"/>
    </mc:Choice>
  </mc:AlternateContent>
  <xr:revisionPtr revIDLastSave="0" documentId="13_ncr:1_{D1E100BD-4E42-4128-9F1A-D651029E2B4A}" xr6:coauthVersionLast="47" xr6:coauthVersionMax="47" xr10:uidLastSave="{00000000-0000-0000-0000-000000000000}"/>
  <bookViews>
    <workbookView xWindow="-120" yWindow="-120" windowWidth="57840" windowHeight="23520" tabRatio="689" activeTab="3" xr2:uid="{EA5502AB-B07A-4DFD-8E93-AE0D9A6CC473}"/>
  </bookViews>
  <sheets>
    <sheet name="Introduction" sheetId="21" r:id="rId1"/>
    <sheet name="Excel Labs" sheetId="7" r:id="rId2"/>
    <sheet name="LET" sheetId="2" r:id="rId3"/>
    <sheet name="LAMBDA" sheetId="18" r:id="rId4"/>
    <sheet name="Examples" sheetId="14" r:id="rId5"/>
  </sheets>
  <definedNames>
    <definedName name="DESC_STATS" comment="Outputs a table of descriptive statistics. Calculation options: sum, mean, med, mode, mad, sem, std, var, rsd, iqr, p02, p2, p16, p25, p75, p84, p98, p99, min, max, rng, kurt, skew, vmr.">_xlfn.LAMBDA(_xlpm.data,_xlop.calculations,_xlfn.LET(_xlpm.get_sum, _xlfn.LAMBDA(_xlpm.x, SUM(_xlpm.x)), _xlpm.get_mean, _xlfn.LAMBDA(_xlpm.x, AVERAGE(_xlpm.x)), _xlpm.get_med, _xlfn.LAMBDA(_xlpm.x, MEDIAN(_xlpm.x)), _xlpm.get_mode, _xlfn.LAMBDA(_xlpm.x, _xlfn.MODE.SNGL(_xlpm.x)), _xlpm.get_mad, _xlfn.LAMBDA(_xlpm.x, SUM(_xlpm.x - AVERAGE(_xlpm.x)) / COUNT(_xlpm.x)), _xlpm.get_sem, _xlfn.LAMBDA(_xlpm.x, _xlfn.STDEV.S(_xlpm.x) / SQRT(COUNT(_xlpm.x))), _xlpm.get_std, _xlfn.LAMBDA(_xlpm.x, _xlfn.STDEV.S(_xlpm.x)), _xlpm.get_var, _xlfn.LAMBDA(_xlpm.x, _xlfn.VAR.S(_xlpm.x)), _xlpm.get_rsd, _xlfn.LAMBDA(_xlpm.x, _xlfn.STDEV.S(_xlpm.x) / AVERAGE(_xlpm.x)), _xlpm.get_iqr, _xlfn.LAMBDA(_xlpm.x, _xlfn.PERCENTILE.INC(_xlpm.x, 0.75) - _xlfn.PERCENTILE.INC(_xlpm.x, 0.25)), _xlpm.get_p02, _xlfn.LAMBDA(_xlpm.x, _xlfn.PERCENTILE.INC(_xlpm.x, 0.002)), _xlpm.get_p2, _xlfn.LAMBDA(_xlpm.x, _xlfn.PERCENTILE.INC(_xlpm.x, 0.023)), _xlpm.get_p16, _xlfn.LAMBDA(_xlpm.x, _xlfn.PERCENTILE.INC(_xlpm.x, 0.159)), _xlpm.get_p25, _xlfn.LAMBDA(_xlpm.x, _xlfn.PERCENTILE.INC(_xlpm.x, 0.25)), _xlpm.get_p75, _xlfn.LAMBDA(_xlpm.x, _xlfn.PERCENTILE.INC(_xlpm.x, 0.75)), _xlpm.get_p84, _xlfn.LAMBDA(_xlpm.x, _xlfn.PERCENTILE.INC(_xlpm.x, 0.841)), _xlpm.get_p98, _xlfn.LAMBDA(_xlpm.x, _xlfn.PERCENTILE.INC(_xlpm.x, 0.977)), _xlpm.get_p99, _xlfn.LAMBDA(_xlpm.x, _xlfn.PERCENTILE.INC(_xlpm.x, 0.998)), _xlpm.get_min, _xlfn.LAMBDA(_xlpm.x, MIN(_xlpm.x)), _xlpm.get_max, _xlfn.LAMBDA(_xlpm.x, MAX(_xlpm.x)), _xlpm.get_rng, _xlfn.LAMBDA(_xlpm.x, MAX(_xlpm.x) - MIN(_xlpm.x)), _xlpm.get_kurt, _xlfn.LAMBDA(_xlpm.x, KURT(_xlpm.x)), _xlpm.get_skew, _xlfn.LAMBDA(_xlpm.x, SKEW(_xlpm.x)), _xlpm.get_vmr, _xlfn.LAMBDA(_xlpm.x, _xlfn.VAR.S(_xlpm.x) / AVERAGE(_xlpm.x)), _xlpm.known_calcs, {"sum";"mean";"med";"mode";"mad";"sem";"std";"var";"rsd";"iqr";"p02";"p2";"p16";"p25";"p75";"p84";"p98";"p99";"min";"max";"rng";"kurt";"skew";"vmr"}, _xlpm.get_agg, _xlfn.LAMBDA(_xlpm.id,_xlpm.data, CHOOSE(_xlpm.id, _xlpm.get_sum, _xlpm.get_mean, _xlpm.get_med, _xlpm.get_mode, _xlpm.get_mad, _xlpm.get_sem, _xlpm.get_std, _xlpm.get_var, _xlpm.get_rsd, _xlpm.get_iqr, _xlpm.get_p02, _xlpm.get_p2, _xlpm.get_p16, _xlpm.get_p25, _xlpm.get_p75, _xlpm.get_p84, _xlpm.get_p98, _xlpm.get_p99, _xlpm.get_min, _xlpm.get_max, _xlpm.get_rng, _xlpm.get_kurt, _xlpm.get_skew, _xlpm.get_vmr)(_xlpm.data)), _xlpm.calcs, IF(_xlfn.ISOMITTED(_xlpm.calculations), _xlpm.known_calcs, IF(ROWS(_xlpm.calculations) = 1, TRANSPOSE(_xlpm.calculations), _xlpm.calculations)), _xlpm.unknown_calcs, _xlfn._xlws.FILTER(_xlpm.calcs, ISERROR(_xlfn.XMATCH(_xlpm.calcs, _xlpm.known_calcs, 0))), _xlpm.return, IF(TYPE(_xlpm.unknown_calcs) = 64, "#FUNC!" &amp; _xlfn.ARRAYTOTEXT(_xlpm.unknown_calcs), _xlfn.MAKEARRAY(ROWS(_xlpm.calcs), COLUMNS(_xlpm.data) + 1, _xlfn.LAMBDA(_xlpm.r,_xlpm.c, _xlfn.LET(_xlpm.func_name, INDEX(_xlpm.calcs, _xlpm.r, 1), _xlpm.func_id, _xlfn.XMATCH(_xlpm.func_name, _xlpm.known_calcs, 0), _xlpm.return, IF(_xlpm.c = 1, _xlpm.func_name, _xlpm.get_agg(_xlpm.func_id, INDEX(_xlpm.data, 0, _xlpm.c - 1))), _xlpm.return)))), _xlpm.return))</definedName>
    <definedName name="DILUTIONEQ" comment="Solves the dilution equation when one parameter is omitted or blank.">_xlfn.LAMBDA(_xlop.c_1,_xlop.v_1,_xlop.c_2,_xlop.v_2,_xlfn.LET(_xlpm.is_omit, _xlfn.LAMBDA(_xlpm.value, IF(OR(_xlfn.ISOMITTED(_xlpm.value), ISBLANK(_xlpm.value)), TRUE, FALSE)), _xlpm.omit, _xlfn.VSTACK(_xlpm.is_omit(_xlpm.c_1), _xlpm.is_omit(_xlpm.v_1), _xlpm.is_omit(_xlpm.c_2), _xlpm.is_omit(_xlpm.v_2)), _xlpm.n_omits, SUM(--_xlpm.omit), _xlpm.return, _xlfn.IFS(_xlpm.n_omits &lt;&gt; 1, "#UNKs!", INDEX(_xlpm.omit, 1), (_xlpm.c_2 * _xlpm.v_2) / _xlpm.v_1, INDEX(_xlpm.omit, 2), (_xlpm.c_2 * _xlpm.v_2) / _xlpm.c_1, INDEX(_xlpm.omit, 3), (_xlpm.c_1 * _xlpm.v_1) / _xlpm.v_2, INDEX(_xlpm.omit, 4), (_xlpm.c_1 * _xlpm.v_1) / _xlpm.c_2, TRUE, "#OMITs!"), _xlpm.return))</definedName>
    <definedName name="H_TO_PH" comment="Calculates the pH from the concentration (M) of hydronium ions">_xlfn.LAMBDA(_xlpm.hydronium,-LOG10(_xlpm.hydronium))</definedName>
    <definedName name="IQR" comment="Calculates the interquartile range.">_xlfn.LAMBDA(_xlpm.data,_xlfn.LET(_xlpm.q_1, _xlfn.QUARTILE.INC(_xlpm.data, 1), _xlpm.q_3, _xlfn.QUARTILE.INC(_xlpm.data, 3), _xlpm.iqr, _xlpm.q_3 - _xlpm.q_1, _xlpm.return, _xlpm.iqr, _xlpm.return))</definedName>
    <definedName name="MAKE_ACID" comment="Calculates the mass to make a strong or weak acid. Requires molecular weight, volume and pH. Optionally add Ka for weak acid calculation.">_xlfn.LAMBDA(_xlpm.molecular_weight,_xlpm.volume,_xlpm.pH,_xlop.Ka,_xlfn.LET(_xlpm.h_conc, 10 ^ (-_xlpm.pH), _xlpm.chk_Ka, IF(OR(_xlfn.ISOMITTED(_xlpm.Ka), ISBLANK(_xlpm.Ka)), FALSE, TRUE), _xlpm.molarity, IF(_xlpm.chk_Ka, (_xlpm.h_conc ^ 2 / _xlpm.Ka) + _xlpm.h_conc, _xlpm.h_conc), _xlpm.moles, _xlpm.molarity * _xlpm.volume, _xlpm.mass, _xlpm.moles * _xlpm.molecular_weight, _xlpm.return, _xlpm.mass, _xlpm.return))</definedName>
    <definedName name="MAKE_STRONG_ACID" comment="Calculates the mass to make a strong acid. Requires molecular weight, volume and pH.">_xlfn.LAMBDA(_xlpm.molecular_weight,_xlpm.volume,_xlpm.pH,_xlfn.LET(_xlpm.molarity, 10 ^ (-_xlpm.pH), _xlpm.moles, _xlpm.molarity * _xlpm.volume, _xlpm.mass, _xlpm.moles * _xlpm.molecular_weight, _xlpm.return, _xlpm.mass, _xlpm.return))</definedName>
    <definedName name="MAKE_WEAK_ACID" comment="Calculates the mass required to make a weak acid. Requires molecular weight, Ka, and the desired final volume and pH of the solution.">_xlfn.LAMBDA(_xlpm.molecular_weight,_xlpm.volume,_xlpm.pH,_xlpm.Ka,_xlfn.LET(_xlpm.h_conc, 10 ^ (-_xlpm.pH), _xlpm.molarity, (_xlpm.h_conc ^ 2 / _xlpm.Ka) + _xlpm.h_conc, _xlpm.moles, _xlpm.molarity * _xlpm.volume, _xlpm.mass, _xlpm.moles * _xlpm.molecular_weight, _xlpm.return, _xlpm.mass, _xlpm.return))</definedName>
    <definedName name="MERIT_ASSESSMENT">_xlfn.LAMBDA(_xlpm.data,_xlpm.expected,_xlpm.headers,_xlpm.guideline_values,_xlpm.guideline_scores,_xlpm.max_demerits,_xlfn.LET(_xlpm.get_merit, _xlfn.LAMBDA(_xlpm.array, _xlfn.MAKEARRAY(ROWS(_xlpm.array), COLUMNS(_xlpm.array), _xlfn.LAMBDA(_xlpm.r,_xlpm.c, _xlfn.LET(_xlpm.i, _xlfn.LAMBDA(_xlpm.x, INDEX(_xlpm.x, _xlpm.r)), _xlpm.j, _xlfn.LAMBDA(_xlpm.x, INDEX(_xlpm.x, , _xlpm.c)), _xlpm.val, _xlpm.i(_xlpm.j(_xlpm.array)), _xlpm.diff, ABS(_xlpm.val - _xlpm.j(_xlpm.expected)), _xlpm.is_blk, ISBLANK(_xlpm.val), _xlpm.msg, _xlpm.j(_xlpm.headers), _xlpm.score, _xlfn.XLOOKUP(_xlpm.diff, _xlpm.j(_xlpm.guideline_values), _xlpm.guideline_scores, 0, -1), _xlpm.return, IF(_xlpm.is_blk, _xlpm.msg, _xlpm.score), _xlpm.return)))), _xlpm.merit_arr, _xlpm.get_merit(_xlpm.data), _xlpm.blk_lbls, _xlfn.LET(_xlpm.is_txt, ISTEXT(_xlpm.merit_arr), _xlpm.txt, IF(_xlpm.is_txt, _xlpm.merit_arr, ""), _xlpm.return, _xlfn.BYROW(_xlpm.txt, _xlfn.LAMBDA(_xlpm.r, _xlfn.TEXTJOIN(", ", TRUE, _xlpm.r))), _xlpm.return), _xlpm.merit_sum, _xlfn.BYROW(_xlpm.merit_arr, _xleta.SUM), _xlpm.msg, IF(_xlpm.merit_sum &lt; _xlpm.max_demerits, "Pass", "Discuss"), _xlpm.msg_blks, "[" &amp; _xlpm.merit_sum &amp; "] BLK: " &amp; _xlpm.blk_lbls, _xlpm.return, IF(_xlpm.blk_lbls = "", _xlpm.msg, _xlpm.msg_blks), _xlpm.return))</definedName>
    <definedName name="MOLARITY" comment="Calculate the molarity (M) from the moles and volume.">_xlfn.LAMBDA(_xlpm.moles,_xlpm.volume,_xlpm.moles / _xlpm.volume)</definedName>
    <definedName name="MOLES" comment="Calculates the moles from the mass and molecular weight.">_xlfn.LAMBDA(_xlpm.mass,_xlpm.molecular_weight,_xlpm.mass / _xlpm.molecular_weight)</definedName>
    <definedName name="myPOWER" comment="Replicates the built-in Excel function POWER">_xlfn.LAMBDA(_xlpm.num,_xlpm.pwr,_xlpm.num ^ _xlpm.pwr)</definedName>
    <definedName name="RANGE" comment="Calculates the range.">_xlfn.LAMBDA(_xlpm.data,_xlfn.LET(_xlpm.min, MIN(_xlpm.data), _xlpm.max, MAX(_xlpm.data), _xlpm.range, _xlpm.max - _xlpm.min, _xlpm.return, _xlpm.range, _xlpm.return))</definedName>
    <definedName name="RSD" comment="Calculate the relative standard deviation of an array or range.">_xlfn.LAMBDA(_xlpm.data,_xlfn.LET(_xlpm.avg, AVERAGE(_xlpm.data), _xlpm.std, _xlfn.STDEV.S(_xlpm.data), _xlpm.rsd, _xlpm.std / _xlpm.avg, _xlpm.return, _xlpm.rsd, _xlpm.return))</definedName>
    <definedName name="RSD_ADV" comment="Calculate the relative standard deviation of an array or range. Optional parameter to output the average and standard deviation.">_xlfn.LAMBDA(_xlpm.data,_xlop.summary_stats,_xlfn.LET(_xlpm.avg, AVERAGE(_xlpm.data), _xlpm.std, _xlfn.STDEV.S(_xlpm.data), _xlpm.rsd, _xlpm.std / _xlpm.avg, _xlpm.stats, IF(_xlfn.ISOMITTED(_xlpm.summary_stats), FALSE, _xlpm.summary_stats), _xlpm.lbls, {"Avg";"Std";"RSD"}, _xlpm.return, IF(_xlpm.stats, _xlfn.HSTACK(_xlpm.lbls, _xlfn.VSTACK(_xlpm.avg, _xlpm.std, _xlpm.rsd)), _xlpm.rsd), _xlpm.return))</definedName>
    <definedName name="SEM" comment="Calculates the standard error of the mean.">_xlfn.LAMBDA(_xlpm.data,_xlfn.LET(_xlpm.std, _xlfn.STDEV.S(_xlpm.data), _xlpm.n, COUNT(_xlpm.data), _xlpm.sem, _xlpm.std / SQRT(_xlpm.n), _xlpm.return, _xlpm.sem, _xlpm.return))</definedName>
    <definedName name="ZSCORE" comment="Calculates the z score of an array.">_xlfn.LAMBDA(_xlpm.data,_xlfn.LET(_xlpm.avg, AVERAGE(_xlpm.data), _xlpm.std, _xlfn.STDEV.S(_xlpm.data), _xlpm.zscore, (_xlpm.data - _xlpm.avg) / _xlpm.std, _xlpm.return, _xlpm.zscore, _xlpm.return))</definedName>
    <definedName name="ZSCORE_TABLE" comment="Calculates the z score of values in a table or range">_xlfn.LAMBDA(_xlpm.x,_xlpm.data,_xlfn.LET(_xlpm.avg, AVERAGE(_xlpm.data), _xlpm.std, _xlfn.STDEV.S(_xlpm.data), _xlpm.zscore, (_xlpm.x - _xlpm.avg) / _xlpm.std, _xlpm.return, _xlpm.zscore, _xlpm.return))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5" i="14" l="1" a="1"/>
  <c r="H215" i="14" s="1"/>
  <c r="E215" i="14" a="1"/>
  <c r="E215" i="14" s="1"/>
  <c r="M264" i="14" a="1"/>
  <c r="M264" i="14" s="1"/>
  <c r="J264" i="14"/>
  <c r="J273" i="14"/>
  <c r="J272" i="14"/>
  <c r="J271" i="14"/>
  <c r="J270" i="14"/>
  <c r="J269" i="14"/>
  <c r="J268" i="14"/>
  <c r="J267" i="14"/>
  <c r="J266" i="14"/>
  <c r="J265" i="14"/>
  <c r="D176" i="14" a="1"/>
  <c r="D176" i="14" s="1"/>
  <c r="D168" i="14" a="1"/>
  <c r="D168" i="14" s="1"/>
  <c r="D160" i="14" a="1"/>
  <c r="D160" i="14" s="1"/>
  <c r="J5" i="14"/>
  <c r="L5" i="14" a="1"/>
  <c r="L5" i="14" s="1"/>
  <c r="N5" i="14" a="1"/>
  <c r="N5" i="14" s="1"/>
  <c r="P19" i="14" a="1"/>
  <c r="P19" i="14" s="1"/>
  <c r="I43" i="18" a="1"/>
  <c r="I43" i="18" s="1"/>
  <c r="B116" i="14"/>
  <c r="B135" i="14"/>
  <c r="B120" i="14"/>
  <c r="B123" i="14"/>
  <c r="B124" i="14"/>
  <c r="B125" i="14"/>
  <c r="B126" i="14"/>
  <c r="B128" i="14"/>
  <c r="B131" i="14"/>
  <c r="B132" i="14"/>
  <c r="B133" i="14"/>
  <c r="D117" i="14"/>
  <c r="G116" i="14" s="1" a="1"/>
  <c r="G116" i="14" s="1"/>
  <c r="D119" i="14"/>
  <c r="D118" i="14"/>
  <c r="R91" i="14" a="1"/>
  <c r="R91" i="14" s="1"/>
  <c r="B91" i="14"/>
  <c r="J19" i="14"/>
  <c r="L19" i="14" a="1"/>
  <c r="L19" i="14" s="1"/>
  <c r="B43" i="14"/>
  <c r="B19" i="14"/>
  <c r="B5" i="14"/>
  <c r="I39" i="2"/>
  <c r="I33" i="2"/>
  <c r="I28" i="2"/>
  <c r="N197" i="14" a="1"/>
  <c r="N197" i="14" s="1"/>
  <c r="A251" i="14"/>
  <c r="K264" i="14" a="1"/>
  <c r="K264" i="14" s="1"/>
  <c r="K267" i="14" a="1"/>
  <c r="K267" i="14" s="1"/>
  <c r="K265" i="14" a="1"/>
  <c r="K265" i="14" s="1"/>
  <c r="K266" i="14" a="1"/>
  <c r="K266" i="14" s="1"/>
  <c r="K268" i="14" a="1"/>
  <c r="K268" i="14" s="1"/>
  <c r="K269" i="14" a="1"/>
  <c r="K269" i="14" s="1"/>
  <c r="K270" i="14" a="1"/>
  <c r="K270" i="14" s="1"/>
  <c r="K271" i="14" a="1"/>
  <c r="K271" i="14" s="1"/>
  <c r="K272" i="14" a="1"/>
  <c r="K272" i="14" s="1"/>
  <c r="K273" i="14" a="1"/>
  <c r="K273" i="14" s="1"/>
  <c r="B121" i="14" l="1"/>
  <c r="B122" i="14"/>
  <c r="B118" i="14"/>
  <c r="B134" i="14"/>
  <c r="B130" i="14"/>
  <c r="B129" i="14"/>
  <c r="B127" i="14"/>
  <c r="B119" i="14"/>
  <c r="B117" i="14"/>
  <c r="B192" i="14"/>
  <c r="P30" i="14" a="1"/>
  <c r="P30" i="14" s="1"/>
  <c r="N91" i="14" a="1"/>
  <c r="N91" i="14" s="1"/>
  <c r="P91" i="14" a="1"/>
  <c r="P91" i="14" s="1"/>
  <c r="J91" i="14"/>
  <c r="E109" i="14"/>
  <c r="N90" i="18" a="1"/>
  <c r="N90" i="18" s="1"/>
  <c r="N79" i="18" a="1"/>
  <c r="N79" i="18" s="1"/>
  <c r="N65" i="18" a="1"/>
  <c r="N65" i="18" s="1"/>
  <c r="I32" i="18"/>
  <c r="I37" i="18" a="1"/>
  <c r="I37" i="18" s="1"/>
  <c r="N210" i="14" a="1"/>
  <c r="N210" i="14" s="1"/>
  <c r="L43" i="14" a="1"/>
  <c r="L43" i="14" s="1"/>
  <c r="L67" i="14" a="1"/>
  <c r="L67" i="14" s="1"/>
  <c r="B210" i="14"/>
  <c r="B204" i="14"/>
  <c r="B198" i="14"/>
  <c r="J210" i="14"/>
  <c r="J204" i="14"/>
  <c r="J198" i="14"/>
  <c r="J192" i="14"/>
  <c r="N19" i="14" a="1"/>
  <c r="N19" i="14" s="1"/>
  <c r="N43" i="14" a="1"/>
  <c r="N43" i="14" s="1"/>
  <c r="J43" i="14"/>
  <c r="N67" i="14" a="1"/>
  <c r="N67" i="14" s="1"/>
  <c r="J67" i="14"/>
  <c r="B67" i="14"/>
  <c r="E85" i="14"/>
  <c r="E86" i="14"/>
  <c r="E62" i="14"/>
  <c r="E61" i="14"/>
  <c r="E38" i="14"/>
  <c r="E37" i="14"/>
  <c r="E14" i="14"/>
  <c r="E13" i="14"/>
  <c r="B92" i="14"/>
  <c r="E110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L91" i="14" l="1"/>
  <c r="L98" i="14"/>
  <c r="L108" i="14"/>
  <c r="L105" i="14"/>
  <c r="L104" i="14"/>
  <c r="L110" i="14"/>
  <c r="L102" i="14"/>
  <c r="L109" i="14"/>
  <c r="L103" i="14"/>
  <c r="L101" i="14"/>
  <c r="L97" i="14"/>
  <c r="L107" i="14"/>
  <c r="L106" i="14"/>
  <c r="L100" i="14"/>
  <c r="L99" i="14"/>
  <c r="L94" i="14"/>
  <c r="L93" i="14"/>
  <c r="L92" i="14"/>
  <c r="L96" i="14"/>
  <c r="L95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<sst xmlns="http://schemas.openxmlformats.org/spreadsheetml/2006/main" count="778" uniqueCount="551">
  <si>
    <t>RSD</t>
  </si>
  <si>
    <t>RANGE</t>
  </si>
  <si>
    <t>Data</t>
  </si>
  <si>
    <t>LAMBDA</t>
  </si>
  <si>
    <t>LET</t>
  </si>
  <si>
    <t>avg</t>
  </si>
  <si>
    <t>std</t>
  </si>
  <si>
    <t>Range</t>
  </si>
  <si>
    <t>Output</t>
  </si>
  <si>
    <t>c_1</t>
  </si>
  <si>
    <t>v_2</t>
  </si>
  <si>
    <t>c_2</t>
  </si>
  <si>
    <t>v_1</t>
  </si>
  <si>
    <t>name1</t>
  </si>
  <si>
    <t>value1</t>
  </si>
  <si>
    <t>Argument</t>
  </si>
  <si>
    <t>Description</t>
  </si>
  <si>
    <t>Required. The first name to assign. Must start with a letter. Cannot be the output of a formula or conflict with range syntax.</t>
  </si>
  <si>
    <t>Required. The value that is assigned to name1.</t>
  </si>
  <si>
    <t>name2</t>
  </si>
  <si>
    <t>value2</t>
  </si>
  <si>
    <t>…</t>
  </si>
  <si>
    <t>Optional. The second name to assign.</t>
  </si>
  <si>
    <t>Optional. The value that is assigned to name2.</t>
  </si>
  <si>
    <t>calculation</t>
  </si>
  <si>
    <t>Improved Performance</t>
  </si>
  <si>
    <t>Why Use LET?</t>
  </si>
  <si>
    <t>What is LET?</t>
  </si>
  <si>
    <t>Syntax</t>
  </si>
  <si>
    <t>Readability</t>
  </si>
  <si>
    <t>Required. The last argument in the LET function which returns a result. This can be a calculation or a reference to a previous named variable.</t>
  </si>
  <si>
    <t>References</t>
  </si>
  <si>
    <t>Excel Requirements:</t>
  </si>
  <si>
    <t>Name</t>
  </si>
  <si>
    <t>Rating</t>
  </si>
  <si>
    <t>Clear, descriptive, easy to read</t>
  </si>
  <si>
    <t>Explains the transformation</t>
  </si>
  <si>
    <t>Self-explanatory</t>
  </si>
  <si>
    <t>Justification for Rating</t>
  </si>
  <si>
    <t>Good</t>
  </si>
  <si>
    <t>filtered_data</t>
  </si>
  <si>
    <t>x</t>
  </si>
  <si>
    <t>temp</t>
  </si>
  <si>
    <t>data</t>
  </si>
  <si>
    <t>value</t>
  </si>
  <si>
    <t>a1calc</t>
  </si>
  <si>
    <t>Usage dependent; requires additional context</t>
  </si>
  <si>
    <t>Unclear (temperature, temporary)</t>
  </si>
  <si>
    <t>Ambiguous in multi-step formula</t>
  </si>
  <si>
    <t>Fair</t>
  </si>
  <si>
    <t>Poor</t>
  </si>
  <si>
    <t>A1</t>
  </si>
  <si>
    <t>Looks like a cell reference (confusing / invalid)</t>
  </si>
  <si>
    <t>SUM</t>
  </si>
  <si>
    <t>Conflicts with built-in function</t>
  </si>
  <si>
    <t>1total</t>
  </si>
  <si>
    <t>Cannot start with a number</t>
  </si>
  <si>
    <t>total sales</t>
  </si>
  <si>
    <t>Spaces not allowed</t>
  </si>
  <si>
    <t>tax-rate</t>
  </si>
  <si>
    <t>Hyphens not allowed</t>
  </si>
  <si>
    <t>@value</t>
  </si>
  <si>
    <t>Special characters not allowed</t>
  </si>
  <si>
    <t>Unacceptable</t>
  </si>
  <si>
    <t>var_1</t>
  </si>
  <si>
    <t>Optional. Additional name-value pairs (up to 126 in total).</t>
  </si>
  <si>
    <t>Other Tips and Tricks</t>
  </si>
  <si>
    <t>Example Formulas Using LET</t>
  </si>
  <si>
    <t>LET()</t>
  </si>
  <si>
    <t>• Must begin with a letter and are not case-sensitive (i.e., ASDF = asdf).</t>
  </si>
  <si>
    <t>• Can contain numbers, but not in the first character (i.e., step1, step2).</t>
  </si>
  <si>
    <t>• Cannot mimic cell reference names (i.e., ct1, ct2); Excel will treat these as cell references instead of names.</t>
  </si>
  <si>
    <t>• The only other allowable non-alphanumeric value is an underscore (_) (i.e., step_1, step_2)</t>
  </si>
  <si>
    <t>• Use camelCase, snake_case, or single words</t>
  </si>
  <si>
    <t>• Name should reflect what the variable represents</t>
  </si>
  <si>
    <t>• Be specific, but not too long</t>
  </si>
  <si>
    <t>• Avoid using one-letter variables (unless within a math formula)</t>
  </si>
  <si>
    <t>• Use line breaks (ALT + ENTER) and spaces to help give structure to formulas.</t>
  </si>
  <si>
    <t>Example Variable Names</t>
  </si>
  <si>
    <t>Concise and meaningful</t>
  </si>
  <si>
    <t>zscore</t>
  </si>
  <si>
    <t>z</t>
  </si>
  <si>
    <t>Ambiguous; z-score, z-axis?</t>
  </si>
  <si>
    <t>this_is_the_sum</t>
  </si>
  <si>
    <t>Too long and vauge; sum of what?</t>
  </si>
  <si>
    <t>General Naming Recommendations:</t>
  </si>
  <si>
    <t>moles</t>
  </si>
  <si>
    <t>volume_L</t>
  </si>
  <si>
    <t>totalVolume</t>
  </si>
  <si>
    <t>where,</t>
  </si>
  <si>
    <t>z = z score</t>
  </si>
  <si>
    <t>x = value of element</t>
  </si>
  <si>
    <t>Z-Score</t>
  </si>
  <si>
    <t>Calculate the z-score of each element in a dataset</t>
  </si>
  <si>
    <t xml:space="preserve">Z-score is a statistical measure that </t>
  </si>
  <si>
    <t xml:space="preserve">mean of a group of values. It is expressed </t>
  </si>
  <si>
    <t xml:space="preserve">in terms of standard deviations from the </t>
  </si>
  <si>
    <t xml:space="preserve">mean. The Z-score indicates how many </t>
  </si>
  <si>
    <t xml:space="preserve">standard deviations an element is from the </t>
  </si>
  <si>
    <t>mean.</t>
  </si>
  <si>
    <t>What is Z-Score?</t>
  </si>
  <si>
    <t>Z-Score Formula</t>
  </si>
  <si>
    <t>no LET</t>
  </si>
  <si>
    <t>LET spill</t>
  </si>
  <si>
    <t>Calculate the relative standard deviation</t>
  </si>
  <si>
    <t>Calculate the range</t>
  </si>
  <si>
    <t>Calculate the interquartile range</t>
  </si>
  <si>
    <t>Statistical Calculations:</t>
  </si>
  <si>
    <t>Variable Naming</t>
  </si>
  <si>
    <t>Range Formula</t>
  </si>
  <si>
    <t>max = maximum value</t>
  </si>
  <si>
    <t>min = minimum value</t>
  </si>
  <si>
    <t>min</t>
  </si>
  <si>
    <t>max</t>
  </si>
  <si>
    <t xml:space="preserve">The relative standard deviation, or </t>
  </si>
  <si>
    <t xml:space="preserve">coefficient of variation, is a relative </t>
  </si>
  <si>
    <t xml:space="preserve">measure that expresses the ratio of standard </t>
  </si>
  <si>
    <t xml:space="preserve">deviation to the Mean. It is useful for </t>
  </si>
  <si>
    <t xml:space="preserve">comparing datasets in terms of stability, </t>
  </si>
  <si>
    <t xml:space="preserve">homogeneity or consistency and for analyzing </t>
  </si>
  <si>
    <t>variability.</t>
  </si>
  <si>
    <t>What is Relative Stanard Deviation?</t>
  </si>
  <si>
    <t>RSD Formula</t>
  </si>
  <si>
    <t>RSD = relative standard deviation</t>
  </si>
  <si>
    <t>IQR</t>
  </si>
  <si>
    <t>What is Interquartile Range?</t>
  </si>
  <si>
    <t xml:space="preserve">The Interquartile Range (IQR) tells us how </t>
  </si>
  <si>
    <t xml:space="preserve">spread out the middle 50% of the data is. </t>
  </si>
  <si>
    <t xml:space="preserve">It is less affected by extreme values and </t>
  </si>
  <si>
    <t xml:space="preserve">calculated using the first quartile (Q1) and </t>
  </si>
  <si>
    <t>third quartile (Q3).</t>
  </si>
  <si>
    <t xml:space="preserve">gives a better idea of how tightly/loosely </t>
  </si>
  <si>
    <t xml:space="preserve">the central data points are grouped. It is </t>
  </si>
  <si>
    <t>IQR =  Q3 - Q1</t>
  </si>
  <si>
    <t>IQR = interquartile range</t>
  </si>
  <si>
    <t>Q1 = first quartile</t>
  </si>
  <si>
    <t>Q3 = third quartile</t>
  </si>
  <si>
    <t>q1</t>
  </si>
  <si>
    <t>q3</t>
  </si>
  <si>
    <t>Chemistry Related Calculations:</t>
  </si>
  <si>
    <t>Calculate the standard error of mean</t>
  </si>
  <si>
    <t>SEM</t>
  </si>
  <si>
    <t>What is Standard Error of Mean?</t>
  </si>
  <si>
    <t>SEM =  s / √n</t>
  </si>
  <si>
    <t>s</t>
  </si>
  <si>
    <t>n</t>
  </si>
  <si>
    <t xml:space="preserve">The standard error of the mean measures how </t>
  </si>
  <si>
    <t xml:space="preserve">much the sample mean is expected to vary </t>
  </si>
  <si>
    <t xml:space="preserve">from the true population mean. It is </t>
  </si>
  <si>
    <t xml:space="preserve">calculated by dividing the standard </t>
  </si>
  <si>
    <t xml:space="preserve">deviation of the sample by the square root </t>
  </si>
  <si>
    <t>of the sample size.</t>
  </si>
  <si>
    <t>SEM = standard deviation of mean</t>
  </si>
  <si>
    <t>s = sample standard deviation</t>
  </si>
  <si>
    <t>n = number of observations</t>
  </si>
  <si>
    <t>Solve for the uknown using dilution equation</t>
  </si>
  <si>
    <t>rng = max - min</t>
  </si>
  <si>
    <t>rng = range</t>
  </si>
  <si>
    <t>• Use Excel Labs - Grid.</t>
  </si>
  <si>
    <t>)</t>
  </si>
  <si>
    <t>RSD_ADV</t>
  </si>
  <si>
    <t>z = (x - avg) / std</t>
  </si>
  <si>
    <t>avg = mean</t>
  </si>
  <si>
    <t>std = standard deviation</t>
  </si>
  <si>
    <t>RSD =  std / avg</t>
  </si>
  <si>
    <t>std = mean</t>
  </si>
  <si>
    <t>avg = standard deviation</t>
  </si>
  <si>
    <t>Dilution Equation</t>
  </si>
  <si>
    <t>c1 = intial concentration</t>
  </si>
  <si>
    <t>v1 = intial volume</t>
  </si>
  <si>
    <t>c2 = final concentration</t>
  </si>
  <si>
    <t>v2 = final volume</t>
  </si>
  <si>
    <t>summary_stats</t>
  </si>
  <si>
    <t>Without LAMBDA or LET</t>
  </si>
  <si>
    <t>=LET(</t>
  </si>
  <si>
    <t>ppm</t>
  </si>
  <si>
    <t>mL</t>
  </si>
  <si>
    <r>
      <t>c</t>
    </r>
    <r>
      <rPr>
        <b/>
        <vertAlign val="subscript"/>
        <sz val="28"/>
        <color theme="1" tint="0.34998626667073579"/>
        <rFont val="Consolas"/>
        <family val="3"/>
      </rPr>
      <t>1</t>
    </r>
    <r>
      <rPr>
        <b/>
        <sz val="28"/>
        <color theme="1" tint="0.34998626667073579"/>
        <rFont val="Consolas"/>
        <family val="3"/>
      </rPr>
      <t>v</t>
    </r>
    <r>
      <rPr>
        <b/>
        <vertAlign val="subscript"/>
        <sz val="28"/>
        <color theme="1" tint="0.34998626667073579"/>
        <rFont val="Consolas"/>
        <family val="3"/>
      </rPr>
      <t>1</t>
    </r>
    <r>
      <rPr>
        <b/>
        <sz val="28"/>
        <color theme="1" tint="0.34998626667073579"/>
        <rFont val="Consolas"/>
        <family val="3"/>
      </rPr>
      <t xml:space="preserve"> = c</t>
    </r>
    <r>
      <rPr>
        <b/>
        <vertAlign val="subscript"/>
        <sz val="28"/>
        <color theme="1" tint="0.34998626667073579"/>
        <rFont val="Consolas"/>
        <family val="3"/>
      </rPr>
      <t>2</t>
    </r>
    <r>
      <rPr>
        <b/>
        <sz val="28"/>
        <color theme="1" tint="0.34998626667073579"/>
        <rFont val="Consolas"/>
        <family val="3"/>
      </rPr>
      <t>v</t>
    </r>
    <r>
      <rPr>
        <b/>
        <vertAlign val="subscript"/>
        <sz val="28"/>
        <color theme="1" tint="0.34998626667073579"/>
        <rFont val="Consolas"/>
        <family val="3"/>
      </rPr>
      <t>2</t>
    </r>
  </si>
  <si>
    <r>
      <t>Solve for c</t>
    </r>
    <r>
      <rPr>
        <b/>
        <vertAlign val="subscript"/>
        <sz val="14"/>
        <color theme="1" tint="0.34998626667073579"/>
        <rFont val="Consolas"/>
        <family val="3"/>
      </rPr>
      <t>1</t>
    </r>
  </si>
  <si>
    <r>
      <t>c</t>
    </r>
    <r>
      <rPr>
        <b/>
        <vertAlign val="subscript"/>
        <sz val="28"/>
        <color theme="1" tint="0.34998626667073579"/>
        <rFont val="Consolas"/>
        <family val="3"/>
      </rPr>
      <t>1</t>
    </r>
    <r>
      <rPr>
        <b/>
        <sz val="28"/>
        <color theme="1" tint="0.34998626667073579"/>
        <rFont val="Consolas"/>
        <family val="3"/>
      </rPr>
      <t xml:space="preserve"> = c</t>
    </r>
    <r>
      <rPr>
        <b/>
        <vertAlign val="subscript"/>
        <sz val="28"/>
        <color theme="1" tint="0.34998626667073579"/>
        <rFont val="Consolas"/>
        <family val="3"/>
      </rPr>
      <t>2</t>
    </r>
    <r>
      <rPr>
        <b/>
        <sz val="28"/>
        <color theme="1" tint="0.34998626667073579"/>
        <rFont val="Consolas"/>
        <family val="3"/>
      </rPr>
      <t>v</t>
    </r>
    <r>
      <rPr>
        <b/>
        <vertAlign val="subscript"/>
        <sz val="28"/>
        <color theme="1" tint="0.34998626667073579"/>
        <rFont val="Consolas"/>
        <family val="3"/>
      </rPr>
      <t>2</t>
    </r>
    <r>
      <rPr>
        <b/>
        <sz val="28"/>
        <color theme="1" tint="0.34998626667073579"/>
        <rFont val="Consolas"/>
        <family val="3"/>
      </rPr>
      <t xml:space="preserve"> / v</t>
    </r>
    <r>
      <rPr>
        <b/>
        <vertAlign val="subscript"/>
        <sz val="28"/>
        <color theme="1" tint="0.34998626667073579"/>
        <rFont val="Consolas"/>
        <family val="3"/>
      </rPr>
      <t>1</t>
    </r>
    <r>
      <rPr>
        <b/>
        <sz val="28"/>
        <color theme="1" tint="0.34998626667073579"/>
        <rFont val="Consolas"/>
        <family val="3"/>
      </rPr>
      <t xml:space="preserve"> </t>
    </r>
  </si>
  <si>
    <r>
      <t>Solve for v</t>
    </r>
    <r>
      <rPr>
        <b/>
        <vertAlign val="subscript"/>
        <sz val="14"/>
        <color theme="1" tint="0.34998626667073579"/>
        <rFont val="Consolas"/>
        <family val="3"/>
      </rPr>
      <t>1</t>
    </r>
  </si>
  <si>
    <r>
      <t>v</t>
    </r>
    <r>
      <rPr>
        <b/>
        <vertAlign val="subscript"/>
        <sz val="28"/>
        <color theme="1" tint="0.34998626667073579"/>
        <rFont val="Consolas"/>
        <family val="3"/>
      </rPr>
      <t>1</t>
    </r>
    <r>
      <rPr>
        <b/>
        <sz val="28"/>
        <color theme="1" tint="0.34998626667073579"/>
        <rFont val="Consolas"/>
        <family val="3"/>
      </rPr>
      <t xml:space="preserve"> = c</t>
    </r>
    <r>
      <rPr>
        <b/>
        <vertAlign val="subscript"/>
        <sz val="28"/>
        <color theme="1" tint="0.34998626667073579"/>
        <rFont val="Consolas"/>
        <family val="3"/>
      </rPr>
      <t>2</t>
    </r>
    <r>
      <rPr>
        <b/>
        <sz val="28"/>
        <color theme="1" tint="0.34998626667073579"/>
        <rFont val="Consolas"/>
        <family val="3"/>
      </rPr>
      <t>v</t>
    </r>
    <r>
      <rPr>
        <b/>
        <vertAlign val="subscript"/>
        <sz val="28"/>
        <color theme="1" tint="0.34998626667073579"/>
        <rFont val="Consolas"/>
        <family val="3"/>
      </rPr>
      <t>2</t>
    </r>
    <r>
      <rPr>
        <b/>
        <sz val="28"/>
        <color theme="1" tint="0.34998626667073579"/>
        <rFont val="Consolas"/>
        <family val="3"/>
      </rPr>
      <t xml:space="preserve"> / c</t>
    </r>
    <r>
      <rPr>
        <b/>
        <vertAlign val="subscript"/>
        <sz val="28"/>
        <color theme="1" tint="0.34998626667073579"/>
        <rFont val="Consolas"/>
        <family val="3"/>
      </rPr>
      <t>1</t>
    </r>
    <r>
      <rPr>
        <b/>
        <sz val="28"/>
        <color theme="1" tint="0.34998626667073579"/>
        <rFont val="Consolas"/>
        <family val="3"/>
      </rPr>
      <t xml:space="preserve"> </t>
    </r>
  </si>
  <si>
    <r>
      <t>Solve for c</t>
    </r>
    <r>
      <rPr>
        <b/>
        <vertAlign val="subscript"/>
        <sz val="14"/>
        <color theme="1" tint="0.34998626667073579"/>
        <rFont val="Consolas"/>
        <family val="3"/>
      </rPr>
      <t>2</t>
    </r>
  </si>
  <si>
    <r>
      <t>c</t>
    </r>
    <r>
      <rPr>
        <b/>
        <vertAlign val="subscript"/>
        <sz val="28"/>
        <color theme="1" tint="0.34998626667073579"/>
        <rFont val="Consolas"/>
        <family val="3"/>
      </rPr>
      <t>2</t>
    </r>
    <r>
      <rPr>
        <b/>
        <sz val="28"/>
        <color theme="1" tint="0.34998626667073579"/>
        <rFont val="Consolas"/>
        <family val="3"/>
      </rPr>
      <t xml:space="preserve"> = c</t>
    </r>
    <r>
      <rPr>
        <b/>
        <vertAlign val="subscript"/>
        <sz val="28"/>
        <color theme="1" tint="0.34998626667073579"/>
        <rFont val="Consolas"/>
        <family val="3"/>
      </rPr>
      <t>1</t>
    </r>
    <r>
      <rPr>
        <b/>
        <sz val="28"/>
        <color theme="1" tint="0.34998626667073579"/>
        <rFont val="Consolas"/>
        <family val="3"/>
      </rPr>
      <t>v</t>
    </r>
    <r>
      <rPr>
        <b/>
        <vertAlign val="subscript"/>
        <sz val="28"/>
        <color theme="1" tint="0.34998626667073579"/>
        <rFont val="Consolas"/>
        <family val="3"/>
      </rPr>
      <t>1</t>
    </r>
    <r>
      <rPr>
        <b/>
        <sz val="28"/>
        <color theme="1" tint="0.34998626667073579"/>
        <rFont val="Consolas"/>
        <family val="3"/>
      </rPr>
      <t xml:space="preserve"> / v</t>
    </r>
    <r>
      <rPr>
        <b/>
        <vertAlign val="subscript"/>
        <sz val="28"/>
        <color theme="1" tint="0.34998626667073579"/>
        <rFont val="Consolas"/>
        <family val="3"/>
      </rPr>
      <t>2</t>
    </r>
    <r>
      <rPr>
        <b/>
        <sz val="28"/>
        <color theme="1" tint="0.34998626667073579"/>
        <rFont val="Consolas"/>
        <family val="3"/>
      </rPr>
      <t xml:space="preserve"> </t>
    </r>
  </si>
  <si>
    <r>
      <t>Solve for v</t>
    </r>
    <r>
      <rPr>
        <b/>
        <vertAlign val="subscript"/>
        <sz val="14"/>
        <color theme="1" tint="0.34998626667073579"/>
        <rFont val="Consolas"/>
        <family val="3"/>
      </rPr>
      <t>2</t>
    </r>
  </si>
  <si>
    <r>
      <t>v</t>
    </r>
    <r>
      <rPr>
        <b/>
        <vertAlign val="subscript"/>
        <sz val="28"/>
        <color theme="1" tint="0.34998626667073579"/>
        <rFont val="Consolas"/>
        <family val="3"/>
      </rPr>
      <t>2</t>
    </r>
    <r>
      <rPr>
        <b/>
        <sz val="28"/>
        <color theme="1" tint="0.34998626667073579"/>
        <rFont val="Consolas"/>
        <family val="3"/>
      </rPr>
      <t xml:space="preserve"> = c</t>
    </r>
    <r>
      <rPr>
        <b/>
        <vertAlign val="subscript"/>
        <sz val="28"/>
        <color theme="1" tint="0.34998626667073579"/>
        <rFont val="Consolas"/>
        <family val="3"/>
      </rPr>
      <t>1</t>
    </r>
    <r>
      <rPr>
        <b/>
        <sz val="28"/>
        <color theme="1" tint="0.34998626667073579"/>
        <rFont val="Consolas"/>
        <family val="3"/>
      </rPr>
      <t>v</t>
    </r>
    <r>
      <rPr>
        <b/>
        <vertAlign val="subscript"/>
        <sz val="28"/>
        <color theme="1" tint="0.34998626667073579"/>
        <rFont val="Consolas"/>
        <family val="3"/>
      </rPr>
      <t>1</t>
    </r>
    <r>
      <rPr>
        <b/>
        <sz val="28"/>
        <color theme="1" tint="0.34998626667073579"/>
        <rFont val="Consolas"/>
        <family val="3"/>
      </rPr>
      <t xml:space="preserve"> / c</t>
    </r>
    <r>
      <rPr>
        <b/>
        <vertAlign val="subscript"/>
        <sz val="28"/>
        <color theme="1" tint="0.34998626667073579"/>
        <rFont val="Consolas"/>
        <family val="3"/>
      </rPr>
      <t>2</t>
    </r>
    <r>
      <rPr>
        <b/>
        <sz val="28"/>
        <color theme="1" tint="0.34998626667073579"/>
        <rFont val="Consolas"/>
        <family val="3"/>
      </rPr>
      <t xml:space="preserve"> </t>
    </r>
  </si>
  <si>
    <t>Too general if there are multiple sources of data</t>
  </si>
  <si>
    <t>Vague, reverting back to cell reference</t>
  </si>
  <si>
    <t>LAMBDA()</t>
  </si>
  <si>
    <t>What is LAMBDA?</t>
  </si>
  <si>
    <r>
      <t xml:space="preserve">• The </t>
    </r>
    <r>
      <rPr>
        <sz val="14"/>
        <color theme="8"/>
        <rFont val="Segoe UI"/>
        <family val="2"/>
      </rPr>
      <t>LAMBDA</t>
    </r>
    <r>
      <rPr>
        <sz val="14"/>
        <color theme="1"/>
        <rFont val="Segoe UI"/>
        <family val="2"/>
      </rPr>
      <t xml:space="preserve"> function allows you to create custom reusable functions in Excel.</t>
    </r>
  </si>
  <si>
    <t>Reusability</t>
  </si>
  <si>
    <t>• Write a formula once and reuse it across worksheets without copying and pasting.</t>
  </si>
  <si>
    <t>Maintainability</t>
  </si>
  <si>
    <t>• Update logic in one place instead of editing multiple formulas.</t>
  </si>
  <si>
    <t>Abstraction/Protection</t>
  </si>
  <si>
    <t>• Build modular, layered functions (combine with LET for advanced solutions).</t>
  </si>
  <si>
    <t>Scalability</t>
  </si>
  <si>
    <t>No VBA Required</t>
  </si>
  <si>
    <t>• Create custom functions using native Excel formulas only.</t>
  </si>
  <si>
    <t>• The LAMBDA function can have up to 253 parameters.</t>
  </si>
  <si>
    <t>parameter1</t>
  </si>
  <si>
    <t>parameter2</t>
  </si>
  <si>
    <t>Optional. First input to the function. Name must follow variable rules.</t>
  </si>
  <si>
    <t>Optional. Additional inputs (up to 253 parameters).</t>
  </si>
  <si>
    <t>Optional. More parameters as needed.</t>
  </si>
  <si>
    <t>Required. The formula that uses the parameters and returns a result.</t>
  </si>
  <si>
    <t>Calling a LAMBDA</t>
  </si>
  <si>
    <t>• A LAMBDA by itself does nothing until it is invoked (called).</t>
  </si>
  <si>
    <t>Formula</t>
  </si>
  <si>
    <t>• The function is called, assigning values 2 and 5 to number and power respectively</t>
  </si>
  <si>
    <t>• Built in Excel function POWER requires two arguments: number and power</t>
  </si>
  <si>
    <t>• LAMBDA with equivalent logic to POWER</t>
  </si>
  <si>
    <t>• Has two parameters: num and pwr</t>
  </si>
  <si>
    <t>• Call the LAMBDA in the same manner as POWER</t>
  </si>
  <si>
    <t>• Assign values 2 and 5 to num and pwr respectively</t>
  </si>
  <si>
    <t>Example: Replicate the POWER function using LAMBDA</t>
  </si>
  <si>
    <t>• Without calling the LAMBDA, the output results in a #CALC! error</t>
  </si>
  <si>
    <t>Parameter Naming</t>
  </si>
  <si>
    <t>• Name should reflect what the parameter represents</t>
  </si>
  <si>
    <t>• Avoid overly generic names in multi-parameter functions</t>
  </si>
  <si>
    <t>Why Use LAMBDA?</t>
  </si>
  <si>
    <t>• This is an example of an inline call. When the logic is immediately followed by the call.</t>
  </si>
  <si>
    <t>• Essentially the same naming requirements as LET().</t>
  </si>
  <si>
    <t>• LET function with one name-value pair</t>
  </si>
  <si>
    <t>• calculation is the value of a</t>
  </si>
  <si>
    <t>• variable a is referencing cell $G$36</t>
  </si>
  <si>
    <t>• LET function with one name-value pair (a=5)</t>
  </si>
  <si>
    <t>• LET function with two name-value pairs referencing cells $G$42 and $G$43</t>
  </si>
  <si>
    <t>• Used line breaks to give formula structure and clarity</t>
  </si>
  <si>
    <t>• Calculates the hypotenuse (Pythagorean theorem)</t>
  </si>
  <si>
    <t>Getting Familiar with LET</t>
  </si>
  <si>
    <t>Reference</t>
  </si>
  <si>
    <t xml:space="preserve">    SQRT(a^2 + b^2)</t>
  </si>
  <si>
    <t>• Encapsulate complex logic into a clean, simple function call.
• Logic can gain a layer of protection by saving the function in the Name Manager.</t>
  </si>
  <si>
    <r>
      <t>=LAMBDA(</t>
    </r>
    <r>
      <rPr>
        <sz val="28"/>
        <color theme="9"/>
        <rFont val="Consolas"/>
        <family val="3"/>
      </rPr>
      <t>[parameter1</t>
    </r>
    <r>
      <rPr>
        <sz val="28"/>
        <color theme="1"/>
        <rFont val="Consolas"/>
        <family val="3"/>
      </rPr>
      <t xml:space="preserve">, </t>
    </r>
    <r>
      <rPr>
        <sz val="28"/>
        <color theme="9"/>
        <rFont val="Consolas"/>
        <family val="3"/>
      </rPr>
      <t>parameter2</t>
    </r>
    <r>
      <rPr>
        <sz val="28"/>
        <color theme="1"/>
        <rFont val="Consolas"/>
        <family val="3"/>
      </rPr>
      <t xml:space="preserve">, </t>
    </r>
    <r>
      <rPr>
        <sz val="28"/>
        <color theme="9"/>
        <rFont val="Consolas"/>
        <family val="3"/>
      </rPr>
      <t>…]</t>
    </r>
    <r>
      <rPr>
        <sz val="28"/>
        <color theme="1"/>
        <rFont val="Consolas"/>
        <family val="3"/>
      </rPr>
      <t xml:space="preserve">, </t>
    </r>
    <r>
      <rPr>
        <sz val="28"/>
        <color theme="8"/>
        <rFont val="Consolas"/>
        <family val="3"/>
      </rPr>
      <t>calculation</t>
    </r>
    <r>
      <rPr>
        <sz val="28"/>
        <color theme="1"/>
        <rFont val="Consolas"/>
        <family val="3"/>
      </rPr>
      <t>)</t>
    </r>
  </si>
  <si>
    <r>
      <t>=LET(</t>
    </r>
    <r>
      <rPr>
        <sz val="28"/>
        <color theme="9"/>
        <rFont val="Consolas"/>
        <family val="3"/>
      </rPr>
      <t>name1</t>
    </r>
    <r>
      <rPr>
        <sz val="28"/>
        <color theme="1"/>
        <rFont val="Consolas"/>
        <family val="3"/>
      </rPr>
      <t xml:space="preserve">, </t>
    </r>
    <r>
      <rPr>
        <sz val="28"/>
        <color theme="9"/>
        <rFont val="Consolas"/>
        <family val="3"/>
      </rPr>
      <t>value1</t>
    </r>
    <r>
      <rPr>
        <sz val="28"/>
        <color theme="1"/>
        <rFont val="Consolas"/>
        <family val="3"/>
      </rPr>
      <t xml:space="preserve">, </t>
    </r>
    <r>
      <rPr>
        <sz val="28"/>
        <color theme="7"/>
        <rFont val="Consolas"/>
        <family val="3"/>
      </rPr>
      <t>[name2</t>
    </r>
    <r>
      <rPr>
        <sz val="28"/>
        <rFont val="Consolas"/>
        <family val="3"/>
      </rPr>
      <t>,</t>
    </r>
    <r>
      <rPr>
        <sz val="28"/>
        <color theme="7"/>
        <rFont val="Consolas"/>
        <family val="3"/>
      </rPr>
      <t xml:space="preserve"> value2</t>
    </r>
    <r>
      <rPr>
        <sz val="28"/>
        <rFont val="Consolas"/>
        <family val="3"/>
      </rPr>
      <t xml:space="preserve">, </t>
    </r>
    <r>
      <rPr>
        <sz val="28"/>
        <color theme="7"/>
        <rFont val="Consolas"/>
        <family val="3"/>
      </rPr>
      <t>…]</t>
    </r>
    <r>
      <rPr>
        <sz val="28"/>
        <color theme="1"/>
        <rFont val="Consolas"/>
        <family val="3"/>
      </rPr>
      <t xml:space="preserve">, </t>
    </r>
    <r>
      <rPr>
        <sz val="28"/>
        <color theme="8"/>
        <rFont val="Consolas"/>
        <family val="3"/>
      </rPr>
      <t>calculation</t>
    </r>
    <r>
      <rPr>
        <sz val="28"/>
        <color theme="1"/>
        <rFont val="Consolas"/>
        <family val="3"/>
      </rPr>
      <t>)</t>
    </r>
  </si>
  <si>
    <t>• The LAMBDA function consists of parameters (inputs) followed by a calculation.</t>
  </si>
  <si>
    <r>
      <t>=POWER</t>
    </r>
    <r>
      <rPr>
        <sz val="16"/>
        <color theme="5"/>
        <rFont val="Consolas"/>
        <family val="3"/>
      </rPr>
      <t>(2, 5)</t>
    </r>
  </si>
  <si>
    <r>
      <t>=LAMBDA(</t>
    </r>
    <r>
      <rPr>
        <sz val="16"/>
        <color theme="9"/>
        <rFont val="Consolas"/>
        <family val="3"/>
      </rPr>
      <t>num</t>
    </r>
    <r>
      <rPr>
        <sz val="16"/>
        <rFont val="Consolas"/>
        <family val="3"/>
      </rPr>
      <t>,</t>
    </r>
    <r>
      <rPr>
        <sz val="16"/>
        <color theme="9"/>
        <rFont val="Consolas"/>
        <family val="3"/>
      </rPr>
      <t>pwr</t>
    </r>
    <r>
      <rPr>
        <sz val="16"/>
        <rFont val="Consolas"/>
        <family val="3"/>
      </rPr>
      <t xml:space="preserve">, </t>
    </r>
    <r>
      <rPr>
        <sz val="16"/>
        <color theme="8"/>
        <rFont val="Consolas"/>
        <family val="3"/>
      </rPr>
      <t>num^pwr</t>
    </r>
    <r>
      <rPr>
        <sz val="16"/>
        <rFont val="Consolas"/>
        <family val="3"/>
      </rPr>
      <t>)</t>
    </r>
  </si>
  <si>
    <t>• Reduce redundant calculations.
• Expressions can be stored in a variable, calculated once, and called multiple times.</t>
  </si>
  <si>
    <t>• Give meanful context to range/cell references by declaring them as named variables.
• Easily interalize intermediate calculations.
• As complexity/size increases, nested LET() fucntions allow for modularity within the formula (more advanced)</t>
  </si>
  <si>
    <r>
      <t xml:space="preserve">• The </t>
    </r>
    <r>
      <rPr>
        <sz val="14"/>
        <rFont val="Consolas"/>
        <family val="3"/>
      </rPr>
      <t>LET</t>
    </r>
    <r>
      <rPr>
        <sz val="14"/>
        <rFont val="Segoe UI"/>
        <family val="2"/>
      </rPr>
      <t xml:space="preserve"> function is comprised of at least one name-value pair (i.e., name1, value1) and the final output (i.e., calculation).</t>
    </r>
  </si>
  <si>
    <r>
      <t xml:space="preserve">• The </t>
    </r>
    <r>
      <rPr>
        <sz val="14"/>
        <rFont val="Consolas"/>
        <family val="3"/>
      </rPr>
      <t>LET</t>
    </r>
    <r>
      <rPr>
        <sz val="14"/>
        <rFont val="Segoe UI"/>
        <family val="2"/>
      </rPr>
      <t xml:space="preserve"> function can have up to 126 name-value pairs.</t>
    </r>
  </si>
  <si>
    <r>
      <t>=LET(</t>
    </r>
    <r>
      <rPr>
        <sz val="16"/>
        <color theme="9"/>
        <rFont val="Consolas"/>
        <family val="3"/>
      </rPr>
      <t>a</t>
    </r>
    <r>
      <rPr>
        <sz val="16"/>
        <rFont val="Consolas"/>
        <family val="3"/>
      </rPr>
      <t xml:space="preserve">, </t>
    </r>
    <r>
      <rPr>
        <sz val="16"/>
        <color theme="9"/>
        <rFont val="Consolas"/>
        <family val="3"/>
      </rPr>
      <t>5</t>
    </r>
    <r>
      <rPr>
        <sz val="16"/>
        <rFont val="Consolas"/>
        <family val="3"/>
      </rPr>
      <t xml:space="preserve">, </t>
    </r>
    <r>
      <rPr>
        <sz val="16"/>
        <color theme="8"/>
        <rFont val="Consolas"/>
        <family val="3"/>
      </rPr>
      <t>a</t>
    </r>
    <r>
      <rPr>
        <sz val="16"/>
        <rFont val="Consolas"/>
        <family val="3"/>
      </rPr>
      <t>)</t>
    </r>
  </si>
  <si>
    <r>
      <t xml:space="preserve">1. Go to </t>
    </r>
    <r>
      <rPr>
        <b/>
        <sz val="14"/>
        <rFont val="Segoe UI"/>
        <family val="2"/>
      </rPr>
      <t>Formulas</t>
    </r>
    <r>
      <rPr>
        <sz val="14"/>
        <rFont val="Segoe UI"/>
        <family val="2"/>
      </rPr>
      <t xml:space="preserve"> → </t>
    </r>
    <r>
      <rPr>
        <b/>
        <sz val="14"/>
        <rFont val="Segoe UI"/>
        <family val="2"/>
      </rPr>
      <t>Name Manager</t>
    </r>
  </si>
  <si>
    <t>3. Enter:</t>
  </si>
  <si>
    <r>
      <t xml:space="preserve">2. Click </t>
    </r>
    <r>
      <rPr>
        <b/>
        <sz val="14"/>
        <rFont val="Segoe UI"/>
        <family val="2"/>
      </rPr>
      <t>New</t>
    </r>
    <r>
      <rPr>
        <sz val="14"/>
        <rFont val="Segoe UI"/>
        <family val="2"/>
      </rPr>
      <t>…</t>
    </r>
  </si>
  <si>
    <r>
      <t xml:space="preserve">• </t>
    </r>
    <r>
      <rPr>
        <b/>
        <sz val="14"/>
        <rFont val="Segoe UI"/>
        <family val="2"/>
      </rPr>
      <t>Refers to</t>
    </r>
    <r>
      <rPr>
        <sz val="14"/>
        <rFont val="Segoe UI"/>
        <family val="2"/>
      </rPr>
      <t>: the LAMBDA formula (without the call)</t>
    </r>
  </si>
  <si>
    <r>
      <t xml:space="preserve">4. Click </t>
    </r>
    <r>
      <rPr>
        <b/>
        <sz val="14"/>
        <rFont val="Segoe UI"/>
        <family val="2"/>
      </rPr>
      <t>OK</t>
    </r>
  </si>
  <si>
    <r>
      <t xml:space="preserve">• </t>
    </r>
    <r>
      <rPr>
        <b/>
        <sz val="14"/>
        <rFont val="Segoe UI"/>
        <family val="2"/>
      </rPr>
      <t>Name</t>
    </r>
    <r>
      <rPr>
        <sz val="14"/>
        <rFont val="Segoe UI"/>
        <family val="2"/>
      </rPr>
      <t>: the name you wish to assign to the LAMBDA formula (e.g., myPOWER)</t>
    </r>
  </si>
  <si>
    <r>
      <t xml:space="preserve">• </t>
    </r>
    <r>
      <rPr>
        <b/>
        <sz val="14"/>
        <rFont val="Segoe UI"/>
        <family val="2"/>
      </rPr>
      <t>Comment</t>
    </r>
    <r>
      <rPr>
        <sz val="14"/>
        <rFont val="Segoe UI"/>
        <family val="2"/>
      </rPr>
      <t>: optionally add a brief description of the LAMBDA formula</t>
    </r>
  </si>
  <si>
    <t>Install Excel Labs add-in:</t>
  </si>
  <si>
    <r>
      <t xml:space="preserve">1. Go to </t>
    </r>
    <r>
      <rPr>
        <b/>
        <sz val="14"/>
        <rFont val="Segoe UI"/>
        <family val="2"/>
      </rPr>
      <t>Home</t>
    </r>
    <r>
      <rPr>
        <sz val="14"/>
        <rFont val="Segoe UI"/>
        <family val="2"/>
      </rPr>
      <t xml:space="preserve"> → </t>
    </r>
    <r>
      <rPr>
        <b/>
        <sz val="14"/>
        <rFont val="Segoe UI"/>
        <family val="2"/>
      </rPr>
      <t>Add-ins</t>
    </r>
  </si>
  <si>
    <r>
      <t xml:space="preserve">2. Click </t>
    </r>
    <r>
      <rPr>
        <b/>
        <sz val="14"/>
        <rFont val="Segoe UI"/>
        <family val="2"/>
      </rPr>
      <t>More Add-ins</t>
    </r>
  </si>
  <si>
    <r>
      <t xml:space="preserve">3. Search for </t>
    </r>
    <r>
      <rPr>
        <b/>
        <sz val="14"/>
        <rFont val="Segoe UI"/>
        <family val="2"/>
      </rPr>
      <t>Excel Labs</t>
    </r>
  </si>
  <si>
    <r>
      <t xml:space="preserve">4. Click </t>
    </r>
    <r>
      <rPr>
        <b/>
        <sz val="14"/>
        <rFont val="Segoe UI"/>
        <family val="2"/>
      </rPr>
      <t>Add</t>
    </r>
  </si>
  <si>
    <t>Installing Excel Labs:</t>
  </si>
  <si>
    <r>
      <t xml:space="preserve">5. Go to </t>
    </r>
    <r>
      <rPr>
        <b/>
        <sz val="14"/>
        <rFont val="Segoe UI"/>
        <family val="2"/>
      </rPr>
      <t>Home</t>
    </r>
    <r>
      <rPr>
        <sz val="14"/>
        <rFont val="Segoe UI"/>
        <family val="2"/>
      </rPr>
      <t xml:space="preserve"> → </t>
    </r>
    <r>
      <rPr>
        <b/>
        <sz val="14"/>
        <rFont val="Segoe UI"/>
        <family val="2"/>
      </rPr>
      <t>Excel Labs</t>
    </r>
  </si>
  <si>
    <r>
      <t xml:space="preserve">1. Go To </t>
    </r>
    <r>
      <rPr>
        <b/>
        <sz val="14"/>
        <rFont val="Segoe UI"/>
        <family val="2"/>
      </rPr>
      <t>Home</t>
    </r>
    <r>
      <rPr>
        <sz val="14"/>
        <rFont val="Segoe UI"/>
        <family val="2"/>
      </rPr>
      <t xml:space="preserve"> → </t>
    </r>
    <r>
      <rPr>
        <b/>
        <sz val="14"/>
        <rFont val="Segoe UI"/>
        <family val="2"/>
      </rPr>
      <t>Excel Labs</t>
    </r>
  </si>
  <si>
    <r>
      <t xml:space="preserve">2. Under the Advanced formula environment section click </t>
    </r>
    <r>
      <rPr>
        <b/>
        <sz val="14"/>
        <rFont val="Segoe UI"/>
        <family val="2"/>
      </rPr>
      <t>Open</t>
    </r>
  </si>
  <si>
    <r>
      <t xml:space="preserve">3. Select the </t>
    </r>
    <r>
      <rPr>
        <b/>
        <sz val="14"/>
        <rFont val="Segoe UI"/>
        <family val="2"/>
      </rPr>
      <t>Names</t>
    </r>
    <r>
      <rPr>
        <sz val="14"/>
        <rFont val="Segoe UI"/>
        <family val="2"/>
      </rPr>
      <t xml:space="preserve"> ribbon</t>
    </r>
  </si>
  <si>
    <r>
      <t xml:space="preserve">4. Click </t>
    </r>
    <r>
      <rPr>
        <b/>
        <sz val="14"/>
        <rFont val="Segoe UI"/>
        <family val="2"/>
      </rPr>
      <t>Add</t>
    </r>
    <r>
      <rPr>
        <sz val="14"/>
        <rFont val="Segoe UI"/>
        <family val="2"/>
      </rPr>
      <t xml:space="preserve"> </t>
    </r>
    <r>
      <rPr>
        <b/>
        <sz val="14"/>
        <rFont val="Segoe UI"/>
        <family val="2"/>
      </rPr>
      <t>New</t>
    </r>
  </si>
  <si>
    <t>5. Enter:</t>
  </si>
  <si>
    <r>
      <t xml:space="preserve">• </t>
    </r>
    <r>
      <rPr>
        <b/>
        <sz val="14"/>
        <rFont val="Segoe UI"/>
        <family val="2"/>
      </rPr>
      <t>Function name</t>
    </r>
    <r>
      <rPr>
        <sz val="14"/>
        <rFont val="Segoe UI"/>
        <family val="2"/>
      </rPr>
      <t>: the name you wish to assign to the LAMBDA formula (e.g., myPOWER)</t>
    </r>
  </si>
  <si>
    <r>
      <t xml:space="preserve">• </t>
    </r>
    <r>
      <rPr>
        <b/>
        <sz val="14"/>
        <rFont val="Segoe UI"/>
        <family val="2"/>
      </rPr>
      <t>Description</t>
    </r>
    <r>
      <rPr>
        <sz val="14"/>
        <rFont val="Segoe UI"/>
        <family val="2"/>
      </rPr>
      <t>: optionally add a brief description of the LAMBDA formula</t>
    </r>
  </si>
  <si>
    <r>
      <t xml:space="preserve">• </t>
    </r>
    <r>
      <rPr>
        <b/>
        <sz val="14"/>
        <rFont val="Segoe UI"/>
        <family val="2"/>
      </rPr>
      <t>Arguments</t>
    </r>
    <r>
      <rPr>
        <sz val="14"/>
        <rFont val="Segoe UI"/>
        <family val="2"/>
      </rPr>
      <t>: the names of the LAMBDA parameters</t>
    </r>
  </si>
  <si>
    <r>
      <t xml:space="preserve">• </t>
    </r>
    <r>
      <rPr>
        <b/>
        <sz val="14"/>
        <rFont val="Segoe UI"/>
        <family val="2"/>
      </rPr>
      <t>Function definition</t>
    </r>
    <r>
      <rPr>
        <sz val="14"/>
        <rFont val="Segoe UI"/>
        <family val="2"/>
      </rPr>
      <t>: the calculation step of the LAMBDA</t>
    </r>
  </si>
  <si>
    <t>Comparison: Name Manager vs Excel Labs - Names</t>
  </si>
  <si>
    <t>Name Manager</t>
  </si>
  <si>
    <t>Availability</t>
  </si>
  <si>
    <t>Excel Labs</t>
  </si>
  <si>
    <t>Purpose</t>
  </si>
  <si>
    <t>Interface</t>
  </si>
  <si>
    <t>✅ High (formatting, structure)</t>
  </si>
  <si>
    <t>❌ Limited</t>
  </si>
  <si>
    <t>Organization</t>
  </si>
  <si>
    <t>✅ Centralized, structured</t>
  </si>
  <si>
    <t>Best Use Case</t>
  </si>
  <si>
    <t>Feature/Aspect</t>
  </si>
  <si>
    <t>❌ Single line</t>
  </si>
  <si>
    <t>• Build &amp; manage LAMBDAs
• UI layer on top of Name Manager</t>
  </si>
  <si>
    <t>• Stores LAMBDAs</t>
  </si>
  <si>
    <r>
      <t xml:space="preserve">• Modern, code-editor-like interface
</t>
    </r>
    <r>
      <rPr>
        <i/>
        <sz val="14"/>
        <color theme="1"/>
        <rFont val="Segoe UI"/>
        <family val="2"/>
      </rPr>
      <t>• LAMBDA becomes partially abstracted in the UI</t>
    </r>
  </si>
  <si>
    <t>• Basic dialog box</t>
  </si>
  <si>
    <t>• Quick / simple functions</t>
  </si>
  <si>
    <t>• Complex / multiple functions</t>
  </si>
  <si>
    <t>• Add-in required</t>
  </si>
  <si>
    <t>• Built-in</t>
  </si>
  <si>
    <t>To make an exisiting LAMBDA function reusable using Name Manager:</t>
  </si>
  <si>
    <t>To make a new reusable LABMDA function using Excel Labs:</t>
  </si>
  <si>
    <t>Creating Re-usable LAMBDA Functions With Excel Labs - Names:</t>
  </si>
  <si>
    <t>Creating Re-usable LAMBDA Functions With Name Manager:</t>
  </si>
  <si>
    <t>Optional Parameters &amp; Omission Handling</t>
  </si>
  <si>
    <t>What are Optional Parameters?</t>
  </si>
  <si>
    <t>• This allows functions to be more flexible and reusable</t>
  </si>
  <si>
    <t>• Unlike regular parameters, optional parameters are not required for every call</t>
  </si>
  <si>
    <t>• If a parameter is omitted, Excel will normally return a #VALUE! Error unless handled explicity</t>
  </si>
  <si>
    <t>• Optional parameters are demarcated by enclosing the parameter name in square brackets [ ]</t>
  </si>
  <si>
    <t>• Optional parameters must appear after all required parameters during naming</t>
  </si>
  <si>
    <t>ISOMITTED Function</t>
  </si>
  <si>
    <t>• Specifically designed for LAMBDA functions</t>
  </si>
  <si>
    <t>• Returns TRUE if an argument was not supplied at all</t>
  </si>
  <si>
    <r>
      <t>=ISOMITTED(</t>
    </r>
    <r>
      <rPr>
        <sz val="28"/>
        <color theme="9"/>
        <rFont val="Consolas"/>
        <family val="3"/>
      </rPr>
      <t>parameter</t>
    </r>
    <r>
      <rPr>
        <sz val="28"/>
        <color theme="1"/>
        <rFont val="Consolas"/>
        <family val="3"/>
      </rPr>
      <t>)</t>
    </r>
  </si>
  <si>
    <t xml:space="preserve">    LET(</t>
  </si>
  <si>
    <t xml:space="preserve">        pwr, IF(ISOMITTED(power), 2, power),</t>
  </si>
  <si>
    <r>
      <t>=LAMBDA(</t>
    </r>
    <r>
      <rPr>
        <sz val="16"/>
        <color theme="9"/>
        <rFont val="Consolas"/>
        <family val="3"/>
      </rPr>
      <t>number</t>
    </r>
    <r>
      <rPr>
        <sz val="16"/>
        <rFont val="Consolas"/>
        <family val="3"/>
      </rPr>
      <t>,</t>
    </r>
    <r>
      <rPr>
        <sz val="16"/>
        <color theme="9"/>
        <rFont val="Consolas"/>
        <family val="3"/>
      </rPr>
      <t>[power]</t>
    </r>
    <r>
      <rPr>
        <sz val="16"/>
        <rFont val="Consolas"/>
        <family val="3"/>
      </rPr>
      <t>,</t>
    </r>
  </si>
  <si>
    <t xml:space="preserve">    )</t>
  </si>
  <si>
    <r>
      <t>)</t>
    </r>
    <r>
      <rPr>
        <sz val="16"/>
        <color theme="5"/>
        <rFont val="Consolas"/>
        <family val="3"/>
      </rPr>
      <t>(2)</t>
    </r>
  </si>
  <si>
    <r>
      <t>=LAMBDA(</t>
    </r>
    <r>
      <rPr>
        <sz val="16"/>
        <color theme="9"/>
        <rFont val="Consolas"/>
        <family val="3"/>
      </rPr>
      <t>num</t>
    </r>
    <r>
      <rPr>
        <sz val="16"/>
        <rFont val="Consolas"/>
        <family val="3"/>
      </rPr>
      <t>,</t>
    </r>
    <r>
      <rPr>
        <sz val="16"/>
        <color theme="9"/>
        <rFont val="Consolas"/>
        <family val="3"/>
      </rPr>
      <t>pwr</t>
    </r>
    <r>
      <rPr>
        <sz val="16"/>
        <rFont val="Consolas"/>
        <family val="3"/>
      </rPr>
      <t xml:space="preserve">, </t>
    </r>
    <r>
      <rPr>
        <sz val="16"/>
        <color theme="8"/>
        <rFont val="Consolas"/>
        <family val="3"/>
      </rPr>
      <t>num^pwr</t>
    </r>
    <r>
      <rPr>
        <sz val="16"/>
        <rFont val="Consolas"/>
        <family val="3"/>
      </rPr>
      <t>)</t>
    </r>
    <r>
      <rPr>
        <sz val="16"/>
        <color theme="5"/>
        <rFont val="Consolas"/>
        <family val="3"/>
      </rPr>
      <t>(2</t>
    </r>
    <r>
      <rPr>
        <sz val="16"/>
        <rFont val="Consolas"/>
        <family val="3"/>
      </rPr>
      <t>,</t>
    </r>
    <r>
      <rPr>
        <sz val="16"/>
        <color theme="5"/>
        <rFont val="Consolas"/>
        <family val="3"/>
      </rPr>
      <t xml:space="preserve"> 5)</t>
    </r>
  </si>
  <si>
    <t xml:space="preserve">        number^pwr</t>
  </si>
  <si>
    <t>• power is defined as an optional parameter, with a default value of 2</t>
  </si>
  <si>
    <t>• The IF() statement checks whether the power parameter is omitted from the call</t>
  </si>
  <si>
    <r>
      <t>)</t>
    </r>
    <r>
      <rPr>
        <sz val="16"/>
        <color theme="5"/>
        <rFont val="Consolas"/>
        <family val="3"/>
      </rPr>
      <t>($K$81, $K$82)</t>
    </r>
  </si>
  <si>
    <r>
      <t>)</t>
    </r>
    <r>
      <rPr>
        <sz val="16"/>
        <color theme="5"/>
        <rFont val="Consolas"/>
        <family val="3"/>
      </rPr>
      <t>($K$87, $K$88)</t>
    </r>
  </si>
  <si>
    <t xml:space="preserve">        pwr, IF(OR(ISOMITTED(power), ISBLANK(power)), 2, power),</t>
  </si>
  <si>
    <t>• Using the same omission handling as above, but using cell references, we can an incorrent output</t>
  </si>
  <si>
    <t>• Excel will read this as 0, resulting in an output of 1 (i.e., 2^0), when the default should be number^2</t>
  </si>
  <si>
    <t>Example: Replicate the POWER function using LAMBDA with optional power parameter</t>
  </si>
  <si>
    <t>error</t>
  </si>
  <si>
    <t>wrong output</t>
  </si>
  <si>
    <t>• To account for the possibility of a blank cell reference:</t>
  </si>
  <si>
    <t>• Added ISBLANK check of the optional power parameter</t>
  </si>
  <si>
    <t>• Add OR logic to the ISOMITTED and ISBLANK checks; if either is TRUE, then return the default of 2</t>
  </si>
  <si>
    <t>Advanced, No LET/LAMBDA</t>
  </si>
  <si>
    <t>REUSABLE LAMBDA</t>
  </si>
  <si>
    <t>Style Coding</t>
  </si>
  <si>
    <t>Cell Reference</t>
  </si>
  <si>
    <t>LET Helper</t>
  </si>
  <si>
    <t>What is Excel Labs?</t>
  </si>
  <si>
    <t>• An add-in that provides a modern development environment for advanced Excel formulas</t>
  </si>
  <si>
    <t>• Especially useful for debugging formulas and creating LAMBDA functions</t>
  </si>
  <si>
    <t>Features</t>
  </si>
  <si>
    <t>Use Cases</t>
  </si>
  <si>
    <t>Grid View</t>
  </si>
  <si>
    <t>Names View</t>
  </si>
  <si>
    <t>• A worksheet-like interface for building, testing, and experimenting with formulas</t>
  </si>
  <si>
    <t>• A centralized interface for creating, editing, and managing LAMBDA functions</t>
  </si>
  <si>
    <t>• Prototyping formulas
• Testing intermediate calculations
• Learning and experimenting with new functions</t>
  </si>
  <si>
    <t>• Finalizing reusable functions
• Managing multiple LAMBDAs
• Editing existing named functions</t>
  </si>
  <si>
    <t>• Acts as a UI layer over Name Manager
• Create named LAMBDAs with a clean editor
• Supports multi-line formulas and formatting
• View all named functions in one place
• Easier editing compared to Name Manager
• Functions created here are saved directly to Name Manager</t>
  </si>
  <si>
    <t>• Write formulas in a structured, multi-cell layout
• Supports inline testing with immediate results
• Easier debugging through step-by-step inspection
• Ideal for developing logic before finalizing a LAMBDA
• Advanced formula debugging interface</t>
  </si>
  <si>
    <t>Views Summary:</t>
  </si>
  <si>
    <t>• ISOMITTED returns FALSE because the power parameter is being called, however, the cell value is blank</t>
  </si>
  <si>
    <t>Microsoft Resources: LAMBDA Function</t>
  </si>
  <si>
    <t>Microsoft Resources: ISOMITTED Function</t>
  </si>
  <si>
    <t>ExcelJet: LAMBDA Function</t>
  </si>
  <si>
    <t>ExcelJet: ISOMITTED Functions</t>
  </si>
  <si>
    <t>Resources and References</t>
  </si>
  <si>
    <t>TrumpEXCEL: Excel LAMBDA Function</t>
  </si>
  <si>
    <t>Example Formulas Using LAMBDA</t>
  </si>
  <si>
    <t>TrumpEXCEL: LET Function in Excel</t>
  </si>
  <si>
    <t>ExcelJet: LET Function</t>
  </si>
  <si>
    <t>Microsoft Resources: LET Function</t>
  </si>
  <si>
    <t>DILUTIONEQ</t>
  </si>
  <si>
    <t>No LAMBDA or LET</t>
  </si>
  <si>
    <t>RSD/Summary Stats</t>
  </si>
  <si>
    <t>Excel Labs Add-in</t>
  </si>
  <si>
    <t>GitHub: Excel Labs Advanced Formula Environment</t>
  </si>
  <si>
    <t>[Advanced] Single Formula for a Table of Descriptive Statistics</t>
  </si>
  <si>
    <t>DESC_STATS</t>
  </si>
  <si>
    <t>Default Output</t>
  </si>
  <si>
    <t>Selective</t>
  </si>
  <si>
    <t>Excel Essentials: Working With Complex Functions in Excel Labs</t>
  </si>
  <si>
    <t>Topics</t>
  </si>
  <si>
    <t>Goals</t>
  </si>
  <si>
    <t>[Moderate] Solve for the unknown using dilution equation</t>
  </si>
  <si>
    <t>Sample</t>
  </si>
  <si>
    <t>FN</t>
  </si>
  <si>
    <t>Cd</t>
  </si>
  <si>
    <t>HVK</t>
  </si>
  <si>
    <t>Mill</t>
  </si>
  <si>
    <t>Ash</t>
  </si>
  <si>
    <t>GI</t>
  </si>
  <si>
    <t>Flag</t>
  </si>
  <si>
    <t>Expected</t>
  </si>
  <si>
    <t>Status</t>
  </si>
  <si>
    <r>
      <t>=</t>
    </r>
    <r>
      <rPr>
        <sz val="11"/>
        <color rgb="FFC4432B"/>
        <rFont val="Consolas"/>
        <family val="3"/>
      </rPr>
      <t>LET</t>
    </r>
    <r>
      <rPr>
        <sz val="11"/>
        <color rgb="FF000000"/>
        <rFont val="Consolas"/>
        <family val="3"/>
      </rPr>
      <t>(</t>
    </r>
  </si>
  <si>
    <r>
      <t xml:space="preserve">    </t>
    </r>
    <r>
      <rPr>
        <sz val="11"/>
        <color rgb="FF0969DA"/>
        <rFont val="Consolas"/>
        <family val="3"/>
      </rPr>
      <t>FN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(C246-$C$240) &gt;= $C$243,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(C246-$C$240) &gt;= $C$242,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)),</t>
    </r>
  </si>
  <si>
    <r>
      <t xml:space="preserve">    </t>
    </r>
    <r>
      <rPr>
        <sz val="11"/>
        <color rgb="FF0969DA"/>
        <rFont val="Consolas"/>
        <family val="3"/>
      </rPr>
      <t>Cd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(D246-$D$240) &gt;= $D$243,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(D246-$D$240) &gt;= $D$242,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)),</t>
    </r>
  </si>
  <si>
    <r>
      <t xml:space="preserve">    </t>
    </r>
    <r>
      <rPr>
        <sz val="11"/>
        <color rgb="FF0969DA"/>
        <rFont val="Consolas"/>
        <family val="3"/>
      </rPr>
      <t>HVK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(E246-$E$240) &gt;= $E$243,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(E246-$E$240) &gt;= $E$242,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)),</t>
    </r>
  </si>
  <si>
    <r>
      <t xml:space="preserve">    </t>
    </r>
    <r>
      <rPr>
        <sz val="11"/>
        <color rgb="FF0969DA"/>
        <rFont val="Consolas"/>
        <family val="3"/>
      </rPr>
      <t>Mill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(F246-$F$240) &gt;= $F$243,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(F246-$F$240) &gt;= $F$242,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)),</t>
    </r>
  </si>
  <si>
    <r>
      <t xml:space="preserve">    </t>
    </r>
    <r>
      <rPr>
        <sz val="11"/>
        <color rgb="FF0969DA"/>
        <rFont val="Consolas"/>
        <family val="3"/>
      </rPr>
      <t>Ash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(G246-$G$240) &gt;= $G$243,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(G246-$G$240) &gt;= $G$242,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)),</t>
    </r>
  </si>
  <si>
    <r>
      <t xml:space="preserve">    </t>
    </r>
    <r>
      <rPr>
        <sz val="11"/>
        <color rgb="FF0969DA"/>
        <rFont val="Consolas"/>
        <family val="3"/>
      </rPr>
      <t>Pro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(H246-$H$240) &gt;= $H$243,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(H246-$H$240) &gt;= $H$242,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)),</t>
    </r>
  </si>
  <si>
    <r>
      <t xml:space="preserve">    </t>
    </r>
    <r>
      <rPr>
        <sz val="11"/>
        <color rgb="FF0969DA"/>
        <rFont val="Consolas"/>
        <family val="3"/>
      </rPr>
      <t>GI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(I246-$I$240) &gt;= $I$243,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 xml:space="preserve">(I246-$I$240) &gt;= $I$242,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)),</t>
    </r>
  </si>
  <si>
    <r>
      <t xml:space="preserve">    </t>
    </r>
    <r>
      <rPr>
        <sz val="11"/>
        <color rgb="FF0969DA"/>
        <rFont val="Consolas"/>
        <family val="3"/>
      </rPr>
      <t>demerit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SUM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FN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Cd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HVK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Mill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Ash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Pro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GI</t>
    </r>
    <r>
      <rPr>
        <sz val="11"/>
        <color rgb="FF000000"/>
        <rFont val="Consolas"/>
        <family val="3"/>
      </rPr>
      <t>),</t>
    </r>
  </si>
  <si>
    <r>
      <t xml:space="preserve">   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</si>
  <si>
    <r>
      <t xml:space="preserve">        </t>
    </r>
    <r>
      <rPr>
        <sz val="11"/>
        <color rgb="FF033D8B"/>
        <rFont val="Consolas"/>
        <family val="3"/>
      </rPr>
      <t>OR</t>
    </r>
    <r>
      <rPr>
        <sz val="11"/>
        <color rgb="FF000000"/>
        <rFont val="Consolas"/>
        <family val="3"/>
      </rPr>
      <t>(C246=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 D246=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 E246=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 F246=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 G246=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 H246=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 I246=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),</t>
    </r>
  </si>
  <si>
    <r>
      <t xml:space="preserve">        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</t>
    </r>
  </si>
  <si>
    <r>
      <t xml:space="preserve">       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demerit</t>
    </r>
    <r>
      <rPr>
        <sz val="11"/>
        <color rgb="FF000000"/>
        <rFont val="Consolas"/>
        <family val="3"/>
      </rPr>
      <t xml:space="preserve"> &lt;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, </t>
    </r>
    <r>
      <rPr>
        <sz val="11"/>
        <color rgb="FFA31515"/>
        <rFont val="Consolas"/>
        <family val="3"/>
      </rPr>
      <t>"Pass"</t>
    </r>
    <r>
      <rPr>
        <sz val="11"/>
        <color rgb="FF000000"/>
        <rFont val="Consolas"/>
        <family val="3"/>
      </rPr>
      <t xml:space="preserve">, </t>
    </r>
    <r>
      <rPr>
        <sz val="11"/>
        <color rgb="FFA31515"/>
        <rFont val="Consolas"/>
        <family val="3"/>
      </rPr>
      <t>"Discuss"</t>
    </r>
    <r>
      <rPr>
        <sz val="11"/>
        <color rgb="FF000000"/>
        <rFont val="Consolas"/>
        <family val="3"/>
      </rPr>
      <t>)</t>
    </r>
  </si>
  <si>
    <t>    )</t>
  </si>
  <si>
    <t>Observations</t>
  </si>
  <si>
    <t>• Calculates the absolute difference from expected</t>
  </si>
  <si>
    <t>The maximum score is also universal and hard-coded</t>
  </si>
  <si>
    <t>For each column (i.e., FN, Cd, HVK, etc.):</t>
  </si>
  <si>
    <t>• Returns a numeric score depending on the guidelines</t>
  </si>
  <si>
    <t>Actions</t>
  </si>
  <si>
    <t>Create LABMDA for columns calculations</t>
  </si>
  <si>
    <t>Add variables:</t>
  </si>
  <si>
    <t>• max_demerit</t>
  </si>
  <si>
    <t>• is_blk</t>
  </si>
  <si>
    <t>Rev 1</t>
  </si>
  <si>
    <t>Original Status Formula</t>
  </si>
  <si>
    <t>• msg</t>
  </si>
  <si>
    <t>• return (optional)</t>
  </si>
  <si>
    <r>
      <t xml:space="preserve">    </t>
    </r>
    <r>
      <rPr>
        <sz val="11"/>
        <color rgb="FF0969DA"/>
        <rFont val="Consolas"/>
        <family val="3"/>
      </rPr>
      <t>max_demrits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</t>
    </r>
  </si>
  <si>
    <r>
      <t xml:space="preserve">        </t>
    </r>
    <r>
      <rPr>
        <sz val="11"/>
        <color rgb="FFC4432B"/>
        <rFont val="Consolas"/>
        <family val="3"/>
      </rPr>
      <t>LET</t>
    </r>
    <r>
      <rPr>
        <sz val="11"/>
        <color rgb="FF000000"/>
        <rFont val="Consolas"/>
        <family val="3"/>
      </rPr>
      <t>(</t>
    </r>
  </si>
  <si>
    <t>        )</t>
  </si>
  <si>
    <t>    ),</t>
  </si>
  <si>
    <r>
      <t xml:space="preserve">    </t>
    </r>
    <r>
      <rPr>
        <sz val="11"/>
        <color rgb="FF0969DA"/>
        <rFont val="Consolas"/>
        <family val="3"/>
      </rPr>
      <t>msg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demerit</t>
    </r>
    <r>
      <rPr>
        <sz val="11"/>
        <color rgb="FF000000"/>
        <rFont val="Consolas"/>
        <family val="3"/>
      </rPr>
      <t xml:space="preserve"> &lt; </t>
    </r>
    <r>
      <rPr>
        <sz val="11"/>
        <color rgb="FF0969DA"/>
        <rFont val="Consolas"/>
        <family val="3"/>
      </rPr>
      <t>max_demrits</t>
    </r>
    <r>
      <rPr>
        <sz val="11"/>
        <color rgb="FF000000"/>
        <rFont val="Consolas"/>
        <family val="3"/>
      </rPr>
      <t xml:space="preserve">, </t>
    </r>
    <r>
      <rPr>
        <sz val="11"/>
        <color rgb="FFA31515"/>
        <rFont val="Consolas"/>
        <family val="3"/>
      </rPr>
      <t>"Pass"</t>
    </r>
    <r>
      <rPr>
        <sz val="11"/>
        <color rgb="FF000000"/>
        <rFont val="Consolas"/>
        <family val="3"/>
      </rPr>
      <t xml:space="preserve">, </t>
    </r>
    <r>
      <rPr>
        <sz val="11"/>
        <color rgb="FFA31515"/>
        <rFont val="Consolas"/>
        <family val="3"/>
      </rPr>
      <t>"Discuss"</t>
    </r>
    <r>
      <rPr>
        <sz val="11"/>
        <color rgb="FF000000"/>
        <rFont val="Consolas"/>
        <family val="3"/>
      </rPr>
      <t>),</t>
    </r>
  </si>
  <si>
    <r>
      <t xml:space="preserve">    </t>
    </r>
    <r>
      <rPr>
        <sz val="11"/>
        <color rgb="FF0969DA"/>
        <rFont val="Consolas"/>
        <family val="3"/>
      </rPr>
      <t>return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is_blk</t>
    </r>
    <r>
      <rPr>
        <sz val="11"/>
        <color rgb="FF000000"/>
        <rFont val="Consolas"/>
        <family val="3"/>
      </rPr>
      <t xml:space="preserve">, 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msg</t>
    </r>
    <r>
      <rPr>
        <sz val="11"/>
        <color rgb="FF000000"/>
        <rFont val="Consolas"/>
        <family val="3"/>
      </rPr>
      <t>),</t>
    </r>
  </si>
  <si>
    <r>
      <t xml:space="preserve">    </t>
    </r>
    <r>
      <rPr>
        <sz val="11"/>
        <color rgb="FF0969DA"/>
        <rFont val="Consolas"/>
        <family val="3"/>
      </rPr>
      <t>return</t>
    </r>
  </si>
  <si>
    <t>Modify formula to use dynamic arrays</t>
  </si>
  <si>
    <t>Rev 2</t>
  </si>
  <si>
    <t>• Problems could be hidden until all test results are input</t>
  </si>
  <si>
    <t>Turn into resuable LAMBDA</t>
  </si>
  <si>
    <t>Pro</t>
  </si>
  <si>
    <t>Give outputs of partially completed samples</t>
  </si>
  <si>
    <t>Guidelines: Results ± Expected</t>
  </si>
  <si>
    <t>Guidelines: Expected Values</t>
  </si>
  <si>
    <t>Demerits</t>
  </si>
  <si>
    <t>Scores are universal for all columns but are hard-coded (i.e., Poor = 3, Flag = 1)</t>
  </si>
  <si>
    <t>Calculation step feels busy with the blank checking and nested IF statement for message</t>
  </si>
  <si>
    <r>
      <t>IF(</t>
    </r>
    <r>
      <rPr>
        <sz val="11"/>
        <color theme="9"/>
        <rFont val="Consolas"/>
        <family val="3"/>
      </rPr>
      <t>ABS(C246-$C$240)</t>
    </r>
    <r>
      <rPr>
        <sz val="11"/>
        <rFont val="Consolas"/>
        <family val="3"/>
      </rPr>
      <t xml:space="preserve"> &gt;= </t>
    </r>
    <r>
      <rPr>
        <sz val="11"/>
        <color theme="7"/>
        <rFont val="Consolas"/>
        <family val="3"/>
      </rPr>
      <t>$C$243</t>
    </r>
    <r>
      <rPr>
        <sz val="11"/>
        <rFont val="Consolas"/>
        <family val="3"/>
      </rPr>
      <t xml:space="preserve">,   </t>
    </r>
    <r>
      <rPr>
        <sz val="11"/>
        <color theme="5"/>
        <rFont val="Consolas"/>
        <family val="3"/>
      </rPr>
      <t xml:space="preserve">3 </t>
    </r>
    <r>
      <rPr>
        <sz val="11"/>
        <rFont val="Consolas"/>
        <family val="3"/>
      </rPr>
      <t xml:space="preserve">  , IF(</t>
    </r>
    <r>
      <rPr>
        <sz val="11"/>
        <color theme="9"/>
        <rFont val="Consolas"/>
        <family val="3"/>
      </rPr>
      <t>ABS(C246-$C$240)</t>
    </r>
    <r>
      <rPr>
        <sz val="11"/>
        <rFont val="Consolas"/>
        <family val="3"/>
      </rPr>
      <t xml:space="preserve"> &gt;= </t>
    </r>
    <r>
      <rPr>
        <sz val="11"/>
        <color theme="8"/>
        <rFont val="Consolas"/>
        <family val="3"/>
      </rPr>
      <t>$C$242</t>
    </r>
    <r>
      <rPr>
        <sz val="11"/>
        <rFont val="Consolas"/>
        <family val="3"/>
      </rPr>
      <t xml:space="preserve">,   </t>
    </r>
    <r>
      <rPr>
        <sz val="11"/>
        <color rgb="FFC00000"/>
        <rFont val="Consolas"/>
        <family val="3"/>
      </rPr>
      <t>1</t>
    </r>
    <r>
      <rPr>
        <sz val="11"/>
        <rFont val="Consolas"/>
        <family val="3"/>
      </rPr>
      <t xml:space="preserve">   , 0)),</t>
    </r>
  </si>
  <si>
    <r>
      <t xml:space="preserve">IF(    </t>
    </r>
    <r>
      <rPr>
        <sz val="11"/>
        <color theme="9"/>
        <rFont val="Consolas"/>
        <family val="3"/>
      </rPr>
      <t>abs_diff</t>
    </r>
    <r>
      <rPr>
        <sz val="11"/>
        <rFont val="Consolas"/>
        <family val="3"/>
      </rPr>
      <t xml:space="preserve">     &gt;=  </t>
    </r>
    <r>
      <rPr>
        <sz val="11"/>
        <color theme="7"/>
        <rFont val="Consolas"/>
        <family val="3"/>
      </rPr>
      <t xml:space="preserve">poor </t>
    </r>
    <r>
      <rPr>
        <sz val="11"/>
        <rFont val="Consolas"/>
        <family val="3"/>
      </rPr>
      <t xml:space="preserve">, </t>
    </r>
    <r>
      <rPr>
        <sz val="11"/>
        <color theme="5"/>
        <rFont val="Consolas"/>
        <family val="3"/>
      </rPr>
      <t>s_poor</t>
    </r>
    <r>
      <rPr>
        <sz val="11"/>
        <rFont val="Consolas"/>
        <family val="3"/>
      </rPr>
      <t xml:space="preserve">, IF(    </t>
    </r>
    <r>
      <rPr>
        <sz val="11"/>
        <color theme="9"/>
        <rFont val="Consolas"/>
        <family val="3"/>
      </rPr>
      <t>abs_diff</t>
    </r>
    <r>
      <rPr>
        <sz val="11"/>
        <rFont val="Consolas"/>
        <family val="3"/>
      </rPr>
      <t xml:space="preserve">     &gt;=  </t>
    </r>
    <r>
      <rPr>
        <sz val="11"/>
        <color theme="8"/>
        <rFont val="Consolas"/>
        <family val="3"/>
      </rPr>
      <t xml:space="preserve">flag </t>
    </r>
    <r>
      <rPr>
        <sz val="11"/>
        <rFont val="Consolas"/>
        <family val="3"/>
      </rPr>
      <t xml:space="preserve">, </t>
    </r>
    <r>
      <rPr>
        <sz val="11"/>
        <color rgb="FFC00000"/>
        <rFont val="Consolas"/>
        <family val="3"/>
      </rPr>
      <t>s_flag</t>
    </r>
    <r>
      <rPr>
        <sz val="11"/>
        <rFont val="Consolas"/>
        <family val="3"/>
      </rPr>
      <t>, 0)),</t>
    </r>
  </si>
  <si>
    <t>• s_flag</t>
  </si>
  <si>
    <t>• s_poor</t>
  </si>
  <si>
    <t>• Compares the absolute difference to the guideline values</t>
  </si>
  <si>
    <r>
      <t xml:space="preserve">    </t>
    </r>
    <r>
      <rPr>
        <sz val="11"/>
        <color rgb="FF0969DA"/>
        <rFont val="Consolas"/>
        <family val="3"/>
      </rPr>
      <t>s_flag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,</t>
    </r>
  </si>
  <si>
    <r>
      <t xml:space="preserve">    </t>
    </r>
    <r>
      <rPr>
        <sz val="11"/>
        <color rgb="FF0969DA"/>
        <rFont val="Consolas"/>
        <family val="3"/>
      </rPr>
      <t>s_poor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>,</t>
    </r>
  </si>
  <si>
    <r>
      <t xml:space="preserve">    </t>
    </r>
    <r>
      <rPr>
        <sz val="11"/>
        <color rgb="FF0969DA"/>
        <rFont val="Consolas"/>
        <family val="3"/>
      </rPr>
      <t>get_score</t>
    </r>
    <r>
      <rPr>
        <sz val="11"/>
        <color rgb="FF000000"/>
        <rFont val="Consolas"/>
        <family val="3"/>
      </rPr>
      <t xml:space="preserve">, </t>
    </r>
    <r>
      <rPr>
        <sz val="11"/>
        <color rgb="FFC4432B"/>
        <rFont val="Consolas"/>
        <family val="3"/>
      </rPr>
      <t>LAMBDA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val</t>
    </r>
    <r>
      <rPr>
        <sz val="11"/>
        <color rgb="FF000000"/>
        <rFont val="Consolas"/>
        <family val="3"/>
      </rPr>
      <t>,</t>
    </r>
    <r>
      <rPr>
        <sz val="11"/>
        <color rgb="FF0969DA"/>
        <rFont val="Consolas"/>
        <family val="3"/>
      </rPr>
      <t>exp</t>
    </r>
    <r>
      <rPr>
        <sz val="11"/>
        <color rgb="FF000000"/>
        <rFont val="Consolas"/>
        <family val="3"/>
      </rPr>
      <t>,</t>
    </r>
    <r>
      <rPr>
        <sz val="11"/>
        <color rgb="FF0969DA"/>
        <rFont val="Consolas"/>
        <family val="3"/>
      </rPr>
      <t>flag</t>
    </r>
    <r>
      <rPr>
        <sz val="11"/>
        <color rgb="FF000000"/>
        <rFont val="Consolas"/>
        <family val="3"/>
      </rPr>
      <t>,</t>
    </r>
    <r>
      <rPr>
        <sz val="11"/>
        <color rgb="FF0969DA"/>
        <rFont val="Consolas"/>
        <family val="3"/>
      </rPr>
      <t>poor</t>
    </r>
    <r>
      <rPr>
        <sz val="11"/>
        <color rgb="FF000000"/>
        <rFont val="Consolas"/>
        <family val="3"/>
      </rPr>
      <t>,</t>
    </r>
  </si>
  <si>
    <r>
      <t xml:space="preserve">            </t>
    </r>
    <r>
      <rPr>
        <sz val="11"/>
        <color rgb="FF0969DA"/>
        <rFont val="Consolas"/>
        <family val="3"/>
      </rPr>
      <t>abs_diff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val</t>
    </r>
    <r>
      <rPr>
        <sz val="11"/>
        <color rgb="FF000000"/>
        <rFont val="Consolas"/>
        <family val="3"/>
      </rPr>
      <t xml:space="preserve"> - </t>
    </r>
    <r>
      <rPr>
        <sz val="11"/>
        <color rgb="FF0969DA"/>
        <rFont val="Consolas"/>
        <family val="3"/>
      </rPr>
      <t>exp</t>
    </r>
    <r>
      <rPr>
        <sz val="11"/>
        <color rgb="FF000000"/>
        <rFont val="Consolas"/>
        <family val="3"/>
      </rPr>
      <t>),</t>
    </r>
  </si>
  <si>
    <r>
      <t xml:space="preserve">           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abs_diff</t>
    </r>
    <r>
      <rPr>
        <sz val="11"/>
        <color rgb="FF000000"/>
        <rFont val="Consolas"/>
        <family val="3"/>
      </rPr>
      <t xml:space="preserve"> &gt;= </t>
    </r>
    <r>
      <rPr>
        <sz val="11"/>
        <color rgb="FF0969DA"/>
        <rFont val="Consolas"/>
        <family val="3"/>
      </rPr>
      <t>poor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s_poor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abs_diff</t>
    </r>
    <r>
      <rPr>
        <sz val="11"/>
        <color rgb="FF000000"/>
        <rFont val="Consolas"/>
        <family val="3"/>
      </rPr>
      <t xml:space="preserve"> &gt;= </t>
    </r>
    <r>
      <rPr>
        <sz val="11"/>
        <color rgb="FF0969DA"/>
        <rFont val="Consolas"/>
        <family val="3"/>
      </rPr>
      <t>flag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s_flag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>))</t>
    </r>
  </si>
  <si>
    <r>
      <t xml:space="preserve">    </t>
    </r>
    <r>
      <rPr>
        <sz val="11"/>
        <color rgb="FF0969DA"/>
        <rFont val="Consolas"/>
        <family val="3"/>
      </rPr>
      <t>FN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get_score</t>
    </r>
    <r>
      <rPr>
        <sz val="11"/>
        <color rgb="FF000000"/>
        <rFont val="Consolas"/>
        <family val="3"/>
      </rPr>
      <t>(C248, $C$241, $C$244, $C$245),</t>
    </r>
  </si>
  <si>
    <r>
      <t xml:space="preserve">    </t>
    </r>
    <r>
      <rPr>
        <sz val="11"/>
        <color rgb="FF0969DA"/>
        <rFont val="Consolas"/>
        <family val="3"/>
      </rPr>
      <t>Cd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get_score</t>
    </r>
    <r>
      <rPr>
        <sz val="11"/>
        <color rgb="FF000000"/>
        <rFont val="Consolas"/>
        <family val="3"/>
      </rPr>
      <t>(D248, $D$241, $D$244, $D$245),</t>
    </r>
  </si>
  <si>
    <r>
      <t xml:space="preserve">    </t>
    </r>
    <r>
      <rPr>
        <sz val="11"/>
        <color rgb="FF0969DA"/>
        <rFont val="Consolas"/>
        <family val="3"/>
      </rPr>
      <t>HVK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get_score</t>
    </r>
    <r>
      <rPr>
        <sz val="11"/>
        <color rgb="FF000000"/>
        <rFont val="Consolas"/>
        <family val="3"/>
      </rPr>
      <t>(E248, $E$241, $E$244, $E$245),</t>
    </r>
  </si>
  <si>
    <r>
      <t xml:space="preserve">    </t>
    </r>
    <r>
      <rPr>
        <sz val="11"/>
        <color rgb="FF0969DA"/>
        <rFont val="Consolas"/>
        <family val="3"/>
      </rPr>
      <t>Mill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get_score</t>
    </r>
    <r>
      <rPr>
        <sz val="11"/>
        <color rgb="FF000000"/>
        <rFont val="Consolas"/>
        <family val="3"/>
      </rPr>
      <t>(F248, $F$241, $F$244, $F$245),</t>
    </r>
  </si>
  <si>
    <r>
      <t xml:space="preserve">    </t>
    </r>
    <r>
      <rPr>
        <sz val="11"/>
        <color rgb="FF0969DA"/>
        <rFont val="Consolas"/>
        <family val="3"/>
      </rPr>
      <t>Ash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get_score</t>
    </r>
    <r>
      <rPr>
        <sz val="11"/>
        <color rgb="FF000000"/>
        <rFont val="Consolas"/>
        <family val="3"/>
      </rPr>
      <t>(G248, $G$241, $G$244, $G$245),</t>
    </r>
  </si>
  <si>
    <r>
      <t xml:space="preserve">    </t>
    </r>
    <r>
      <rPr>
        <sz val="11"/>
        <color rgb="FF0969DA"/>
        <rFont val="Consolas"/>
        <family val="3"/>
      </rPr>
      <t>Pro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get_score</t>
    </r>
    <r>
      <rPr>
        <sz val="11"/>
        <color rgb="FF000000"/>
        <rFont val="Consolas"/>
        <family val="3"/>
      </rPr>
      <t>(H248, $H$241, $H$244, $H$245),</t>
    </r>
  </si>
  <si>
    <r>
      <t xml:space="preserve">    </t>
    </r>
    <r>
      <rPr>
        <sz val="11"/>
        <color rgb="FF0969DA"/>
        <rFont val="Consolas"/>
        <family val="3"/>
      </rPr>
      <t>GI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get_score</t>
    </r>
    <r>
      <rPr>
        <sz val="11"/>
        <color rgb="FF000000"/>
        <rFont val="Consolas"/>
        <family val="3"/>
      </rPr>
      <t>(I248, $I$241, $I$244, $I$245),</t>
    </r>
  </si>
  <si>
    <r>
      <t xml:space="preserve">    </t>
    </r>
    <r>
      <rPr>
        <sz val="11"/>
        <color rgb="FF0969DA"/>
        <rFont val="Consolas"/>
        <family val="3"/>
      </rPr>
      <t>is_blk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OR</t>
    </r>
    <r>
      <rPr>
        <sz val="11"/>
        <color rgb="FF000000"/>
        <rFont val="Consolas"/>
        <family val="3"/>
      </rPr>
      <t>(C248=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 D248=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 E248=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 F248=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 G248=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 H248=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 I248=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),</t>
    </r>
  </si>
  <si>
    <r>
      <t xml:space="preserve">    </t>
    </r>
    <r>
      <rPr>
        <sz val="11"/>
        <color rgb="FF0969DA"/>
        <rFont val="Consolas"/>
        <family val="3"/>
      </rPr>
      <t>get_merit</t>
    </r>
    <r>
      <rPr>
        <sz val="11"/>
        <color rgb="FF000000"/>
        <rFont val="Consolas"/>
        <family val="3"/>
      </rPr>
      <t xml:space="preserve">, </t>
    </r>
    <r>
      <rPr>
        <sz val="11"/>
        <color rgb="FFC4432B"/>
        <rFont val="Consolas"/>
        <family val="3"/>
      </rPr>
      <t>LAMBDA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array</t>
    </r>
    <r>
      <rPr>
        <sz val="11"/>
        <color rgb="FF000000"/>
        <rFont val="Consolas"/>
        <family val="3"/>
      </rPr>
      <t>,</t>
    </r>
  </si>
  <si>
    <r>
      <t xml:space="preserve">        </t>
    </r>
    <r>
      <rPr>
        <sz val="11"/>
        <color rgb="FF033D8B"/>
        <rFont val="Consolas"/>
        <family val="3"/>
      </rPr>
      <t>MAKEARRAY</t>
    </r>
    <r>
      <rPr>
        <sz val="11"/>
        <color rgb="FF000000"/>
        <rFont val="Consolas"/>
        <family val="3"/>
      </rPr>
      <t>(</t>
    </r>
  </si>
  <si>
    <r>
      <t xml:space="preserve">            </t>
    </r>
    <r>
      <rPr>
        <sz val="11"/>
        <color rgb="FF033D8B"/>
        <rFont val="Consolas"/>
        <family val="3"/>
      </rPr>
      <t>ROWS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array</t>
    </r>
    <r>
      <rPr>
        <sz val="11"/>
        <color rgb="FF000000"/>
        <rFont val="Consolas"/>
        <family val="3"/>
      </rPr>
      <t>),</t>
    </r>
  </si>
  <si>
    <r>
      <t xml:space="preserve">            </t>
    </r>
    <r>
      <rPr>
        <sz val="11"/>
        <color rgb="FF033D8B"/>
        <rFont val="Consolas"/>
        <family val="3"/>
      </rPr>
      <t>COLUMNS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array</t>
    </r>
    <r>
      <rPr>
        <sz val="11"/>
        <color rgb="FF000000"/>
        <rFont val="Consolas"/>
        <family val="3"/>
      </rPr>
      <t>),</t>
    </r>
  </si>
  <si>
    <r>
      <t xml:space="preserve">            </t>
    </r>
    <r>
      <rPr>
        <sz val="11"/>
        <color rgb="FFC4432B"/>
        <rFont val="Consolas"/>
        <family val="3"/>
      </rPr>
      <t>LAMBDA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r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c</t>
    </r>
    <r>
      <rPr>
        <sz val="11"/>
        <color rgb="FF000000"/>
        <rFont val="Consolas"/>
        <family val="3"/>
      </rPr>
      <t>,</t>
    </r>
  </si>
  <si>
    <r>
      <t xml:space="preserve">                </t>
    </r>
    <r>
      <rPr>
        <sz val="11"/>
        <color rgb="FFC4432B"/>
        <rFont val="Consolas"/>
        <family val="3"/>
      </rPr>
      <t>LET</t>
    </r>
    <r>
      <rPr>
        <sz val="11"/>
        <color rgb="FF000000"/>
        <rFont val="Consolas"/>
        <family val="3"/>
      </rPr>
      <t>(</t>
    </r>
  </si>
  <si>
    <r>
      <t xml:space="preserve">                    </t>
    </r>
    <r>
      <rPr>
        <sz val="11"/>
        <color rgb="FF0969DA"/>
        <rFont val="Consolas"/>
        <family val="3"/>
      </rPr>
      <t>i</t>
    </r>
    <r>
      <rPr>
        <sz val="11"/>
        <color rgb="FF000000"/>
        <rFont val="Consolas"/>
        <family val="3"/>
      </rPr>
      <t xml:space="preserve">, </t>
    </r>
    <r>
      <rPr>
        <sz val="11"/>
        <color rgb="FFC4432B"/>
        <rFont val="Consolas"/>
        <family val="3"/>
      </rPr>
      <t>LAMBDA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x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INDEX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x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r</t>
    </r>
    <r>
      <rPr>
        <sz val="11"/>
        <color rgb="FF000000"/>
        <rFont val="Consolas"/>
        <family val="3"/>
      </rPr>
      <t>)),</t>
    </r>
  </si>
  <si>
    <r>
      <t xml:space="preserve">                    </t>
    </r>
    <r>
      <rPr>
        <sz val="11"/>
        <color rgb="FF0969DA"/>
        <rFont val="Consolas"/>
        <family val="3"/>
      </rPr>
      <t>j</t>
    </r>
    <r>
      <rPr>
        <sz val="11"/>
        <color rgb="FF000000"/>
        <rFont val="Consolas"/>
        <family val="3"/>
      </rPr>
      <t xml:space="preserve">, </t>
    </r>
    <r>
      <rPr>
        <sz val="11"/>
        <color rgb="FFC4432B"/>
        <rFont val="Consolas"/>
        <family val="3"/>
      </rPr>
      <t>LAMBDA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x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INDEX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x</t>
    </r>
    <r>
      <rPr>
        <sz val="11"/>
        <color rgb="FF000000"/>
        <rFont val="Consolas"/>
        <family val="3"/>
      </rPr>
      <t xml:space="preserve">, , </t>
    </r>
    <r>
      <rPr>
        <sz val="11"/>
        <color rgb="FF0969DA"/>
        <rFont val="Consolas"/>
        <family val="3"/>
      </rPr>
      <t>c</t>
    </r>
    <r>
      <rPr>
        <sz val="11"/>
        <color rgb="FF000000"/>
        <rFont val="Consolas"/>
        <family val="3"/>
      </rPr>
      <t>)),</t>
    </r>
  </si>
  <si>
    <r>
      <t xml:space="preserve">                    </t>
    </r>
    <r>
      <rPr>
        <sz val="11"/>
        <color rgb="FF0969DA"/>
        <rFont val="Consolas"/>
        <family val="3"/>
      </rPr>
      <t>val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i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j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array</t>
    </r>
    <r>
      <rPr>
        <sz val="11"/>
        <color rgb="FF000000"/>
        <rFont val="Consolas"/>
        <family val="3"/>
      </rPr>
      <t>)),</t>
    </r>
  </si>
  <si>
    <r>
      <t xml:space="preserve">                    </t>
    </r>
    <r>
      <rPr>
        <sz val="11"/>
        <color rgb="FF0969DA"/>
        <rFont val="Consolas"/>
        <family val="3"/>
      </rPr>
      <t>diff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val</t>
    </r>
    <r>
      <rPr>
        <sz val="11"/>
        <color rgb="FF000000"/>
        <rFont val="Consolas"/>
        <family val="3"/>
      </rPr>
      <t xml:space="preserve"> - </t>
    </r>
    <r>
      <rPr>
        <sz val="11"/>
        <color rgb="FF0969DA"/>
        <rFont val="Consolas"/>
        <family val="3"/>
      </rPr>
      <t>j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expected</t>
    </r>
    <r>
      <rPr>
        <sz val="11"/>
        <color rgb="FF000000"/>
        <rFont val="Consolas"/>
        <family val="3"/>
      </rPr>
      <t>)),</t>
    </r>
  </si>
  <si>
    <r>
      <t xml:space="preserve">                    </t>
    </r>
    <r>
      <rPr>
        <sz val="11"/>
        <color rgb="FF0969DA"/>
        <rFont val="Consolas"/>
        <family val="3"/>
      </rPr>
      <t>is_blk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ISBLANK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val</t>
    </r>
    <r>
      <rPr>
        <sz val="11"/>
        <color rgb="FF000000"/>
        <rFont val="Consolas"/>
        <family val="3"/>
      </rPr>
      <t>),</t>
    </r>
  </si>
  <si>
    <r>
      <t xml:space="preserve">                    </t>
    </r>
    <r>
      <rPr>
        <sz val="11"/>
        <color rgb="FF0969DA"/>
        <rFont val="Consolas"/>
        <family val="3"/>
      </rPr>
      <t>msg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j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headers</t>
    </r>
    <r>
      <rPr>
        <sz val="11"/>
        <color rgb="FF000000"/>
        <rFont val="Consolas"/>
        <family val="3"/>
      </rPr>
      <t>),</t>
    </r>
  </si>
  <si>
    <r>
      <t xml:space="preserve">                    </t>
    </r>
    <r>
      <rPr>
        <sz val="11"/>
        <color rgb="FF0969DA"/>
        <rFont val="Consolas"/>
        <family val="3"/>
      </rPr>
      <t>score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XLOOKUP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diff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j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guideline_values</t>
    </r>
    <r>
      <rPr>
        <sz val="11"/>
        <color rgb="FF000000"/>
        <rFont val="Consolas"/>
        <family val="3"/>
      </rPr>
      <t xml:space="preserve">), </t>
    </r>
    <r>
      <rPr>
        <sz val="11"/>
        <color rgb="FF0969DA"/>
        <rFont val="Consolas"/>
        <family val="3"/>
      </rPr>
      <t>guideline_scores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-1</t>
    </r>
    <r>
      <rPr>
        <sz val="11"/>
        <color rgb="FF000000"/>
        <rFont val="Consolas"/>
        <family val="3"/>
      </rPr>
      <t>),</t>
    </r>
  </si>
  <si>
    <r>
      <t xml:space="preserve">                    </t>
    </r>
    <r>
      <rPr>
        <sz val="11"/>
        <color rgb="FF0969DA"/>
        <rFont val="Consolas"/>
        <family val="3"/>
      </rPr>
      <t>return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is_blk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msg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score</t>
    </r>
    <r>
      <rPr>
        <sz val="11"/>
        <color rgb="FF000000"/>
        <rFont val="Consolas"/>
        <family val="3"/>
      </rPr>
      <t>),</t>
    </r>
  </si>
  <si>
    <r>
      <t xml:space="preserve">                    </t>
    </r>
    <r>
      <rPr>
        <sz val="11"/>
        <color rgb="FF0969DA"/>
        <rFont val="Consolas"/>
        <family val="3"/>
      </rPr>
      <t>return</t>
    </r>
  </si>
  <si>
    <t>                )</t>
  </si>
  <si>
    <t>            )</t>
  </si>
  <si>
    <r>
      <t xml:space="preserve">    </t>
    </r>
    <r>
      <rPr>
        <sz val="11"/>
        <color rgb="FF0969DA"/>
        <rFont val="Consolas"/>
        <family val="3"/>
      </rPr>
      <t>merit_arr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get_merit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data</t>
    </r>
    <r>
      <rPr>
        <sz val="11"/>
        <color rgb="FF000000"/>
        <rFont val="Consolas"/>
        <family val="3"/>
      </rPr>
      <t>),</t>
    </r>
  </si>
  <si>
    <r>
      <t xml:space="preserve">    </t>
    </r>
    <r>
      <rPr>
        <sz val="11"/>
        <color rgb="FF0969DA"/>
        <rFont val="Consolas"/>
        <family val="3"/>
      </rPr>
      <t>blk_lbls</t>
    </r>
    <r>
      <rPr>
        <sz val="11"/>
        <color rgb="FF000000"/>
        <rFont val="Consolas"/>
        <family val="3"/>
      </rPr>
      <t xml:space="preserve">, </t>
    </r>
    <r>
      <rPr>
        <sz val="11"/>
        <color rgb="FFC4432B"/>
        <rFont val="Consolas"/>
        <family val="3"/>
      </rPr>
      <t>LET</t>
    </r>
    <r>
      <rPr>
        <sz val="11"/>
        <color rgb="FF000000"/>
        <rFont val="Consolas"/>
        <family val="3"/>
      </rPr>
      <t>(</t>
    </r>
  </si>
  <si>
    <r>
      <t xml:space="preserve">        </t>
    </r>
    <r>
      <rPr>
        <sz val="11"/>
        <color rgb="FF0969DA"/>
        <rFont val="Consolas"/>
        <family val="3"/>
      </rPr>
      <t>is_txt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ISTEXT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merit_arr</t>
    </r>
    <r>
      <rPr>
        <sz val="11"/>
        <color rgb="FF000000"/>
        <rFont val="Consolas"/>
        <family val="3"/>
      </rPr>
      <t>),</t>
    </r>
  </si>
  <si>
    <r>
      <t xml:space="preserve">        </t>
    </r>
    <r>
      <rPr>
        <sz val="11"/>
        <color rgb="FF0969DA"/>
        <rFont val="Consolas"/>
        <family val="3"/>
      </rPr>
      <t>txt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is_txt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merit_arr</t>
    </r>
    <r>
      <rPr>
        <sz val="11"/>
        <color rgb="FF000000"/>
        <rFont val="Consolas"/>
        <family val="3"/>
      </rPr>
      <t xml:space="preserve">, 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),</t>
    </r>
  </si>
  <si>
    <r>
      <t xml:space="preserve">        </t>
    </r>
    <r>
      <rPr>
        <sz val="11"/>
        <color rgb="FF0969DA"/>
        <rFont val="Consolas"/>
        <family val="3"/>
      </rPr>
      <t>return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BYROW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txt</t>
    </r>
    <r>
      <rPr>
        <sz val="11"/>
        <color rgb="FF000000"/>
        <rFont val="Consolas"/>
        <family val="3"/>
      </rPr>
      <t xml:space="preserve">, </t>
    </r>
    <r>
      <rPr>
        <sz val="11"/>
        <color rgb="FFC4432B"/>
        <rFont val="Consolas"/>
        <family val="3"/>
      </rPr>
      <t>LAMBDA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r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TEXTJOIN</t>
    </r>
    <r>
      <rPr>
        <sz val="11"/>
        <color rgb="FF000000"/>
        <rFont val="Consolas"/>
        <family val="3"/>
      </rPr>
      <t>(</t>
    </r>
    <r>
      <rPr>
        <sz val="11"/>
        <color rgb="FFA31515"/>
        <rFont val="Consolas"/>
        <family val="3"/>
      </rPr>
      <t>", "</t>
    </r>
    <r>
      <rPr>
        <sz val="11"/>
        <color rgb="FF000000"/>
        <rFont val="Consolas"/>
        <family val="3"/>
      </rPr>
      <t xml:space="preserve">, </t>
    </r>
    <r>
      <rPr>
        <sz val="11"/>
        <color rgb="FF0000FF"/>
        <rFont val="Consolas"/>
        <family val="3"/>
      </rPr>
      <t>TRUE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r</t>
    </r>
    <r>
      <rPr>
        <sz val="11"/>
        <color rgb="FF000000"/>
        <rFont val="Consolas"/>
        <family val="3"/>
      </rPr>
      <t>))),</t>
    </r>
  </si>
  <si>
    <r>
      <t xml:space="preserve">        </t>
    </r>
    <r>
      <rPr>
        <sz val="11"/>
        <color rgb="FF0969DA"/>
        <rFont val="Consolas"/>
        <family val="3"/>
      </rPr>
      <t>return</t>
    </r>
  </si>
  <si>
    <r>
      <t xml:space="preserve">    </t>
    </r>
    <r>
      <rPr>
        <sz val="11"/>
        <color rgb="FF0969DA"/>
        <rFont val="Consolas"/>
        <family val="3"/>
      </rPr>
      <t>merit_sum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BYROW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merit_arr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SUM</t>
    </r>
    <r>
      <rPr>
        <sz val="11"/>
        <color rgb="FF000000"/>
        <rFont val="Consolas"/>
        <family val="3"/>
      </rPr>
      <t>),</t>
    </r>
  </si>
  <si>
    <r>
      <t xml:space="preserve">    </t>
    </r>
    <r>
      <rPr>
        <sz val="11"/>
        <color rgb="FF0969DA"/>
        <rFont val="Consolas"/>
        <family val="3"/>
      </rPr>
      <t>msg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merit_sum</t>
    </r>
    <r>
      <rPr>
        <sz val="11"/>
        <color rgb="FF000000"/>
        <rFont val="Consolas"/>
        <family val="3"/>
      </rPr>
      <t xml:space="preserve"> &lt; </t>
    </r>
    <r>
      <rPr>
        <sz val="11"/>
        <color rgb="FF0969DA"/>
        <rFont val="Consolas"/>
        <family val="3"/>
      </rPr>
      <t>max_demerits</t>
    </r>
    <r>
      <rPr>
        <sz val="11"/>
        <color rgb="FF000000"/>
        <rFont val="Consolas"/>
        <family val="3"/>
      </rPr>
      <t xml:space="preserve">, </t>
    </r>
    <r>
      <rPr>
        <sz val="11"/>
        <color rgb="FFA31515"/>
        <rFont val="Consolas"/>
        <family val="3"/>
      </rPr>
      <t>"Pass"</t>
    </r>
    <r>
      <rPr>
        <sz val="11"/>
        <color rgb="FF000000"/>
        <rFont val="Consolas"/>
        <family val="3"/>
      </rPr>
      <t xml:space="preserve">, </t>
    </r>
    <r>
      <rPr>
        <sz val="11"/>
        <color rgb="FFA31515"/>
        <rFont val="Consolas"/>
        <family val="3"/>
      </rPr>
      <t>"Discuss"</t>
    </r>
    <r>
      <rPr>
        <sz val="11"/>
        <color rgb="FF000000"/>
        <rFont val="Consolas"/>
        <family val="3"/>
      </rPr>
      <t>),</t>
    </r>
  </si>
  <si>
    <r>
      <t xml:space="preserve">    </t>
    </r>
    <r>
      <rPr>
        <sz val="11"/>
        <color rgb="FF0969DA"/>
        <rFont val="Consolas"/>
        <family val="3"/>
      </rPr>
      <t>msg_blks</t>
    </r>
    <r>
      <rPr>
        <sz val="11"/>
        <color rgb="FF000000"/>
        <rFont val="Consolas"/>
        <family val="3"/>
      </rPr>
      <t xml:space="preserve">, </t>
    </r>
    <r>
      <rPr>
        <sz val="11"/>
        <color rgb="FFA31515"/>
        <rFont val="Consolas"/>
        <family val="3"/>
      </rPr>
      <t>"["</t>
    </r>
    <r>
      <rPr>
        <sz val="11"/>
        <color rgb="FF000000"/>
        <rFont val="Consolas"/>
        <family val="3"/>
      </rPr>
      <t xml:space="preserve"> &amp; </t>
    </r>
    <r>
      <rPr>
        <sz val="11"/>
        <color rgb="FF0969DA"/>
        <rFont val="Consolas"/>
        <family val="3"/>
      </rPr>
      <t>merit_sum</t>
    </r>
    <r>
      <rPr>
        <sz val="11"/>
        <color rgb="FF000000"/>
        <rFont val="Consolas"/>
        <family val="3"/>
      </rPr>
      <t xml:space="preserve"> &amp; </t>
    </r>
    <r>
      <rPr>
        <sz val="11"/>
        <color rgb="FFA31515"/>
        <rFont val="Consolas"/>
        <family val="3"/>
      </rPr>
      <t>"] BLK: "</t>
    </r>
    <r>
      <rPr>
        <sz val="11"/>
        <color rgb="FF000000"/>
        <rFont val="Consolas"/>
        <family val="3"/>
      </rPr>
      <t xml:space="preserve"> &amp; </t>
    </r>
    <r>
      <rPr>
        <sz val="11"/>
        <color rgb="FF0969DA"/>
        <rFont val="Consolas"/>
        <family val="3"/>
      </rPr>
      <t>blk_lbls</t>
    </r>
    <r>
      <rPr>
        <sz val="11"/>
        <color rgb="FF000000"/>
        <rFont val="Consolas"/>
        <family val="3"/>
      </rPr>
      <t>,</t>
    </r>
  </si>
  <si>
    <r>
      <t xml:space="preserve">    </t>
    </r>
    <r>
      <rPr>
        <sz val="11"/>
        <color rgb="FF0969DA"/>
        <rFont val="Consolas"/>
        <family val="3"/>
      </rPr>
      <t>return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IF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blk_lbls</t>
    </r>
    <r>
      <rPr>
        <sz val="11"/>
        <color rgb="FF000000"/>
        <rFont val="Consolas"/>
        <family val="3"/>
      </rPr>
      <t xml:space="preserve"> = 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msg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msg_blks</t>
    </r>
    <r>
      <rPr>
        <sz val="11"/>
        <color rgb="FF000000"/>
        <rFont val="Consolas"/>
        <family val="3"/>
      </rPr>
      <t>),</t>
    </r>
  </si>
  <si>
    <r>
      <rPr>
        <sz val="11"/>
        <color rgb="FFC4432B"/>
        <rFont val="Consolas"/>
        <family val="3"/>
      </rPr>
      <t>LET</t>
    </r>
    <r>
      <rPr>
        <sz val="11"/>
        <color rgb="FF000000"/>
        <rFont val="Consolas"/>
        <family val="3"/>
      </rPr>
      <t>(</t>
    </r>
  </si>
  <si>
    <r>
      <t>=</t>
    </r>
    <r>
      <rPr>
        <sz val="11"/>
        <color rgb="FFC4432B"/>
        <rFont val="Consolas"/>
        <family val="3"/>
      </rPr>
      <t>LAMBDA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data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expected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headers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guideline_values</t>
    </r>
    <r>
      <rPr>
        <sz val="11"/>
        <rFont val="Consolas"/>
        <family val="3"/>
      </rPr>
      <t>,</t>
    </r>
    <r>
      <rPr>
        <sz val="11"/>
        <color rgb="FF0969DA"/>
        <rFont val="Consolas"/>
        <family val="3"/>
      </rPr>
      <t xml:space="preserve"> guideline_scores</t>
    </r>
    <r>
      <rPr>
        <sz val="11"/>
        <rFont val="Consolas"/>
        <family val="3"/>
      </rPr>
      <t>,</t>
    </r>
    <r>
      <rPr>
        <sz val="11"/>
        <color rgb="FF0969DA"/>
        <rFont val="Consolas"/>
        <family val="3"/>
      </rPr>
      <t xml:space="preserve"> max_demerits</t>
    </r>
    <r>
      <rPr>
        <sz val="11"/>
        <rFont val="Consolas"/>
        <family val="3"/>
      </rPr>
      <t>,</t>
    </r>
  </si>
  <si>
    <t>))</t>
  </si>
  <si>
    <t>[Moderate] Revision 1 of Status Formula</t>
  </si>
  <si>
    <r>
      <t>[</t>
    </r>
    <r>
      <rPr>
        <b/>
        <sz val="14"/>
        <color theme="5"/>
        <rFont val="Segoe UI"/>
        <family val="2"/>
      </rPr>
      <t>Moderate</t>
    </r>
    <r>
      <rPr>
        <b/>
        <sz val="14"/>
        <color rgb="FF0070C0"/>
        <rFont val="Segoe UI"/>
        <family val="2"/>
      </rPr>
      <t>] Solve for the unknown using dilution equation</t>
    </r>
  </si>
  <si>
    <t>[Moderate - Advanced+]  LETs Make This Formula Better</t>
  </si>
  <si>
    <r>
      <t>[</t>
    </r>
    <r>
      <rPr>
        <b/>
        <sz val="14"/>
        <color theme="5"/>
        <rFont val="Segoe UI"/>
        <family val="2"/>
      </rPr>
      <t>Moderate</t>
    </r>
    <r>
      <rPr>
        <b/>
        <sz val="14"/>
        <color rgb="FF0070C0"/>
        <rFont val="Segoe UI"/>
        <family val="2"/>
      </rPr>
      <t xml:space="preserve"> - </t>
    </r>
    <r>
      <rPr>
        <b/>
        <sz val="14"/>
        <color rgb="FFC00000"/>
        <rFont val="Segoe UI"/>
        <family val="2"/>
      </rPr>
      <t>Advanced+</t>
    </r>
    <r>
      <rPr>
        <b/>
        <sz val="14"/>
        <color rgb="FF0070C0"/>
        <rFont val="Segoe UI"/>
        <family val="2"/>
      </rPr>
      <t>]  LETs Make This Formula Better</t>
    </r>
  </si>
  <si>
    <t>[Advanced+] Revision 2 of Status Formula: Dynamic Arrays and Re-Usable LAMBDA</t>
  </si>
  <si>
    <t>Context</t>
  </si>
  <si>
    <t>Samples 1-10 are tested by seven different methods (i.e., FN, Cd, HVK, etc.)</t>
  </si>
  <si>
    <t>Create another column with the improvements</t>
  </si>
  <si>
    <r>
      <t xml:space="preserve">• If the difference between the result and expected is &gt; </t>
    </r>
    <r>
      <rPr>
        <b/>
        <sz val="11"/>
        <color theme="1" tint="0.34998626667073579"/>
        <rFont val="Consolas"/>
        <family val="3"/>
      </rPr>
      <t>flag</t>
    </r>
    <r>
      <rPr>
        <sz val="11"/>
        <color theme="1" tint="0.34998626667073579"/>
        <rFont val="Consolas"/>
        <family val="3"/>
      </rPr>
      <t xml:space="preserve">, assign demerit value of </t>
    </r>
    <r>
      <rPr>
        <b/>
        <sz val="11"/>
        <color theme="1" tint="0.34998626667073579"/>
        <rFont val="Consolas"/>
        <family val="3"/>
      </rPr>
      <t>1</t>
    </r>
  </si>
  <si>
    <r>
      <t xml:space="preserve">• If the difference between the result and expected is &gt; </t>
    </r>
    <r>
      <rPr>
        <b/>
        <sz val="11"/>
        <color theme="1" tint="0.34998626667073579"/>
        <rFont val="Consolas"/>
        <family val="3"/>
      </rPr>
      <t>poor</t>
    </r>
    <r>
      <rPr>
        <sz val="11"/>
        <color theme="1" tint="0.34998626667073579"/>
        <rFont val="Consolas"/>
        <family val="3"/>
      </rPr>
      <t xml:space="preserve">, assign demerit value of </t>
    </r>
    <r>
      <rPr>
        <b/>
        <sz val="11"/>
        <color theme="1" tint="0.34998626667073579"/>
        <rFont val="Consolas"/>
        <family val="3"/>
      </rPr>
      <t>3</t>
    </r>
  </si>
  <si>
    <t>For each result, compare to the expected value within a given range (±) and assign a demerit score:</t>
  </si>
  <si>
    <r>
      <t xml:space="preserve">• If the demerit score is </t>
    </r>
    <r>
      <rPr>
        <b/>
        <sz val="11"/>
        <color theme="1" tint="0.34998626667073579"/>
        <rFont val="Consolas"/>
        <family val="3"/>
      </rPr>
      <t>&lt; 3</t>
    </r>
    <r>
      <rPr>
        <sz val="11"/>
        <color theme="1" tint="0.34998626667073579"/>
        <rFont val="Consolas"/>
        <family val="3"/>
      </rPr>
      <t xml:space="preserve">, then output </t>
    </r>
    <r>
      <rPr>
        <b/>
        <sz val="11"/>
        <color theme="1" tint="0.34998626667073579"/>
        <rFont val="Consolas"/>
        <family val="3"/>
      </rPr>
      <t>"Pass"</t>
    </r>
  </si>
  <si>
    <r>
      <t>• If the demerit score is</t>
    </r>
    <r>
      <rPr>
        <b/>
        <sz val="11"/>
        <color theme="1" tint="0.34998626667073579"/>
        <rFont val="Consolas"/>
        <family val="3"/>
      </rPr>
      <t xml:space="preserve"> ≥ 3</t>
    </r>
    <r>
      <rPr>
        <sz val="11"/>
        <color theme="1" tint="0.34998626667073579"/>
        <rFont val="Consolas"/>
        <family val="3"/>
      </rPr>
      <t>, then output "</t>
    </r>
    <r>
      <rPr>
        <b/>
        <sz val="11"/>
        <color theme="1" tint="0.34998626667073579"/>
        <rFont val="Consolas"/>
        <family val="3"/>
      </rPr>
      <t>Discuss</t>
    </r>
    <r>
      <rPr>
        <sz val="11"/>
        <color theme="1" tint="0.34998626667073579"/>
        <rFont val="Consolas"/>
        <family val="3"/>
      </rPr>
      <t>"</t>
    </r>
  </si>
  <si>
    <t>For each sample, sum the demerit scores and output "Pass", "Discuss", or "" in the status column:</t>
  </si>
  <si>
    <r>
      <t xml:space="preserve">• If there is a </t>
    </r>
    <r>
      <rPr>
        <b/>
        <sz val="11"/>
        <color theme="1" tint="0.34998626667073579"/>
        <rFont val="Consolas"/>
        <family val="3"/>
      </rPr>
      <t>blank</t>
    </r>
    <r>
      <rPr>
        <sz val="11"/>
        <color theme="1" tint="0.34998626667073579"/>
        <rFont val="Consolas"/>
        <family val="3"/>
      </rPr>
      <t xml:space="preserve"> result, then output </t>
    </r>
    <r>
      <rPr>
        <b/>
        <sz val="11"/>
        <color theme="1" tint="0.34998626667073579"/>
        <rFont val="Consolas"/>
        <family val="3"/>
      </rPr>
      <t>""</t>
    </r>
  </si>
  <si>
    <r>
      <rPr>
        <i/>
        <sz val="11"/>
        <color theme="1" tint="0.34998626667073579"/>
        <rFont val="Consolas"/>
        <family val="3"/>
      </rPr>
      <t>BONUS</t>
    </r>
    <r>
      <rPr>
        <sz val="11"/>
        <color theme="1" tint="0.34998626667073579"/>
        <rFont val="Consolas"/>
        <family val="3"/>
      </rPr>
      <t xml:space="preserve"> Create a re-usable LAMBDA using dynamic arrays</t>
    </r>
  </si>
  <si>
    <t>Still a lot of cell references (5 per method x 7 methods = 35 references)</t>
  </si>
  <si>
    <t>Still have repeated cell references for each results (e.g., FN and within is_blk)</t>
  </si>
  <si>
    <t>PICTUE OR SOMETHING?</t>
  </si>
  <si>
    <t>• Excel Labs Add-in</t>
  </si>
  <si>
    <t>• LET Function</t>
  </si>
  <si>
    <t>• LAMBDA Function</t>
  </si>
  <si>
    <r>
      <t xml:space="preserve">• </t>
    </r>
    <r>
      <rPr>
        <i/>
        <sz val="11"/>
        <color theme="1"/>
        <rFont val="Aptos"/>
      </rPr>
      <t>Dynamic Arrays (Spill)</t>
    </r>
  </si>
  <si>
    <t>• Make formulas easier to read</t>
  </si>
  <si>
    <t>• Only reference a cell once</t>
  </si>
  <si>
    <t>• Minimize repeatitive blocks of code</t>
  </si>
  <si>
    <t>• Improve performance</t>
  </si>
  <si>
    <r>
      <t xml:space="preserve">• Focusing on the </t>
    </r>
    <r>
      <rPr>
        <b/>
        <sz val="14"/>
        <color theme="1"/>
        <rFont val="Segoe UI"/>
        <family val="2"/>
      </rPr>
      <t>Grid</t>
    </r>
    <r>
      <rPr>
        <sz val="14"/>
        <color theme="1"/>
        <rFont val="Segoe UI"/>
        <family val="2"/>
      </rPr>
      <t xml:space="preserve"> and </t>
    </r>
    <r>
      <rPr>
        <b/>
        <sz val="14"/>
        <color theme="1"/>
        <rFont val="Segoe UI"/>
        <family val="2"/>
      </rPr>
      <t>Names</t>
    </r>
    <r>
      <rPr>
        <sz val="14"/>
        <color theme="1"/>
        <rFont val="Segoe UI"/>
        <family val="2"/>
      </rPr>
      <t xml:space="preserve"> Views within the </t>
    </r>
    <r>
      <rPr>
        <b/>
        <sz val="14"/>
        <color theme="1"/>
        <rFont val="Segoe UI"/>
        <family val="2"/>
      </rPr>
      <t>Advanced Formula Environment</t>
    </r>
  </si>
  <si>
    <r>
      <t>=LET(</t>
    </r>
    <r>
      <rPr>
        <sz val="16"/>
        <color theme="9"/>
        <rFont val="Consolas"/>
        <family val="3"/>
      </rPr>
      <t>a</t>
    </r>
    <r>
      <rPr>
        <sz val="16"/>
        <rFont val="Consolas"/>
        <family val="3"/>
      </rPr>
      <t xml:space="preserve">, </t>
    </r>
    <r>
      <rPr>
        <sz val="16"/>
        <color theme="9"/>
        <rFont val="Consolas"/>
        <family val="3"/>
      </rPr>
      <t>$G$33</t>
    </r>
    <r>
      <rPr>
        <sz val="16"/>
        <rFont val="Consolas"/>
        <family val="3"/>
      </rPr>
      <t xml:space="preserve">, </t>
    </r>
    <r>
      <rPr>
        <sz val="16"/>
        <color theme="8"/>
        <rFont val="Consolas"/>
        <family val="3"/>
      </rPr>
      <t>a</t>
    </r>
    <r>
      <rPr>
        <sz val="16"/>
        <rFont val="Consolas"/>
        <family val="3"/>
      </rPr>
      <t>)</t>
    </r>
  </si>
  <si>
    <r>
      <t xml:space="preserve">    </t>
    </r>
    <r>
      <rPr>
        <sz val="16"/>
        <color theme="9"/>
        <rFont val="Consolas"/>
        <family val="3"/>
      </rPr>
      <t>a</t>
    </r>
    <r>
      <rPr>
        <sz val="16"/>
        <rFont val="Consolas"/>
        <family val="3"/>
      </rPr>
      <t xml:space="preserve">, </t>
    </r>
    <r>
      <rPr>
        <sz val="16"/>
        <color theme="9"/>
        <rFont val="Consolas"/>
        <family val="3"/>
      </rPr>
      <t>$G$39</t>
    </r>
    <r>
      <rPr>
        <sz val="16"/>
        <rFont val="Consolas"/>
        <family val="3"/>
      </rPr>
      <t>,</t>
    </r>
  </si>
  <si>
    <r>
      <t xml:space="preserve">    </t>
    </r>
    <r>
      <rPr>
        <sz val="16"/>
        <color theme="7"/>
        <rFont val="Consolas"/>
        <family val="3"/>
      </rPr>
      <t>b</t>
    </r>
    <r>
      <rPr>
        <sz val="16"/>
        <rFont val="Consolas"/>
        <family val="3"/>
      </rPr>
      <t xml:space="preserve">, </t>
    </r>
    <r>
      <rPr>
        <sz val="16"/>
        <color theme="7"/>
        <rFont val="Consolas"/>
        <family val="3"/>
      </rPr>
      <t>$G$40</t>
    </r>
    <r>
      <rPr>
        <sz val="16"/>
        <rFont val="Consolas"/>
        <family val="3"/>
      </rPr>
      <t>,</t>
    </r>
  </si>
  <si>
    <t>• Expand and Re-size the formula bar.</t>
  </si>
  <si>
    <r>
      <t xml:space="preserve">• Use a </t>
    </r>
    <r>
      <rPr>
        <i/>
        <sz val="14"/>
        <color theme="1"/>
        <rFont val="Segoe UI"/>
        <family val="2"/>
      </rPr>
      <t>return</t>
    </r>
    <r>
      <rPr>
        <sz val="14"/>
        <color theme="1"/>
        <rFont val="Segoe UI"/>
        <family val="2"/>
      </rPr>
      <t xml:space="preserve"> variable for the final step instead of a calculation (useful for troubleshooting errors)</t>
    </r>
  </si>
  <si>
    <t>• Try not to use any helper/external formulas</t>
  </si>
  <si>
    <t>describes a value's position relative to</t>
  </si>
  <si>
    <t>Warning</t>
  </si>
  <si>
    <t>ZSCORE</t>
  </si>
  <si>
    <t>Rules</t>
  </si>
  <si>
    <t>Label</t>
  </si>
  <si>
    <t>± Std</t>
  </si>
  <si>
    <r>
      <t>[</t>
    </r>
    <r>
      <rPr>
        <b/>
        <sz val="14"/>
        <color rgb="FFC00000"/>
        <rFont val="Segoe UI"/>
        <family val="2"/>
      </rPr>
      <t>Advanced</t>
    </r>
    <r>
      <rPr>
        <b/>
        <sz val="14"/>
        <color rgb="FF0070C0"/>
        <rFont val="Segoe UI"/>
        <family val="2"/>
      </rPr>
      <t>] Create a warning column for a dataset based on standard deviation limit rules</t>
    </r>
  </si>
  <si>
    <r>
      <t xml:space="preserve">• The </t>
    </r>
    <r>
      <rPr>
        <sz val="14"/>
        <color theme="8"/>
        <rFont val="Consolas"/>
        <family val="3"/>
      </rPr>
      <t>LET</t>
    </r>
    <r>
      <rPr>
        <sz val="14"/>
        <color theme="1"/>
        <rFont val="Segoe UI"/>
        <family val="2"/>
      </rPr>
      <t xml:space="preserve"> function allows you to create re-usable named variables within a formula.</t>
    </r>
  </si>
  <si>
    <t>• Calling a LAMBDA is the same as calling other Excel function. The function is followed by ( ); inside are the brackets are values.</t>
  </si>
  <si>
    <r>
      <t xml:space="preserve">[Easy - </t>
    </r>
    <r>
      <rPr>
        <b/>
        <sz val="14"/>
        <color theme="5"/>
        <rFont val="Segoe UI"/>
        <family val="2"/>
      </rPr>
      <t>Moderate</t>
    </r>
    <r>
      <rPr>
        <b/>
        <sz val="14"/>
        <color rgb="FF0070C0"/>
        <rFont val="Segoe UI"/>
        <family val="2"/>
      </rPr>
      <t>] Calculate the relative standard deviation</t>
    </r>
  </si>
  <si>
    <r>
      <t>=</t>
    </r>
    <r>
      <rPr>
        <sz val="11"/>
        <color rgb="FF033D8B"/>
        <rFont val="Consolas"/>
        <family val="3"/>
      </rPr>
      <t>XLOOKUP</t>
    </r>
    <r>
      <rPr>
        <sz val="11"/>
        <color rgb="FF000000"/>
        <rFont val="Consolas"/>
        <family val="3"/>
      </rPr>
      <t>(</t>
    </r>
  </si>
  <si>
    <r>
      <t xml:space="preserve">    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>((A115-</t>
    </r>
    <r>
      <rPr>
        <sz val="11"/>
        <color rgb="FF033D8B"/>
        <rFont val="Consolas"/>
        <family val="3"/>
      </rPr>
      <t>AVERAGE</t>
    </r>
    <r>
      <rPr>
        <sz val="11"/>
        <color rgb="FF000000"/>
        <rFont val="Consolas"/>
        <family val="3"/>
      </rPr>
      <t>($A$115:$A$134))/</t>
    </r>
    <r>
      <rPr>
        <sz val="11"/>
        <color rgb="FF033D8B"/>
        <rFont val="Consolas"/>
        <family val="3"/>
      </rPr>
      <t>STDEV.S</t>
    </r>
    <r>
      <rPr>
        <sz val="11"/>
        <color rgb="FF000000"/>
        <rFont val="Consolas"/>
        <family val="3"/>
      </rPr>
      <t>($A$115:$A$134)),</t>
    </r>
  </si>
  <si>
    <t>    $E$116:$E$118,</t>
  </si>
  <si>
    <t>    $D$116:$D$118,</t>
  </si>
  <si>
    <r>
      <t xml:space="preserve">    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>,</t>
    </r>
  </si>
  <si>
    <r>
      <t xml:space="preserve">    </t>
    </r>
    <r>
      <rPr>
        <sz val="11"/>
        <color rgb="FF098658"/>
        <rFont val="Consolas"/>
        <family val="3"/>
      </rPr>
      <t>-1</t>
    </r>
  </si>
  <si>
    <r>
      <t xml:space="preserve">    </t>
    </r>
    <r>
      <rPr>
        <sz val="11"/>
        <color rgb="FF0969DA"/>
        <rFont val="Consolas"/>
        <family val="3"/>
      </rPr>
      <t>data</t>
    </r>
    <r>
      <rPr>
        <sz val="11"/>
        <color rgb="FF000000"/>
        <rFont val="Consolas"/>
        <family val="3"/>
      </rPr>
      <t>, $A$115:$A$134,</t>
    </r>
  </si>
  <si>
    <r>
      <t xml:space="preserve">    </t>
    </r>
    <r>
      <rPr>
        <sz val="11"/>
        <color rgb="FF0969DA"/>
        <rFont val="Consolas"/>
        <family val="3"/>
      </rPr>
      <t>rules</t>
    </r>
    <r>
      <rPr>
        <sz val="11"/>
        <color rgb="FF000000"/>
        <rFont val="Consolas"/>
        <family val="3"/>
      </rPr>
      <t>, D116:E118,</t>
    </r>
  </si>
  <si>
    <r>
      <t xml:space="preserve">    </t>
    </r>
    <r>
      <rPr>
        <sz val="11"/>
        <color rgb="FF0969DA"/>
        <rFont val="Consolas"/>
        <family val="3"/>
      </rPr>
      <t>avg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AVERAGE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data</t>
    </r>
    <r>
      <rPr>
        <sz val="11"/>
        <color rgb="FF000000"/>
        <rFont val="Consolas"/>
        <family val="3"/>
      </rPr>
      <t>),</t>
    </r>
  </si>
  <si>
    <r>
      <t xml:space="preserve">    </t>
    </r>
    <r>
      <rPr>
        <sz val="11"/>
        <color rgb="FF0969DA"/>
        <rFont val="Consolas"/>
        <family val="3"/>
      </rPr>
      <t>std_dev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STDEV.S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data</t>
    </r>
    <r>
      <rPr>
        <sz val="11"/>
        <color rgb="FF000000"/>
        <rFont val="Consolas"/>
        <family val="3"/>
      </rPr>
      <t>),</t>
    </r>
  </si>
  <si>
    <r>
      <t xml:space="preserve">    </t>
    </r>
    <r>
      <rPr>
        <sz val="11"/>
        <color rgb="FF0969DA"/>
        <rFont val="Consolas"/>
        <family val="3"/>
      </rPr>
      <t>z</t>
    </r>
    <r>
      <rPr>
        <sz val="11"/>
        <color rgb="FF000000"/>
        <rFont val="Consolas"/>
        <family val="3"/>
      </rPr>
      <t>, (</t>
    </r>
    <r>
      <rPr>
        <sz val="11"/>
        <color rgb="FF0969DA"/>
        <rFont val="Consolas"/>
        <family val="3"/>
      </rPr>
      <t>data</t>
    </r>
    <r>
      <rPr>
        <sz val="11"/>
        <color rgb="FF000000"/>
        <rFont val="Consolas"/>
        <family val="3"/>
      </rPr>
      <t xml:space="preserve"> - </t>
    </r>
    <r>
      <rPr>
        <sz val="11"/>
        <color rgb="FF0969DA"/>
        <rFont val="Consolas"/>
        <family val="3"/>
      </rPr>
      <t>avg</t>
    </r>
    <r>
      <rPr>
        <sz val="11"/>
        <color rgb="FF000000"/>
        <rFont val="Consolas"/>
        <family val="3"/>
      </rPr>
      <t xml:space="preserve">) / </t>
    </r>
    <r>
      <rPr>
        <sz val="11"/>
        <color rgb="FF0969DA"/>
        <rFont val="Consolas"/>
        <family val="3"/>
      </rPr>
      <t>std_dev</t>
    </r>
    <r>
      <rPr>
        <sz val="11"/>
        <color rgb="FF000000"/>
        <rFont val="Consolas"/>
        <family val="3"/>
      </rPr>
      <t>,</t>
    </r>
  </si>
  <si>
    <r>
      <t xml:space="preserve">    </t>
    </r>
    <r>
      <rPr>
        <sz val="11"/>
        <color rgb="FF0969DA"/>
        <rFont val="Consolas"/>
        <family val="3"/>
      </rPr>
      <t>z_abs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ABS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z</t>
    </r>
    <r>
      <rPr>
        <sz val="11"/>
        <color rgb="FF000000"/>
        <rFont val="Consolas"/>
        <family val="3"/>
      </rPr>
      <t>),</t>
    </r>
  </si>
  <si>
    <r>
      <t xml:space="preserve">    </t>
    </r>
    <r>
      <rPr>
        <sz val="11"/>
        <color rgb="FF0969DA"/>
        <rFont val="Consolas"/>
        <family val="3"/>
      </rPr>
      <t>lbl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BYROW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z_abs</t>
    </r>
    <r>
      <rPr>
        <sz val="11"/>
        <color rgb="FF000000"/>
        <rFont val="Consolas"/>
        <family val="3"/>
      </rPr>
      <t xml:space="preserve">, </t>
    </r>
    <r>
      <rPr>
        <sz val="11"/>
        <color rgb="FFC4432B"/>
        <rFont val="Consolas"/>
        <family val="3"/>
      </rPr>
      <t>LAMBDA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r</t>
    </r>
    <r>
      <rPr>
        <sz val="11"/>
        <color rgb="FF000000"/>
        <rFont val="Consolas"/>
        <family val="3"/>
      </rPr>
      <t xml:space="preserve">, </t>
    </r>
    <r>
      <rPr>
        <sz val="11"/>
        <color rgb="FFC4432B"/>
        <rFont val="Consolas"/>
        <family val="3"/>
      </rPr>
      <t>LET</t>
    </r>
    <r>
      <rPr>
        <sz val="11"/>
        <color rgb="FF000000"/>
        <rFont val="Consolas"/>
        <family val="3"/>
      </rPr>
      <t>(</t>
    </r>
  </si>
  <si>
    <r>
      <t xml:space="preserve">        </t>
    </r>
    <r>
      <rPr>
        <sz val="11"/>
        <color rgb="FF0969DA"/>
        <rFont val="Consolas"/>
        <family val="3"/>
      </rPr>
      <t>r_std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INDEX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rules</t>
    </r>
    <r>
      <rPr>
        <sz val="11"/>
        <color rgb="FF000000"/>
        <rFont val="Consolas"/>
        <family val="3"/>
      </rPr>
      <t xml:space="preserve">, ,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>),</t>
    </r>
  </si>
  <si>
    <r>
      <t xml:space="preserve">        </t>
    </r>
    <r>
      <rPr>
        <sz val="11"/>
        <color rgb="FF0969DA"/>
        <rFont val="Consolas"/>
        <family val="3"/>
      </rPr>
      <t>r_lbl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INDEX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rules</t>
    </r>
    <r>
      <rPr>
        <sz val="11"/>
        <color rgb="FF000000"/>
        <rFont val="Consolas"/>
        <family val="3"/>
      </rPr>
      <t xml:space="preserve">, ,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>),</t>
    </r>
  </si>
  <si>
    <r>
      <t xml:space="preserve">        </t>
    </r>
    <r>
      <rPr>
        <sz val="11"/>
        <color rgb="FF0969DA"/>
        <rFont val="Consolas"/>
        <family val="3"/>
      </rPr>
      <t>return</t>
    </r>
    <r>
      <rPr>
        <sz val="11"/>
        <color rgb="FF000000"/>
        <rFont val="Consolas"/>
        <family val="3"/>
      </rPr>
      <t xml:space="preserve">, </t>
    </r>
    <r>
      <rPr>
        <sz val="11"/>
        <color rgb="FF033D8B"/>
        <rFont val="Consolas"/>
        <family val="3"/>
      </rPr>
      <t>XLOOKUP</t>
    </r>
    <r>
      <rPr>
        <sz val="11"/>
        <color rgb="FF000000"/>
        <rFont val="Consolas"/>
        <family val="3"/>
      </rPr>
      <t>(</t>
    </r>
    <r>
      <rPr>
        <sz val="11"/>
        <color rgb="FF0969DA"/>
        <rFont val="Consolas"/>
        <family val="3"/>
      </rPr>
      <t>r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r_std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r_lbl</t>
    </r>
    <r>
      <rPr>
        <sz val="11"/>
        <color rgb="FF000000"/>
        <rFont val="Consolas"/>
        <family val="3"/>
      </rPr>
      <t xml:space="preserve">, </t>
    </r>
    <r>
      <rPr>
        <sz val="11"/>
        <color rgb="FFA31515"/>
        <rFont val="Consolas"/>
        <family val="3"/>
      </rPr>
      <t>""</t>
    </r>
    <r>
      <rPr>
        <sz val="11"/>
        <color rgb="FF000000"/>
        <rFont val="Consolas"/>
        <family val="3"/>
      </rPr>
      <t xml:space="preserve">, </t>
    </r>
    <r>
      <rPr>
        <sz val="11"/>
        <color rgb="FF098658"/>
        <rFont val="Consolas"/>
        <family val="3"/>
      </rPr>
      <t>-1</t>
    </r>
    <r>
      <rPr>
        <sz val="11"/>
        <color rgb="FF000000"/>
        <rFont val="Consolas"/>
        <family val="3"/>
      </rPr>
      <t>),</t>
    </r>
  </si>
  <si>
    <t>    ))),</t>
  </si>
  <si>
    <r>
      <t xml:space="preserve">    </t>
    </r>
    <r>
      <rPr>
        <sz val="11"/>
        <color rgb="FF0969DA"/>
        <rFont val="Consolas"/>
        <family val="3"/>
      </rPr>
      <t>return</t>
    </r>
    <r>
      <rPr>
        <sz val="11"/>
        <color rgb="FF000000"/>
        <rFont val="Consolas"/>
        <family val="3"/>
      </rPr>
      <t xml:space="preserve">, </t>
    </r>
    <r>
      <rPr>
        <sz val="11"/>
        <color rgb="FF0969DA"/>
        <rFont val="Consolas"/>
        <family val="3"/>
      </rPr>
      <t>z</t>
    </r>
    <r>
      <rPr>
        <sz val="11"/>
        <color rgb="FF000000"/>
        <rFont val="Consolas"/>
        <family val="3"/>
      </rPr>
      <t>,</t>
    </r>
  </si>
  <si>
    <r>
      <t xml:space="preserve">    </t>
    </r>
    <r>
      <rPr>
        <sz val="11"/>
        <color rgb="FF0969DA"/>
        <rFont val="Consolas"/>
        <family val="3"/>
      </rPr>
      <t>lbl</t>
    </r>
  </si>
  <si>
    <t>Traditional</t>
  </si>
  <si>
    <t>LET with Dynamic Arrays</t>
  </si>
  <si>
    <t>Chars</t>
  </si>
  <si>
    <t>Style</t>
  </si>
  <si>
    <t>Lines</t>
  </si>
  <si>
    <t>• However, the Traditional method requires using that formula for each record in the dataset (n times)</t>
  </si>
  <si>
    <t>data (n)</t>
  </si>
  <si>
    <t>• In a simple side-by-side comparison of a single cell, Traditional appears to be much shorter.</t>
  </si>
  <si>
    <t>Data Ref</t>
  </si>
  <si>
    <t>Rule Ref</t>
  </si>
  <si>
    <t>• Furthermore, each Traditional formula makes multiple cell references to the dataset and to the rule table</t>
  </si>
  <si>
    <t>Accounting for External References</t>
  </si>
  <si>
    <t>Accouting for Multiple Cells</t>
  </si>
  <si>
    <t>Formula Comparison</t>
  </si>
  <si>
    <t>Side-by-Side Stats</t>
  </si>
  <si>
    <r>
      <t>[</t>
    </r>
    <r>
      <rPr>
        <b/>
        <sz val="14"/>
        <color rgb="FFC00000"/>
        <rFont val="Segoe UI"/>
        <family val="2"/>
      </rPr>
      <t>Advanced+</t>
    </r>
    <r>
      <rPr>
        <b/>
        <sz val="14"/>
        <color rgb="FF0070C0"/>
        <rFont val="Segoe UI"/>
        <family val="2"/>
      </rPr>
      <t>] Single Formula for a Table of Descriptive Statistics</t>
    </r>
  </si>
  <si>
    <t>All or nothing return; no information regarding partially complete/missing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</si>
</sst>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"/>
    <numFmt numFmtId="166" formatCode="0.000"/>
    <numFmt numFmtId="167" formatCode="0.0000"/>
    <numFmt numFmtId="168" formatCode="0.00000"/>
  </numFmts>
  <fonts count="92">
    <font>
      <sz val="11"/>
      <color theme="1"/>
      <name val="Aptos"/>
      <family val="2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sz val="12"/>
      <color theme="1"/>
      <name val="Consolas"/>
      <family val="3"/>
    </font>
    <font>
      <sz val="14"/>
      <color theme="1"/>
      <name val="Consolas"/>
      <family val="3"/>
    </font>
    <font>
      <sz val="36"/>
      <color theme="1"/>
      <name val="Consolas"/>
      <family val="3"/>
    </font>
    <font>
      <b/>
      <sz val="12"/>
      <color theme="1"/>
      <name val="Consolas"/>
      <family val="3"/>
    </font>
    <font>
      <b/>
      <sz val="14"/>
      <color theme="1"/>
      <name val="Consolas"/>
      <family val="3"/>
    </font>
    <font>
      <sz val="12"/>
      <color rgb="FF212529"/>
      <name val="Segoe UI"/>
      <family val="2"/>
    </font>
    <font>
      <sz val="14"/>
      <color theme="1"/>
      <name val="Segoe UI"/>
      <family val="2"/>
    </font>
    <font>
      <b/>
      <sz val="16"/>
      <color theme="1"/>
      <name val="Segoe UI"/>
      <family val="2"/>
    </font>
    <font>
      <sz val="22"/>
      <color theme="9"/>
      <name val="Consolas"/>
      <family val="3"/>
    </font>
    <font>
      <sz val="22"/>
      <color theme="7"/>
      <name val="Consolas"/>
      <family val="3"/>
    </font>
    <font>
      <sz val="22"/>
      <color theme="8"/>
      <name val="Consolas"/>
      <family val="3"/>
    </font>
    <font>
      <b/>
      <sz val="14"/>
      <color theme="1"/>
      <name val="Segoe UI"/>
      <family val="2"/>
    </font>
    <font>
      <b/>
      <sz val="48"/>
      <color rgb="FF0070C0"/>
      <name val="Segoe UI"/>
      <family val="2"/>
    </font>
    <font>
      <b/>
      <sz val="14"/>
      <color rgb="FF0070C0"/>
      <name val="Segoe UI"/>
      <family val="2"/>
    </font>
    <font>
      <b/>
      <u/>
      <sz val="18"/>
      <color rgb="FF0070C0"/>
      <name val="Segoe UI"/>
      <family val="2"/>
    </font>
    <font>
      <sz val="14"/>
      <name val="Consolas"/>
      <family val="3"/>
    </font>
    <font>
      <i/>
      <sz val="11"/>
      <color theme="8"/>
      <name val="Consolas"/>
      <family val="3"/>
    </font>
    <font>
      <b/>
      <sz val="12"/>
      <color theme="8"/>
      <name val="Consolas"/>
      <family val="3"/>
    </font>
    <font>
      <i/>
      <sz val="11"/>
      <color theme="9"/>
      <name val="Consolas"/>
      <family val="3"/>
    </font>
    <font>
      <b/>
      <sz val="12"/>
      <color theme="9"/>
      <name val="Consolas"/>
      <family val="3"/>
    </font>
    <font>
      <i/>
      <sz val="11"/>
      <color theme="5"/>
      <name val="Consolas"/>
      <family val="3"/>
    </font>
    <font>
      <b/>
      <i/>
      <sz val="11"/>
      <color theme="5"/>
      <name val="Consolas"/>
      <family val="3"/>
    </font>
    <font>
      <sz val="12"/>
      <color theme="8"/>
      <name val="Consolas"/>
      <family val="3"/>
    </font>
    <font>
      <b/>
      <sz val="14"/>
      <color theme="1" tint="0.34998626667073579"/>
      <name val="Consolas"/>
      <family val="3"/>
    </font>
    <font>
      <b/>
      <sz val="28"/>
      <color theme="1" tint="0.34998626667073579"/>
      <name val="Consolas"/>
      <family val="3"/>
    </font>
    <font>
      <sz val="14"/>
      <color theme="1" tint="0.34998626667073579"/>
      <name val="Consolas"/>
      <family val="3"/>
    </font>
    <font>
      <b/>
      <sz val="13"/>
      <color theme="1" tint="0.34998626667073579"/>
      <name val="Consolas"/>
      <family val="3"/>
    </font>
    <font>
      <sz val="11"/>
      <color theme="1" tint="0.34998626667073579"/>
      <name val="Consolas"/>
      <family val="3"/>
    </font>
    <font>
      <b/>
      <sz val="24"/>
      <color theme="1" tint="0.34998626667073579"/>
      <name val="Consolas"/>
      <family val="3"/>
    </font>
    <font>
      <b/>
      <vertAlign val="subscript"/>
      <sz val="28"/>
      <color theme="1" tint="0.34998626667073579"/>
      <name val="Consolas"/>
      <family val="3"/>
    </font>
    <font>
      <b/>
      <vertAlign val="subscript"/>
      <sz val="14"/>
      <color theme="1" tint="0.34998626667073579"/>
      <name val="Consolas"/>
      <family val="3"/>
    </font>
    <font>
      <i/>
      <sz val="11"/>
      <color theme="7"/>
      <name val="Consolas"/>
      <family val="3"/>
    </font>
    <font>
      <b/>
      <sz val="12"/>
      <color theme="7"/>
      <name val="Consolas"/>
      <family val="3"/>
    </font>
    <font>
      <sz val="14"/>
      <color theme="7"/>
      <name val="Consolas"/>
      <family val="3"/>
    </font>
    <font>
      <sz val="14"/>
      <color rgb="FFC00000"/>
      <name val="Consolas"/>
      <family val="3"/>
    </font>
    <font>
      <sz val="14"/>
      <color rgb="FFC00000"/>
      <name val="Segoe UI"/>
      <family val="2"/>
    </font>
    <font>
      <sz val="14"/>
      <name val="Segoe UI"/>
      <family val="2"/>
    </font>
    <font>
      <sz val="14"/>
      <color theme="8"/>
      <name val="Segoe UI"/>
      <family val="2"/>
    </font>
    <font>
      <sz val="11"/>
      <color theme="1"/>
      <name val="Segoe UI"/>
      <family val="2"/>
    </font>
    <font>
      <b/>
      <u/>
      <sz val="11"/>
      <color rgb="FF0070C0"/>
      <name val="Segoe UI"/>
      <family val="2"/>
    </font>
    <font>
      <sz val="28"/>
      <color theme="1"/>
      <name val="Consolas"/>
      <family val="3"/>
    </font>
    <font>
      <sz val="28"/>
      <color theme="9"/>
      <name val="Consolas"/>
      <family val="3"/>
    </font>
    <font>
      <sz val="28"/>
      <color theme="8"/>
      <name val="Consolas"/>
      <family val="3"/>
    </font>
    <font>
      <sz val="28"/>
      <color theme="7"/>
      <name val="Consolas"/>
      <family val="3"/>
    </font>
    <font>
      <sz val="28"/>
      <name val="Consolas"/>
      <family val="3"/>
    </font>
    <font>
      <sz val="16"/>
      <name val="Consolas"/>
      <family val="3"/>
    </font>
    <font>
      <sz val="16"/>
      <color theme="5"/>
      <name val="Consolas"/>
      <family val="3"/>
    </font>
    <font>
      <sz val="16"/>
      <color theme="9"/>
      <name val="Consolas"/>
      <family val="3"/>
    </font>
    <font>
      <sz val="16"/>
      <color theme="8"/>
      <name val="Consolas"/>
      <family val="3"/>
    </font>
    <font>
      <sz val="16"/>
      <color theme="1"/>
      <name val="Consolas"/>
      <family val="3"/>
    </font>
    <font>
      <sz val="16"/>
      <color theme="7"/>
      <name val="Consolas"/>
      <family val="3"/>
    </font>
    <font>
      <b/>
      <sz val="14"/>
      <name val="Segoe UI"/>
      <family val="2"/>
    </font>
    <font>
      <b/>
      <sz val="11"/>
      <color theme="1"/>
      <name val="Segoe UI"/>
      <family val="2"/>
    </font>
    <font>
      <i/>
      <sz val="14"/>
      <color theme="1"/>
      <name val="Segoe UI"/>
      <family val="2"/>
    </font>
    <font>
      <sz val="16"/>
      <color rgb="FFC00000"/>
      <name val="Consolas"/>
      <family val="3"/>
    </font>
    <font>
      <i/>
      <sz val="11"/>
      <color rgb="FFC00000"/>
      <name val="Consolas"/>
      <family val="3"/>
    </font>
    <font>
      <b/>
      <sz val="12"/>
      <color theme="5"/>
      <name val="Consolas"/>
      <family val="3"/>
    </font>
    <font>
      <u/>
      <sz val="14"/>
      <color theme="10"/>
      <name val="Segoe UI"/>
      <family val="2"/>
    </font>
    <font>
      <sz val="12"/>
      <color theme="1"/>
      <name val="Segoe UI"/>
      <family val="2"/>
    </font>
    <font>
      <b/>
      <sz val="14"/>
      <color rgb="FFC00000"/>
      <name val="Segoe UI"/>
      <family val="2"/>
    </font>
    <font>
      <sz val="11"/>
      <color rgb="FF000000"/>
      <name val="Consolas"/>
      <family val="3"/>
    </font>
    <font>
      <sz val="11"/>
      <color rgb="FF0969DA"/>
      <name val="Consolas"/>
      <family val="3"/>
    </font>
    <font>
      <sz val="11"/>
      <color rgb="FFC4432B"/>
      <name val="Consolas"/>
      <family val="3"/>
    </font>
    <font>
      <sz val="11"/>
      <color rgb="FF033D8B"/>
      <name val="Consolas"/>
      <family val="3"/>
    </font>
    <font>
      <sz val="11"/>
      <color rgb="FF098658"/>
      <name val="Consolas"/>
      <family val="3"/>
    </font>
    <font>
      <sz val="11"/>
      <color rgb="FFA31515"/>
      <name val="Consolas"/>
      <family val="3"/>
    </font>
    <font>
      <b/>
      <sz val="14"/>
      <color theme="5"/>
      <name val="Segoe UI"/>
      <family val="2"/>
    </font>
    <font>
      <b/>
      <sz val="26"/>
      <color rgb="FF0070C0"/>
      <name val="Segoe UI"/>
      <family val="2"/>
    </font>
    <font>
      <b/>
      <sz val="14"/>
      <color rgb="FF7030A0"/>
      <name val="Segoe UI"/>
      <family val="2"/>
    </font>
    <font>
      <b/>
      <sz val="12"/>
      <color rgb="FF0070C0"/>
      <name val="Segoe UI"/>
      <family val="2"/>
    </font>
    <font>
      <sz val="11"/>
      <color theme="7"/>
      <name val="Consolas"/>
      <family val="3"/>
    </font>
    <font>
      <sz val="11"/>
      <name val="Consolas"/>
      <family val="3"/>
    </font>
    <font>
      <sz val="11"/>
      <color theme="8"/>
      <name val="Consolas"/>
      <family val="3"/>
    </font>
    <font>
      <sz val="11"/>
      <color theme="9"/>
      <name val="Consolas"/>
      <family val="3"/>
    </font>
    <font>
      <sz val="11"/>
      <color theme="5"/>
      <name val="Consolas"/>
      <family val="3"/>
    </font>
    <font>
      <sz val="11"/>
      <color rgb="FFC00000"/>
      <name val="Consolas"/>
      <family val="3"/>
    </font>
    <font>
      <b/>
      <sz val="14"/>
      <color theme="7"/>
      <name val="Segoe UI"/>
      <family val="2"/>
    </font>
    <font>
      <sz val="11"/>
      <color rgb="FF0000FF"/>
      <name val="Consolas"/>
      <family val="3"/>
    </font>
    <font>
      <b/>
      <sz val="12"/>
      <color theme="5"/>
      <name val="Segoe UI"/>
      <family val="2"/>
    </font>
    <font>
      <b/>
      <sz val="11"/>
      <color rgb="FFC00000"/>
      <name val="Segoe UI"/>
      <family val="2"/>
    </font>
    <font>
      <b/>
      <sz val="11"/>
      <color theme="1" tint="0.34998626667073579"/>
      <name val="Consolas"/>
      <family val="3"/>
    </font>
    <font>
      <i/>
      <sz val="11"/>
      <color theme="1" tint="0.34998626667073579"/>
      <name val="Consolas"/>
      <family val="3"/>
    </font>
    <font>
      <i/>
      <sz val="11"/>
      <color theme="1"/>
      <name val="Aptos"/>
    </font>
    <font>
      <sz val="12"/>
      <color rgb="FFC00000"/>
      <name val="Consolas"/>
      <family val="3"/>
    </font>
    <font>
      <sz val="14"/>
      <color theme="8"/>
      <name val="Consolas"/>
      <family val="3"/>
    </font>
    <font>
      <i/>
      <sz val="12"/>
      <color theme="1"/>
      <name val="Consolas"/>
      <family val="3"/>
    </font>
    <font>
      <i/>
      <sz val="12"/>
      <color theme="1" tint="0.499984740745262"/>
      <name val="Consolas"/>
      <family val="3"/>
    </font>
    <font>
      <sz val="12"/>
      <color theme="1" tint="0.499984740745262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AEAF8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ECF9FE"/>
        <bgColor indexed="64"/>
      </patternFill>
    </fill>
  </fills>
  <borders count="12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5" tint="0.79998168889431442"/>
      </left>
      <right style="thin">
        <color theme="5" tint="0.79998168889431442"/>
      </right>
      <top style="thin">
        <color theme="5" tint="0.79998168889431442"/>
      </top>
      <bottom style="thin">
        <color theme="5" tint="0.79998168889431442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5" tint="0.79998168889431442"/>
      </left>
      <right/>
      <top/>
      <bottom/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9" tint="0.79998168889431442"/>
      </left>
      <right/>
      <top style="thin">
        <color theme="9" tint="0.79998168889431442"/>
      </top>
      <bottom style="thin">
        <color theme="9" tint="0.79998168889431442"/>
      </bottom>
      <diagonal/>
    </border>
    <border>
      <left/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n">
        <color theme="8" tint="0.79998168889431442"/>
      </left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</borders>
  <cellStyleXfs count="6">
    <xf numFmtId="0" fontId="0" fillId="0" borderId="0"/>
    <xf numFmtId="0" fontId="61" fillId="0" borderId="0" applyNumberFormat="0" applyFill="0" applyBorder="0" applyAlignment="0" applyProtection="0"/>
    <xf numFmtId="0" fontId="4" fillId="3" borderId="1">
      <alignment horizontal="center"/>
    </xf>
    <xf numFmtId="0" fontId="4" fillId="4" borderId="2">
      <alignment horizontal="center"/>
    </xf>
    <xf numFmtId="0" fontId="4" fillId="5" borderId="3">
      <alignment horizontal="center"/>
    </xf>
    <xf numFmtId="0" fontId="4" fillId="6" borderId="4">
      <alignment horizontal="center"/>
    </xf>
  </cellStyleXfs>
  <cellXfs count="14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4" fillId="2" borderId="0" xfId="0" applyFont="1" applyFill="1"/>
    <xf numFmtId="0" fontId="6" fillId="2" borderId="0" xfId="0" quotePrefix="1" applyFont="1" applyFill="1"/>
    <xf numFmtId="0" fontId="5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horizontal="left"/>
    </xf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5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3" borderId="1" xfId="2">
      <alignment horizontal="center"/>
    </xf>
    <xf numFmtId="0" fontId="4" fillId="4" borderId="2" xfId="3">
      <alignment horizontal="center"/>
    </xf>
    <xf numFmtId="0" fontId="20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 vertical="center"/>
    </xf>
    <xf numFmtId="0" fontId="24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4" fillId="5" borderId="3" xfId="4">
      <alignment horizontal="center"/>
    </xf>
    <xf numFmtId="0" fontId="7" fillId="5" borderId="3" xfId="4" applyFont="1">
      <alignment horizontal="center"/>
    </xf>
    <xf numFmtId="0" fontId="29" fillId="2" borderId="0" xfId="0" applyFont="1" applyFill="1"/>
    <xf numFmtId="0" fontId="4" fillId="6" borderId="4" xfId="5">
      <alignment horizontal="center"/>
    </xf>
    <xf numFmtId="0" fontId="35" fillId="2" borderId="0" xfId="0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0" fontId="37" fillId="2" borderId="0" xfId="0" applyFont="1" applyFill="1"/>
    <xf numFmtId="0" fontId="7" fillId="6" borderId="4" xfId="5" applyFont="1">
      <alignment horizontal="center"/>
    </xf>
    <xf numFmtId="0" fontId="31" fillId="2" borderId="0" xfId="0" applyFont="1" applyFill="1"/>
    <xf numFmtId="0" fontId="1" fillId="2" borderId="0" xfId="0" applyFont="1" applyFill="1"/>
    <xf numFmtId="0" fontId="43" fillId="2" borderId="0" xfId="0" applyFont="1" applyFill="1"/>
    <xf numFmtId="0" fontId="10" fillId="2" borderId="0" xfId="0" applyFont="1" applyFill="1" applyAlignment="1">
      <alignment horizontal="left" indent="1"/>
    </xf>
    <xf numFmtId="0" fontId="2" fillId="2" borderId="0" xfId="0" applyFont="1" applyFill="1" applyAlignment="1">
      <alignment vertical="center"/>
    </xf>
    <xf numFmtId="0" fontId="53" fillId="0" borderId="0" xfId="0" applyFont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3" fillId="2" borderId="0" xfId="0" applyFont="1" applyFill="1" applyAlignment="1">
      <alignment vertical="center"/>
    </xf>
    <xf numFmtId="0" fontId="40" fillId="2" borderId="0" xfId="0" applyFont="1" applyFill="1" applyAlignment="1">
      <alignment horizontal="left" indent="1"/>
    </xf>
    <xf numFmtId="0" fontId="40" fillId="2" borderId="0" xfId="0" applyFont="1" applyFill="1" applyAlignment="1">
      <alignment horizontal="left" indent="2"/>
    </xf>
    <xf numFmtId="0" fontId="42" fillId="2" borderId="0" xfId="0" applyFont="1" applyFill="1"/>
    <xf numFmtId="0" fontId="31" fillId="2" borderId="0" xfId="0" applyFont="1" applyFill="1" applyAlignment="1">
      <alignment horizontal="left" indent="1"/>
    </xf>
    <xf numFmtId="0" fontId="58" fillId="0" borderId="0" xfId="0" applyFont="1" applyAlignment="1">
      <alignment horizontal="center" vertical="center"/>
    </xf>
    <xf numFmtId="0" fontId="59" fillId="2" borderId="0" xfId="0" applyFont="1" applyFill="1" applyAlignment="1">
      <alignment vertical="center"/>
    </xf>
    <xf numFmtId="0" fontId="31" fillId="2" borderId="0" xfId="0" applyFont="1" applyFill="1" applyAlignment="1">
      <alignment horizontal="left" indent="2"/>
    </xf>
    <xf numFmtId="0" fontId="60" fillId="2" borderId="0" xfId="0" applyFont="1" applyFill="1" applyAlignment="1">
      <alignment horizontal="center"/>
    </xf>
    <xf numFmtId="0" fontId="60" fillId="2" borderId="0" xfId="0" applyFont="1" applyFill="1" applyAlignment="1">
      <alignment horizontal="center" vertical="center"/>
    </xf>
    <xf numFmtId="0" fontId="60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61" fillId="2" borderId="0" xfId="1" applyFill="1" applyAlignment="1">
      <alignment horizontal="left" indent="1"/>
    </xf>
    <xf numFmtId="0" fontId="36" fillId="2" borderId="0" xfId="0" applyFont="1" applyFill="1" applyAlignment="1">
      <alignment horizontal="left"/>
    </xf>
    <xf numFmtId="2" fontId="5" fillId="2" borderId="0" xfId="0" applyNumberFormat="1" applyFont="1" applyFill="1"/>
    <xf numFmtId="166" fontId="5" fillId="2" borderId="0" xfId="0" applyNumberFormat="1" applyFont="1" applyFill="1"/>
    <xf numFmtId="0" fontId="4" fillId="6" borderId="4" xfId="5" applyAlignment="1">
      <alignment horizontal="left"/>
    </xf>
    <xf numFmtId="0" fontId="4" fillId="0" borderId="0" xfId="0" applyFont="1" applyAlignment="1">
      <alignment horizontal="left"/>
    </xf>
    <xf numFmtId="0" fontId="71" fillId="2" borderId="0" xfId="0" applyFont="1" applyFill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0" xfId="0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2" fillId="2" borderId="0" xfId="0" applyFont="1" applyFill="1" applyAlignment="1">
      <alignment horizontal="center"/>
    </xf>
    <xf numFmtId="0" fontId="31" fillId="2" borderId="0" xfId="0" applyFont="1" applyFill="1" applyAlignment="1">
      <alignment horizontal="left"/>
    </xf>
    <xf numFmtId="0" fontId="73" fillId="2" borderId="0" xfId="0" applyFont="1" applyFill="1"/>
    <xf numFmtId="0" fontId="80" fillId="2" borderId="0" xfId="0" applyFont="1" applyFill="1" applyAlignment="1">
      <alignment horizontal="center"/>
    </xf>
    <xf numFmtId="0" fontId="82" fillId="2" borderId="0" xfId="0" applyFont="1" applyFill="1"/>
    <xf numFmtId="0" fontId="6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83" fillId="2" borderId="0" xfId="0" applyFont="1" applyFill="1"/>
    <xf numFmtId="0" fontId="64" fillId="0" borderId="0" xfId="0" applyFont="1" applyAlignment="1">
      <alignment vertical="center"/>
    </xf>
    <xf numFmtId="0" fontId="64" fillId="0" borderId="0" xfId="0" quotePrefix="1" applyFont="1" applyAlignment="1">
      <alignment vertical="center"/>
    </xf>
    <xf numFmtId="0" fontId="4" fillId="2" borderId="0" xfId="0" applyFont="1" applyFill="1" applyAlignment="1">
      <alignment horizontal="center"/>
    </xf>
    <xf numFmtId="0" fontId="75" fillId="0" borderId="0" xfId="0" applyFont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0" fontId="29" fillId="2" borderId="0" xfId="0" applyFont="1" applyFill="1"/>
    <xf numFmtId="0" fontId="31" fillId="2" borderId="0" xfId="0" applyFont="1" applyFill="1"/>
    <xf numFmtId="0" fontId="31" fillId="2" borderId="0" xfId="0" applyFont="1" applyFill="1" applyAlignment="1">
      <alignment horizontal="justify"/>
    </xf>
    <xf numFmtId="0" fontId="30" fillId="2" borderId="0" xfId="0" applyFont="1" applyFill="1" applyAlignment="1">
      <alignment horizontal="center"/>
    </xf>
    <xf numFmtId="0" fontId="4" fillId="5" borderId="5" xfId="4" applyBorder="1" applyAlignment="1">
      <alignment horizontal="center" vertical="center"/>
    </xf>
    <xf numFmtId="0" fontId="4" fillId="5" borderId="0" xfId="4" applyBorder="1" applyAlignment="1">
      <alignment horizontal="center" vertical="center"/>
    </xf>
    <xf numFmtId="0" fontId="4" fillId="3" borderId="10" xfId="2" applyBorder="1" applyAlignment="1">
      <alignment horizontal="center" vertical="center"/>
    </xf>
    <xf numFmtId="0" fontId="4" fillId="3" borderId="11" xfId="2" applyBorder="1" applyAlignment="1">
      <alignment horizontal="center" vertical="center"/>
    </xf>
    <xf numFmtId="0" fontId="4" fillId="4" borderId="8" xfId="3" applyBorder="1" applyAlignment="1">
      <alignment horizontal="center" vertical="center"/>
    </xf>
    <xf numFmtId="0" fontId="4" fillId="4" borderId="9" xfId="3" applyBorder="1" applyAlignment="1">
      <alignment horizontal="center" vertical="center"/>
    </xf>
    <xf numFmtId="0" fontId="4" fillId="6" borderId="6" xfId="5" applyBorder="1" applyAlignment="1">
      <alignment horizontal="center" vertical="center"/>
    </xf>
    <xf numFmtId="0" fontId="4" fillId="6" borderId="7" xfId="5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2" borderId="0" xfId="0" applyFont="1" applyFill="1" applyAlignment="1">
      <alignment horizontal="left" indent="1"/>
    </xf>
    <xf numFmtId="0" fontId="17" fillId="0" borderId="0" xfId="0" applyFont="1" applyAlignment="1">
      <alignment vertical="center"/>
    </xf>
    <xf numFmtId="0" fontId="40" fillId="2" borderId="0" xfId="0" applyFont="1" applyFill="1" applyAlignment="1">
      <alignment horizontal="left" indent="1"/>
    </xf>
    <xf numFmtId="0" fontId="15" fillId="2" borderId="0" xfId="0" applyFont="1" applyFill="1" applyAlignment="1">
      <alignment horizontal="center"/>
    </xf>
    <xf numFmtId="0" fontId="10" fillId="0" borderId="0" xfId="0" applyFont="1"/>
    <xf numFmtId="0" fontId="15" fillId="2" borderId="0" xfId="0" applyFont="1" applyFill="1"/>
    <xf numFmtId="0" fontId="5" fillId="0" borderId="0" xfId="0" applyFont="1"/>
    <xf numFmtId="0" fontId="39" fillId="0" borderId="0" xfId="0" applyFont="1"/>
    <xf numFmtId="0" fontId="38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9" fillId="0" borderId="0" xfId="0" quotePrefix="1" applyFont="1" applyAlignment="1">
      <alignment vertical="center"/>
    </xf>
    <xf numFmtId="0" fontId="44" fillId="0" borderId="0" xfId="0" quotePrefix="1" applyFont="1" applyAlignment="1">
      <alignment vertical="center"/>
    </xf>
    <xf numFmtId="0" fontId="10" fillId="0" borderId="0" xfId="0" applyFont="1" applyAlignment="1">
      <alignment vertical="center"/>
    </xf>
    <xf numFmtId="0" fontId="52" fillId="0" borderId="0" xfId="0" quotePrefix="1" applyFont="1" applyAlignment="1">
      <alignment vertical="center"/>
    </xf>
    <xf numFmtId="0" fontId="40" fillId="2" borderId="0" xfId="0" applyFont="1" applyFill="1" applyAlignment="1">
      <alignment horizontal="left" indent="2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40" fillId="2" borderId="0" xfId="0" applyFont="1" applyFill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56" fillId="2" borderId="0" xfId="0" applyFont="1" applyFill="1" applyAlignment="1">
      <alignment horizontal="center" vertical="center" wrapText="1"/>
    </xf>
    <xf numFmtId="0" fontId="56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indent="1"/>
    </xf>
    <xf numFmtId="0" fontId="2" fillId="2" borderId="0" xfId="0" applyFont="1" applyFill="1" applyAlignment="1">
      <alignment wrapText="1"/>
    </xf>
    <xf numFmtId="168" fontId="4" fillId="2" borderId="0" xfId="0" applyNumberFormat="1" applyFont="1" applyFill="1" applyAlignment="1">
      <alignment wrapText="1"/>
    </xf>
    <xf numFmtId="0" fontId="27" fillId="2" borderId="0" xfId="0" applyFont="1" applyFill="1" applyAlignment="1"/>
    <xf numFmtId="0" fontId="87" fillId="0" borderId="0" xfId="0" applyFont="1" applyAlignment="1">
      <alignment horizontal="center"/>
    </xf>
    <xf numFmtId="0" fontId="27" fillId="2" borderId="0" xfId="0" applyFont="1" applyFill="1" applyAlignment="1">
      <alignment horizontal="center" vertical="center"/>
    </xf>
    <xf numFmtId="167" fontId="4" fillId="3" borderId="1" xfId="2" applyNumberFormat="1">
      <alignment horizontal="center"/>
    </xf>
    <xf numFmtId="167" fontId="4" fillId="0" borderId="0" xfId="0" applyNumberFormat="1" applyFont="1" applyAlignment="1">
      <alignment horizontal="center"/>
    </xf>
    <xf numFmtId="2" fontId="4" fillId="2" borderId="0" xfId="0" applyNumberFormat="1" applyFont="1" applyFill="1" applyAlignment="1">
      <alignment horizontal="center" wrapText="1"/>
    </xf>
    <xf numFmtId="2" fontId="4" fillId="4" borderId="2" xfId="3" applyNumberFormat="1">
      <alignment horizontal="center"/>
    </xf>
    <xf numFmtId="0" fontId="89" fillId="2" borderId="0" xfId="0" applyFont="1" applyFill="1" applyAlignment="1">
      <alignment horizontal="center"/>
    </xf>
    <xf numFmtId="0" fontId="90" fillId="2" borderId="0" xfId="0" applyFont="1" applyFill="1" applyAlignment="1">
      <alignment horizontal="center"/>
    </xf>
    <xf numFmtId="0" fontId="91" fillId="2" borderId="0" xfId="0" applyFont="1" applyFill="1" applyAlignment="1">
      <alignment horizontal="center"/>
    </xf>
  </cellXfs>
  <cellStyles count="6">
    <cellStyle name="Hyperlink" xfId="1" builtinId="8" customBuiltin="1"/>
    <cellStyle name="LAMBDA" xfId="3" xr:uid="{20087EC8-BC88-4923-A4F2-DE57CFE0068E}"/>
    <cellStyle name="LET" xfId="2" xr:uid="{5796B971-90B3-4979-9167-680EDB8A70CF}"/>
    <cellStyle name="Normal" xfId="0" builtinId="0"/>
    <cellStyle name="REUSABLE" xfId="5" xr:uid="{F4F28207-B61F-44B3-94FD-2C7B9DE3403C}"/>
    <cellStyle name="WITHOUT" xfId="4" xr:uid="{B2DDB3CC-AFC5-4647-ADDB-30DE69D077A4}"/>
  </cellStyles>
  <dxfs count="4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ECF9FE"/>
      <color rgb="FFFEF5F0"/>
      <color rgb="FFEFF9EB"/>
      <color rgb="FFF0FAEC"/>
      <color rgb="FFFAEAF8"/>
      <color rgb="FFFBE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13</v>
    <v>24</v>
  </rv>
  <rv s="1">
    <v>0</v>
    <v>5</v>
  </rv>
  <rv s="1">
    <v>1</v>
    <v>5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13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F00965-E9C1-4990-A603-12C26A17E04B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D7A8D956-6E0E-47D1-9180-8F905735AA0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icrosoft/Excel-Labs/tree/main/advanced-formula-environmen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rumpexcel.com/excel-functions/let-function/" TargetMode="External"/><Relationship Id="rId2" Type="http://schemas.openxmlformats.org/officeDocument/2006/relationships/hyperlink" Target="https://exceljet.net/functions/let-function" TargetMode="External"/><Relationship Id="rId1" Type="http://schemas.openxmlformats.org/officeDocument/2006/relationships/hyperlink" Target="https://support.microsoft.com/en-us/excel/let-functio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exceljet.net/functions/isomitted-function" TargetMode="External"/><Relationship Id="rId2" Type="http://schemas.openxmlformats.org/officeDocument/2006/relationships/hyperlink" Target="https://support.microsoft.com/en-US/Excel/isomitted-function" TargetMode="External"/><Relationship Id="rId1" Type="http://schemas.openxmlformats.org/officeDocument/2006/relationships/hyperlink" Target="https://support.microsoft.com/en-us/excel/lambda-function" TargetMode="External"/><Relationship Id="rId5" Type="http://schemas.openxmlformats.org/officeDocument/2006/relationships/hyperlink" Target="https://trumpexcel.com/excel-functions/lambda/" TargetMode="External"/><Relationship Id="rId4" Type="http://schemas.openxmlformats.org/officeDocument/2006/relationships/hyperlink" Target="https://exceljet.net/functions/lambda-fun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1BDC-6BBA-4BE0-B960-713387FF2C09}">
  <dimension ref="A1:J49"/>
  <sheetViews>
    <sheetView workbookViewId="0">
      <selection activeCell="A44" sqref="A44:A50"/>
    </sheetView>
  </sheetViews>
  <sheetFormatPr defaultRowHeight="14.25" outlineLevelRow="1"/>
  <cols>
    <col min="1" max="16384" width="9" style="1"/>
  </cols>
  <sheetData>
    <row r="1" spans="1:1" ht="38.25">
      <c r="A1" s="67" t="s">
        <v>363</v>
      </c>
    </row>
    <row r="2" spans="1:1" hidden="1" outlineLevel="1"/>
    <row r="3" spans="1:1" hidden="1" outlineLevel="1"/>
    <row r="4" spans="1:1" hidden="1" outlineLevel="1"/>
    <row r="5" spans="1:1" hidden="1" outlineLevel="1"/>
    <row r="6" spans="1:1" hidden="1" outlineLevel="1"/>
    <row r="7" spans="1:1" hidden="1" outlineLevel="1"/>
    <row r="8" spans="1:1" hidden="1" outlineLevel="1"/>
    <row r="9" spans="1:1" hidden="1" outlineLevel="1"/>
    <row r="10" spans="1:1" hidden="1" outlineLevel="1"/>
    <row r="11" spans="1:1" hidden="1" outlineLevel="1"/>
    <row r="12" spans="1:1" hidden="1" outlineLevel="1"/>
    <row r="13" spans="1:1" hidden="1" outlineLevel="1"/>
    <row r="14" spans="1:1" hidden="1" outlineLevel="1"/>
    <row r="15" spans="1:1" hidden="1" outlineLevel="1"/>
    <row r="16" spans="1:1" hidden="1" outlineLevel="1"/>
    <row r="17" spans="10:10" hidden="1" outlineLevel="1"/>
    <row r="18" spans="10:10" hidden="1" outlineLevel="1">
      <c r="J18" s="1" t="s">
        <v>489</v>
      </c>
    </row>
    <row r="19" spans="10:10" hidden="1" outlineLevel="1"/>
    <row r="20" spans="10:10" hidden="1" outlineLevel="1"/>
    <row r="21" spans="10:10" hidden="1" outlineLevel="1"/>
    <row r="22" spans="10:10" hidden="1" outlineLevel="1"/>
    <row r="23" spans="10:10" hidden="1" outlineLevel="1"/>
    <row r="24" spans="10:10" hidden="1" outlineLevel="1"/>
    <row r="25" spans="10:10" hidden="1" outlineLevel="1"/>
    <row r="26" spans="10:10" hidden="1" outlineLevel="1"/>
    <row r="27" spans="10:10" hidden="1" outlineLevel="1"/>
    <row r="28" spans="10:10" hidden="1" outlineLevel="1"/>
    <row r="29" spans="10:10" hidden="1" outlineLevel="1"/>
    <row r="30" spans="10:10" hidden="1" outlineLevel="1"/>
    <row r="31" spans="10:10" hidden="1" outlineLevel="1"/>
    <row r="32" spans="10:10" hidden="1" outlineLevel="1"/>
    <row r="33" spans="1:1" hidden="1" outlineLevel="1"/>
    <row r="34" spans="1:1" hidden="1" outlineLevel="1"/>
    <row r="35" spans="1:1" hidden="1" outlineLevel="1"/>
    <row r="36" spans="1:1" hidden="1" outlineLevel="1"/>
    <row r="37" spans="1:1" collapsed="1"/>
    <row r="38" spans="1:1" ht="26.25">
      <c r="A38" s="13" t="s">
        <v>364</v>
      </c>
    </row>
    <row r="39" spans="1:1">
      <c r="A39" s="130" t="s">
        <v>490</v>
      </c>
    </row>
    <row r="40" spans="1:1">
      <c r="A40" s="130" t="s">
        <v>491</v>
      </c>
    </row>
    <row r="41" spans="1:1">
      <c r="A41" s="130" t="s">
        <v>492</v>
      </c>
    </row>
    <row r="42" spans="1:1">
      <c r="A42" s="130" t="s">
        <v>493</v>
      </c>
    </row>
    <row r="44" spans="1:1" ht="26.25">
      <c r="A44" s="13" t="s">
        <v>365</v>
      </c>
    </row>
    <row r="45" spans="1:1">
      <c r="A45" s="130" t="s">
        <v>494</v>
      </c>
    </row>
    <row r="46" spans="1:1">
      <c r="A46" s="130" t="s">
        <v>495</v>
      </c>
    </row>
    <row r="47" spans="1:1">
      <c r="A47" s="130" t="s">
        <v>496</v>
      </c>
    </row>
    <row r="48" spans="1:1">
      <c r="A48" s="130" t="s">
        <v>497</v>
      </c>
    </row>
    <row r="49" spans="1:1">
      <c r="A49" s="130" t="s">
        <v>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4562-5576-4961-B0A1-690DBF0BD2B4}">
  <dimension ref="A1:O23"/>
  <sheetViews>
    <sheetView topLeftCell="A3" zoomScaleNormal="100" workbookViewId="0">
      <selection activeCell="A23" sqref="A23"/>
    </sheetView>
  </sheetViews>
  <sheetFormatPr defaultRowHeight="14.25" outlineLevelRow="1"/>
  <cols>
    <col min="1" max="16384" width="9" style="1"/>
  </cols>
  <sheetData>
    <row r="1" spans="1:15" ht="69">
      <c r="A1" s="11" t="s">
        <v>357</v>
      </c>
    </row>
    <row r="3" spans="1:15" ht="26.25">
      <c r="A3" s="13" t="s">
        <v>329</v>
      </c>
    </row>
    <row r="4" spans="1:15" ht="20.25" outlineLevel="1">
      <c r="A4" s="106" t="s">
        <v>330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ht="20.25" outlineLevel="1">
      <c r="A5" s="106" t="s">
        <v>331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ht="20.25" outlineLevel="1">
      <c r="A6" s="106" t="s">
        <v>498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8" spans="1:15" ht="26.25">
      <c r="A8" s="13" t="s">
        <v>257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20.25" outlineLevel="1">
      <c r="A9" s="7" t="s">
        <v>252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20.25" outlineLevel="1">
      <c r="A10" s="108" t="s">
        <v>253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</row>
    <row r="11" spans="1:15" ht="20.25" outlineLevel="1">
      <c r="A11" s="108" t="s">
        <v>254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</row>
    <row r="12" spans="1:15" ht="20.25" outlineLevel="1">
      <c r="A12" s="108" t="s">
        <v>255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</row>
    <row r="13" spans="1:15" ht="20.25" outlineLevel="1">
      <c r="A13" s="108" t="s">
        <v>256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</row>
    <row r="14" spans="1:15" ht="20.25" outlineLevel="1">
      <c r="A14" s="108" t="s">
        <v>258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</row>
    <row r="16" spans="1:15" ht="26.25">
      <c r="A16" s="13" t="s">
        <v>342</v>
      </c>
    </row>
    <row r="17" spans="1:15" ht="20.25" outlineLevel="1">
      <c r="D17" s="109" t="s">
        <v>334</v>
      </c>
      <c r="E17" s="109"/>
      <c r="F17" s="109"/>
      <c r="G17" s="109"/>
      <c r="H17" s="109"/>
      <c r="I17" s="109"/>
      <c r="J17" s="109" t="s">
        <v>335</v>
      </c>
      <c r="K17" s="109"/>
      <c r="L17" s="109"/>
      <c r="M17" s="109"/>
      <c r="N17" s="109"/>
      <c r="O17" s="109"/>
    </row>
    <row r="18" spans="1:15" ht="44.25" customHeight="1" outlineLevel="1">
      <c r="A18" s="107" t="s">
        <v>272</v>
      </c>
      <c r="B18" s="107"/>
      <c r="C18" s="107"/>
      <c r="D18" s="105" t="s">
        <v>336</v>
      </c>
      <c r="E18" s="105"/>
      <c r="F18" s="105"/>
      <c r="G18" s="105"/>
      <c r="H18" s="105"/>
      <c r="I18" s="105"/>
      <c r="J18" s="105" t="s">
        <v>337</v>
      </c>
      <c r="K18" s="105"/>
      <c r="L18" s="105"/>
      <c r="M18" s="105"/>
      <c r="N18" s="105"/>
      <c r="O18" s="105"/>
    </row>
    <row r="19" spans="1:15" ht="155.25" customHeight="1" outlineLevel="1">
      <c r="A19" s="107" t="s">
        <v>332</v>
      </c>
      <c r="B19" s="107"/>
      <c r="C19" s="107"/>
      <c r="D19" s="105" t="s">
        <v>341</v>
      </c>
      <c r="E19" s="105"/>
      <c r="F19" s="105"/>
      <c r="G19" s="105"/>
      <c r="H19" s="105"/>
      <c r="I19" s="105"/>
      <c r="J19" s="105" t="s">
        <v>340</v>
      </c>
      <c r="K19" s="105"/>
      <c r="L19" s="105"/>
      <c r="M19" s="105"/>
      <c r="N19" s="105"/>
      <c r="O19" s="105"/>
    </row>
    <row r="20" spans="1:15" ht="70.5" customHeight="1" outlineLevel="1">
      <c r="A20" s="107" t="s">
        <v>333</v>
      </c>
      <c r="B20" s="107"/>
      <c r="C20" s="107"/>
      <c r="D20" s="105" t="s">
        <v>338</v>
      </c>
      <c r="E20" s="105"/>
      <c r="F20" s="105"/>
      <c r="G20" s="105"/>
      <c r="H20" s="105"/>
      <c r="I20" s="105"/>
      <c r="J20" s="105" t="s">
        <v>339</v>
      </c>
      <c r="K20" s="105"/>
      <c r="L20" s="105"/>
      <c r="M20" s="105"/>
      <c r="N20" s="105"/>
      <c r="O20" s="105"/>
    </row>
    <row r="22" spans="1:15" ht="26.25">
      <c r="A22" s="13" t="s">
        <v>348</v>
      </c>
    </row>
    <row r="23" spans="1:15" ht="20.25" outlineLevel="1">
      <c r="A23" s="61" t="s">
        <v>358</v>
      </c>
    </row>
  </sheetData>
  <mergeCells count="19">
    <mergeCell ref="D18:I18"/>
    <mergeCell ref="J18:O18"/>
    <mergeCell ref="D19:I19"/>
    <mergeCell ref="D20:I20"/>
    <mergeCell ref="J19:O19"/>
    <mergeCell ref="J20:O20"/>
    <mergeCell ref="A4:O4"/>
    <mergeCell ref="A5:O5"/>
    <mergeCell ref="A6:O6"/>
    <mergeCell ref="A18:C18"/>
    <mergeCell ref="A19:C19"/>
    <mergeCell ref="A20:C20"/>
    <mergeCell ref="A10:O10"/>
    <mergeCell ref="A11:O11"/>
    <mergeCell ref="A12:O12"/>
    <mergeCell ref="A13:O13"/>
    <mergeCell ref="A14:O14"/>
    <mergeCell ref="D17:I17"/>
    <mergeCell ref="J17:O17"/>
  </mergeCells>
  <hyperlinks>
    <hyperlink ref="A23" r:id="rId1" xr:uid="{1955A324-4B35-42AE-BED6-7FB0A24AD18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C2E6-87C4-46AD-ADA9-D44C1E8BEF56}">
  <dimension ref="A1:Y154"/>
  <sheetViews>
    <sheetView topLeftCell="A66" zoomScaleNormal="100" workbookViewId="0">
      <selection activeCell="N111" sqref="N111"/>
    </sheetView>
  </sheetViews>
  <sheetFormatPr defaultRowHeight="15" outlineLevelRow="1"/>
  <cols>
    <col min="1" max="15" width="9" style="3"/>
    <col min="16" max="16" width="9" style="3" customWidth="1"/>
    <col min="17" max="16384" width="9" style="3"/>
  </cols>
  <sheetData>
    <row r="1" spans="1:25" ht="69">
      <c r="A1" s="11" t="s">
        <v>68</v>
      </c>
    </row>
    <row r="3" spans="1:25" ht="26.25">
      <c r="A3" s="13" t="s">
        <v>27</v>
      </c>
    </row>
    <row r="4" spans="1:25" ht="20.25" outlineLevel="1">
      <c r="A4" s="106" t="s">
        <v>512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6" spans="1:25" ht="26.25">
      <c r="A6" s="13" t="s">
        <v>26</v>
      </c>
    </row>
    <row r="7" spans="1:25" ht="16.5" outlineLevel="1">
      <c r="A7" s="42"/>
    </row>
    <row r="8" spans="1:25" ht="41.25" customHeight="1" outlineLevel="1">
      <c r="A8" s="107" t="s">
        <v>25</v>
      </c>
      <c r="B8" s="107"/>
      <c r="C8" s="107"/>
      <c r="D8" s="105" t="s">
        <v>240</v>
      </c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</row>
    <row r="9" spans="1:25" ht="85.5" customHeight="1" outlineLevel="1">
      <c r="A9" s="107" t="s">
        <v>29</v>
      </c>
      <c r="B9" s="107"/>
      <c r="C9" s="107"/>
      <c r="D9" s="105" t="s">
        <v>241</v>
      </c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</row>
    <row r="11" spans="1:25" ht="26.25">
      <c r="A11" s="13" t="s">
        <v>28</v>
      </c>
    </row>
    <row r="12" spans="1:25" ht="20.25" outlineLevel="1">
      <c r="A12" s="108" t="s">
        <v>242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</row>
    <row r="13" spans="1:25" ht="20.25" outlineLevel="1">
      <c r="A13" s="108" t="s">
        <v>243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</row>
    <row r="14" spans="1:25" ht="20.25" outlineLevel="1">
      <c r="A14" s="7"/>
    </row>
    <row r="15" spans="1:25" ht="54" customHeight="1" outlineLevel="1">
      <c r="A15" s="119" t="s">
        <v>236</v>
      </c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Y15" s="5"/>
    </row>
    <row r="16" spans="1:25" outlineLevel="1"/>
    <row r="17" spans="1:15" ht="25.5" outlineLevel="1">
      <c r="A17" s="8" t="s">
        <v>15</v>
      </c>
      <c r="B17" s="8"/>
      <c r="C17" s="8"/>
      <c r="D17" s="8" t="s">
        <v>16</v>
      </c>
      <c r="E17" s="8"/>
      <c r="F17" s="8"/>
      <c r="G17" s="8"/>
      <c r="H17" s="8"/>
      <c r="I17" s="8"/>
      <c r="J17" s="8"/>
      <c r="K17" s="8"/>
      <c r="L17" s="8"/>
      <c r="M17" s="8"/>
    </row>
    <row r="18" spans="1:15" ht="39.75" customHeight="1" outlineLevel="1">
      <c r="A18" s="117" t="s">
        <v>13</v>
      </c>
      <c r="B18" s="117"/>
      <c r="C18" s="117"/>
      <c r="D18" s="105" t="s">
        <v>17</v>
      </c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</row>
    <row r="19" spans="1:15" ht="27.75" outlineLevel="1">
      <c r="A19" s="117" t="s">
        <v>14</v>
      </c>
      <c r="B19" s="117"/>
      <c r="C19" s="117"/>
      <c r="D19" s="120" t="s">
        <v>18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</row>
    <row r="20" spans="1:15" ht="27.75" outlineLevel="1">
      <c r="A20" s="115" t="s">
        <v>19</v>
      </c>
      <c r="B20" s="115"/>
      <c r="C20" s="115"/>
      <c r="D20" s="120" t="s">
        <v>22</v>
      </c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</row>
    <row r="21" spans="1:15" ht="27.75" outlineLevel="1">
      <c r="A21" s="115" t="s">
        <v>20</v>
      </c>
      <c r="B21" s="115"/>
      <c r="C21" s="115"/>
      <c r="D21" s="120" t="s">
        <v>23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</row>
    <row r="22" spans="1:15" ht="27.75" outlineLevel="1">
      <c r="A22" s="115" t="s">
        <v>21</v>
      </c>
      <c r="B22" s="115"/>
      <c r="C22" s="115"/>
      <c r="D22" s="120" t="s">
        <v>65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</row>
    <row r="23" spans="1:15" ht="42" customHeight="1" outlineLevel="1">
      <c r="A23" s="116" t="s">
        <v>24</v>
      </c>
      <c r="B23" s="116"/>
      <c r="C23" s="116"/>
      <c r="D23" s="105" t="s">
        <v>30</v>
      </c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</row>
    <row r="24" spans="1:15" ht="18" customHeight="1"/>
    <row r="25" spans="1:15" ht="26.25">
      <c r="A25" s="13" t="s">
        <v>231</v>
      </c>
    </row>
    <row r="26" spans="1:15" ht="18" customHeight="1" outlineLevel="1"/>
    <row r="27" spans="1:15" ht="18" customHeight="1" outlineLevel="1">
      <c r="B27" s="41" t="s">
        <v>209</v>
      </c>
      <c r="I27" s="2" t="s">
        <v>8</v>
      </c>
    </row>
    <row r="28" spans="1:15" s="47" customFormat="1" ht="20.25" outlineLevel="1">
      <c r="B28" s="118" t="s">
        <v>244</v>
      </c>
      <c r="C28" s="118"/>
      <c r="D28" s="118"/>
      <c r="E28" s="118"/>
      <c r="I28" s="45">
        <f>_xlfn.LET(_xlpm.a, 5, _xlpm.a)</f>
        <v>5</v>
      </c>
    </row>
    <row r="29" spans="1:15" ht="18" customHeight="1" outlineLevel="1">
      <c r="B29" s="40" t="s">
        <v>227</v>
      </c>
    </row>
    <row r="30" spans="1:15" ht="18" customHeight="1" outlineLevel="1">
      <c r="B30" s="40" t="s">
        <v>225</v>
      </c>
    </row>
    <row r="31" spans="1:15" ht="18" customHeight="1" outlineLevel="1">
      <c r="B31" s="40"/>
    </row>
    <row r="32" spans="1:15" ht="18" customHeight="1" outlineLevel="1">
      <c r="B32" s="41" t="s">
        <v>209</v>
      </c>
      <c r="G32" s="2" t="s">
        <v>232</v>
      </c>
      <c r="I32" s="2" t="s">
        <v>8</v>
      </c>
    </row>
    <row r="33" spans="1:9" s="47" customFormat="1" ht="20.25" outlineLevel="1">
      <c r="B33" s="118" t="s">
        <v>499</v>
      </c>
      <c r="C33" s="118"/>
      <c r="D33" s="118"/>
      <c r="E33" s="118"/>
      <c r="G33" s="45">
        <v>5</v>
      </c>
      <c r="I33" s="45">
        <f>_xlfn.LET(_xlpm.a, $G$33, _xlpm.a)</f>
        <v>5</v>
      </c>
    </row>
    <row r="34" spans="1:9" ht="18" customHeight="1" outlineLevel="1">
      <c r="B34" s="40" t="s">
        <v>224</v>
      </c>
    </row>
    <row r="35" spans="1:9" ht="18" customHeight="1" outlineLevel="1">
      <c r="B35" s="40" t="s">
        <v>226</v>
      </c>
    </row>
    <row r="36" spans="1:9" ht="18" customHeight="1" outlineLevel="1">
      <c r="B36" s="40" t="s">
        <v>225</v>
      </c>
    </row>
    <row r="37" spans="1:9" ht="18" customHeight="1" outlineLevel="1"/>
    <row r="38" spans="1:9" ht="18" customHeight="1" outlineLevel="1">
      <c r="B38" s="41" t="s">
        <v>209</v>
      </c>
      <c r="G38" s="2" t="s">
        <v>31</v>
      </c>
      <c r="I38" s="2" t="s">
        <v>8</v>
      </c>
    </row>
    <row r="39" spans="1:9" s="47" customFormat="1" ht="20.25" outlineLevel="1">
      <c r="B39" s="118" t="s">
        <v>174</v>
      </c>
      <c r="C39" s="118"/>
      <c r="D39" s="118"/>
      <c r="E39" s="118"/>
      <c r="G39" s="45">
        <v>3</v>
      </c>
      <c r="I39" s="45">
        <f>_xlfn.LET(
    _xlpm.a, $G$39,
    _xlpm.b, $G$40,
    SQRT(_xlpm.a^2 + _xlpm.b^2)
)</f>
        <v>5</v>
      </c>
    </row>
    <row r="40" spans="1:9" s="47" customFormat="1" ht="20.25" outlineLevel="1">
      <c r="B40" s="118" t="s">
        <v>500</v>
      </c>
      <c r="C40" s="118"/>
      <c r="D40" s="118"/>
      <c r="E40" s="118"/>
      <c r="G40" s="45">
        <v>4</v>
      </c>
    </row>
    <row r="41" spans="1:9" s="47" customFormat="1" ht="20.25" outlineLevel="1">
      <c r="B41" s="118" t="s">
        <v>501</v>
      </c>
      <c r="C41" s="118"/>
      <c r="D41" s="118"/>
      <c r="E41" s="118"/>
    </row>
    <row r="42" spans="1:9" s="47" customFormat="1" ht="20.25" outlineLevel="1">
      <c r="B42" s="121" t="s">
        <v>233</v>
      </c>
      <c r="C42" s="121"/>
      <c r="D42" s="121"/>
      <c r="E42" s="121"/>
    </row>
    <row r="43" spans="1:9" s="47" customFormat="1" ht="20.25" outlineLevel="1">
      <c r="B43" s="118" t="s">
        <v>159</v>
      </c>
      <c r="C43" s="118"/>
      <c r="D43" s="118"/>
      <c r="E43" s="118"/>
    </row>
    <row r="44" spans="1:9" ht="18" customHeight="1" outlineLevel="1">
      <c r="B44" s="40" t="s">
        <v>228</v>
      </c>
    </row>
    <row r="45" spans="1:9" ht="18" customHeight="1" outlineLevel="1">
      <c r="B45" s="40" t="s">
        <v>229</v>
      </c>
    </row>
    <row r="46" spans="1:9" ht="18" customHeight="1" outlineLevel="1">
      <c r="B46" s="40" t="s">
        <v>230</v>
      </c>
    </row>
    <row r="47" spans="1:9" ht="18" customHeight="1"/>
    <row r="48" spans="1:9" ht="26.25">
      <c r="A48" s="13" t="s">
        <v>108</v>
      </c>
    </row>
    <row r="49" spans="1:11" ht="20.25" outlineLevel="1">
      <c r="A49" s="12" t="s">
        <v>32</v>
      </c>
    </row>
    <row r="50" spans="1:11" ht="20.25" outlineLevel="1">
      <c r="A50" s="10" t="s">
        <v>69</v>
      </c>
    </row>
    <row r="51" spans="1:11" ht="20.25" outlineLevel="1">
      <c r="A51" s="10" t="s">
        <v>70</v>
      </c>
    </row>
    <row r="52" spans="1:11" ht="20.25" outlineLevel="1">
      <c r="A52" s="10" t="s">
        <v>71</v>
      </c>
    </row>
    <row r="53" spans="1:11" ht="20.25" outlineLevel="1">
      <c r="A53" s="10" t="s">
        <v>72</v>
      </c>
    </row>
    <row r="54" spans="1:11" outlineLevel="1"/>
    <row r="55" spans="1:11" ht="20.25" outlineLevel="1">
      <c r="A55" s="12" t="s">
        <v>85</v>
      </c>
    </row>
    <row r="56" spans="1:11" ht="20.25" outlineLevel="1">
      <c r="A56" s="7" t="s">
        <v>73</v>
      </c>
    </row>
    <row r="57" spans="1:11" ht="20.25" outlineLevel="1">
      <c r="A57" s="7" t="s">
        <v>74</v>
      </c>
    </row>
    <row r="58" spans="1:11" ht="20.25" outlineLevel="1">
      <c r="A58" s="7" t="s">
        <v>75</v>
      </c>
    </row>
    <row r="59" spans="1:11" ht="20.25" outlineLevel="1">
      <c r="A59" s="7" t="s">
        <v>76</v>
      </c>
    </row>
    <row r="60" spans="1:11" outlineLevel="1"/>
    <row r="61" spans="1:11" ht="20.25" outlineLevel="1">
      <c r="A61" s="12" t="s">
        <v>78</v>
      </c>
    </row>
    <row r="62" spans="1:11" ht="20.25" outlineLevel="1">
      <c r="A62" s="111" t="s">
        <v>33</v>
      </c>
      <c r="B62" s="111"/>
      <c r="C62" s="111"/>
      <c r="D62" s="111" t="s">
        <v>34</v>
      </c>
      <c r="E62" s="111"/>
      <c r="F62" s="111" t="s">
        <v>38</v>
      </c>
      <c r="G62" s="111"/>
      <c r="H62" s="111"/>
      <c r="I62" s="111"/>
      <c r="J62" s="111"/>
      <c r="K62" s="111"/>
    </row>
    <row r="63" spans="1:11" ht="20.25" outlineLevel="1">
      <c r="A63" s="112" t="s">
        <v>88</v>
      </c>
      <c r="B63" s="112"/>
      <c r="C63" s="112"/>
      <c r="D63" s="110" t="s">
        <v>39</v>
      </c>
      <c r="E63" s="110"/>
      <c r="F63" s="110" t="s">
        <v>35</v>
      </c>
      <c r="G63" s="110"/>
      <c r="H63" s="110"/>
      <c r="I63" s="110"/>
      <c r="J63" s="110"/>
      <c r="K63" s="110"/>
    </row>
    <row r="64" spans="1:11" ht="20.25" outlineLevel="1">
      <c r="A64" s="112" t="s">
        <v>87</v>
      </c>
      <c r="B64" s="112"/>
      <c r="C64" s="112"/>
      <c r="D64" s="110" t="s">
        <v>39</v>
      </c>
      <c r="E64" s="110"/>
      <c r="F64" s="110" t="s">
        <v>79</v>
      </c>
      <c r="G64" s="110"/>
      <c r="H64" s="110"/>
      <c r="I64" s="110"/>
      <c r="J64" s="110"/>
      <c r="K64" s="110"/>
    </row>
    <row r="65" spans="1:11" ht="20.25" outlineLevel="1">
      <c r="A65" s="112" t="s">
        <v>40</v>
      </c>
      <c r="B65" s="112"/>
      <c r="C65" s="112"/>
      <c r="D65" s="110" t="s">
        <v>39</v>
      </c>
      <c r="E65" s="110"/>
      <c r="F65" s="110" t="s">
        <v>36</v>
      </c>
      <c r="G65" s="110"/>
      <c r="H65" s="110"/>
      <c r="I65" s="110"/>
      <c r="J65" s="110"/>
      <c r="K65" s="110"/>
    </row>
    <row r="66" spans="1:11" ht="20.25" outlineLevel="1">
      <c r="A66" s="112" t="s">
        <v>86</v>
      </c>
      <c r="B66" s="112"/>
      <c r="C66" s="112"/>
      <c r="D66" s="110" t="s">
        <v>39</v>
      </c>
      <c r="E66" s="110"/>
      <c r="F66" s="110" t="s">
        <v>37</v>
      </c>
      <c r="G66" s="110"/>
      <c r="H66" s="110"/>
      <c r="I66" s="110"/>
      <c r="J66" s="110"/>
      <c r="K66" s="110"/>
    </row>
    <row r="67" spans="1:11" ht="20.25" outlineLevel="1">
      <c r="A67" s="112" t="s">
        <v>80</v>
      </c>
      <c r="B67" s="112"/>
      <c r="C67" s="112"/>
      <c r="D67" s="110" t="s">
        <v>39</v>
      </c>
      <c r="E67" s="110"/>
      <c r="F67" s="110" t="s">
        <v>35</v>
      </c>
      <c r="G67" s="110"/>
      <c r="H67" s="110"/>
      <c r="I67" s="110"/>
      <c r="J67" s="110"/>
      <c r="K67" s="110"/>
    </row>
    <row r="68" spans="1:11" ht="20.25" outlineLevel="1">
      <c r="A68" s="112" t="s">
        <v>41</v>
      </c>
      <c r="B68" s="112"/>
      <c r="C68" s="112"/>
      <c r="D68" s="110" t="s">
        <v>49</v>
      </c>
      <c r="E68" s="110"/>
      <c r="F68" s="110" t="s">
        <v>46</v>
      </c>
      <c r="G68" s="110"/>
      <c r="H68" s="110"/>
      <c r="I68" s="110"/>
      <c r="J68" s="110"/>
      <c r="K68" s="110"/>
    </row>
    <row r="69" spans="1:11" ht="20.25" outlineLevel="1">
      <c r="A69" s="112" t="s">
        <v>64</v>
      </c>
      <c r="B69" s="112"/>
      <c r="C69" s="112"/>
      <c r="D69" s="110" t="s">
        <v>49</v>
      </c>
      <c r="E69" s="110"/>
      <c r="F69" s="110" t="s">
        <v>46</v>
      </c>
      <c r="G69" s="110"/>
      <c r="H69" s="110"/>
      <c r="I69" s="110"/>
      <c r="J69" s="110"/>
      <c r="K69" s="110"/>
    </row>
    <row r="70" spans="1:11" ht="20.25" outlineLevel="1">
      <c r="A70" s="112" t="s">
        <v>43</v>
      </c>
      <c r="B70" s="112"/>
      <c r="C70" s="112"/>
      <c r="D70" s="110" t="s">
        <v>49</v>
      </c>
      <c r="E70" s="110"/>
      <c r="F70" s="110" t="s">
        <v>186</v>
      </c>
      <c r="G70" s="110"/>
      <c r="H70" s="110"/>
      <c r="I70" s="110"/>
      <c r="J70" s="110"/>
      <c r="K70" s="110"/>
    </row>
    <row r="71" spans="1:11" ht="20.25" outlineLevel="1">
      <c r="A71" s="112" t="s">
        <v>44</v>
      </c>
      <c r="B71" s="112"/>
      <c r="C71" s="112"/>
      <c r="D71" s="110" t="s">
        <v>49</v>
      </c>
      <c r="E71" s="110"/>
      <c r="F71" s="110" t="s">
        <v>48</v>
      </c>
      <c r="G71" s="110"/>
      <c r="H71" s="110"/>
      <c r="I71" s="110"/>
      <c r="J71" s="110"/>
      <c r="K71" s="110"/>
    </row>
    <row r="72" spans="1:11" ht="20.25" outlineLevel="1">
      <c r="A72" s="112" t="s">
        <v>81</v>
      </c>
      <c r="B72" s="112"/>
      <c r="C72" s="112"/>
      <c r="D72" s="110" t="s">
        <v>49</v>
      </c>
      <c r="E72" s="110"/>
      <c r="F72" s="110" t="s">
        <v>82</v>
      </c>
      <c r="G72" s="110"/>
      <c r="H72" s="110"/>
      <c r="I72" s="110"/>
      <c r="J72" s="110"/>
      <c r="K72" s="110"/>
    </row>
    <row r="73" spans="1:11" ht="20.25" outlineLevel="1">
      <c r="A73" s="112" t="s">
        <v>83</v>
      </c>
      <c r="B73" s="112"/>
      <c r="C73" s="112"/>
      <c r="D73" s="110" t="s">
        <v>50</v>
      </c>
      <c r="E73" s="110"/>
      <c r="F73" s="110" t="s">
        <v>84</v>
      </c>
      <c r="G73" s="110"/>
      <c r="H73" s="110"/>
      <c r="I73" s="110"/>
      <c r="J73" s="110"/>
      <c r="K73" s="110"/>
    </row>
    <row r="74" spans="1:11" ht="20.25" outlineLevel="1">
      <c r="A74" s="112" t="s">
        <v>45</v>
      </c>
      <c r="B74" s="112"/>
      <c r="C74" s="112"/>
      <c r="D74" s="110" t="s">
        <v>50</v>
      </c>
      <c r="E74" s="110"/>
      <c r="F74" s="110" t="s">
        <v>187</v>
      </c>
      <c r="G74" s="110"/>
      <c r="H74" s="110"/>
      <c r="I74" s="110"/>
      <c r="J74" s="110"/>
      <c r="K74" s="110"/>
    </row>
    <row r="75" spans="1:11" ht="20.25" outlineLevel="1">
      <c r="A75" s="112" t="s">
        <v>42</v>
      </c>
      <c r="B75" s="112"/>
      <c r="C75" s="112"/>
      <c r="D75" s="110" t="s">
        <v>50</v>
      </c>
      <c r="E75" s="110"/>
      <c r="F75" s="110" t="s">
        <v>47</v>
      </c>
      <c r="G75" s="110"/>
      <c r="H75" s="110"/>
      <c r="I75" s="110"/>
      <c r="J75" s="110"/>
      <c r="K75" s="110"/>
    </row>
    <row r="76" spans="1:11" ht="20.25" outlineLevel="1">
      <c r="A76" s="114" t="s">
        <v>51</v>
      </c>
      <c r="B76" s="114"/>
      <c r="C76" s="114"/>
      <c r="D76" s="113" t="s">
        <v>63</v>
      </c>
      <c r="E76" s="113"/>
      <c r="F76" s="113" t="s">
        <v>52</v>
      </c>
      <c r="G76" s="113"/>
      <c r="H76" s="113"/>
      <c r="I76" s="113"/>
      <c r="J76" s="113"/>
      <c r="K76" s="113"/>
    </row>
    <row r="77" spans="1:11" ht="20.25" outlineLevel="1">
      <c r="A77" s="114" t="s">
        <v>53</v>
      </c>
      <c r="B77" s="114"/>
      <c r="C77" s="114"/>
      <c r="D77" s="113" t="s">
        <v>63</v>
      </c>
      <c r="E77" s="113"/>
      <c r="F77" s="113" t="s">
        <v>54</v>
      </c>
      <c r="G77" s="113"/>
      <c r="H77" s="113"/>
      <c r="I77" s="113"/>
      <c r="J77" s="113"/>
      <c r="K77" s="113"/>
    </row>
    <row r="78" spans="1:11" ht="20.25" outlineLevel="1">
      <c r="A78" s="114" t="s">
        <v>55</v>
      </c>
      <c r="B78" s="114"/>
      <c r="C78" s="114"/>
      <c r="D78" s="113" t="s">
        <v>63</v>
      </c>
      <c r="E78" s="113"/>
      <c r="F78" s="113" t="s">
        <v>56</v>
      </c>
      <c r="G78" s="113"/>
      <c r="H78" s="113"/>
      <c r="I78" s="113"/>
      <c r="J78" s="113"/>
      <c r="K78" s="113"/>
    </row>
    <row r="79" spans="1:11" ht="20.25" outlineLevel="1">
      <c r="A79" s="114" t="s">
        <v>57</v>
      </c>
      <c r="B79" s="114"/>
      <c r="C79" s="114"/>
      <c r="D79" s="113" t="s">
        <v>63</v>
      </c>
      <c r="E79" s="113"/>
      <c r="F79" s="113" t="s">
        <v>58</v>
      </c>
      <c r="G79" s="113"/>
      <c r="H79" s="113"/>
      <c r="I79" s="113"/>
      <c r="J79" s="113"/>
      <c r="K79" s="113"/>
    </row>
    <row r="80" spans="1:11" ht="20.25" outlineLevel="1">
      <c r="A80" s="114" t="s">
        <v>59</v>
      </c>
      <c r="B80" s="114"/>
      <c r="C80" s="114"/>
      <c r="D80" s="113" t="s">
        <v>63</v>
      </c>
      <c r="E80" s="113"/>
      <c r="F80" s="113" t="s">
        <v>60</v>
      </c>
      <c r="G80" s="113"/>
      <c r="H80" s="113"/>
      <c r="I80" s="113"/>
      <c r="J80" s="113"/>
      <c r="K80" s="113"/>
    </row>
    <row r="81" spans="1:14" ht="20.25" outlineLevel="1">
      <c r="A81" s="114" t="s">
        <v>61</v>
      </c>
      <c r="B81" s="114"/>
      <c r="C81" s="114"/>
      <c r="D81" s="113" t="s">
        <v>63</v>
      </c>
      <c r="E81" s="113"/>
      <c r="F81" s="113" t="s">
        <v>62</v>
      </c>
      <c r="G81" s="113"/>
      <c r="H81" s="113"/>
      <c r="I81" s="113"/>
      <c r="J81" s="113"/>
      <c r="K81" s="113"/>
    </row>
    <row r="83" spans="1:14" ht="26.25">
      <c r="A83" s="13" t="s">
        <v>66</v>
      </c>
    </row>
    <row r="84" spans="1:14" ht="20.25" outlineLevel="1">
      <c r="A84" s="7" t="s">
        <v>77</v>
      </c>
    </row>
    <row r="85" spans="1:14" ht="20.25" outlineLevel="1">
      <c r="A85" s="7" t="s">
        <v>502</v>
      </c>
    </row>
    <row r="86" spans="1:14" ht="20.25" outlineLevel="1">
      <c r="A86" s="7" t="s">
        <v>503</v>
      </c>
    </row>
    <row r="87" spans="1:14" ht="20.25" outlineLevel="1">
      <c r="A87" s="7" t="s">
        <v>158</v>
      </c>
      <c r="N87" s="131"/>
    </row>
    <row r="88" spans="1:14" ht="16.5">
      <c r="A88" s="50"/>
    </row>
    <row r="89" spans="1:14" ht="26.25">
      <c r="A89" s="13" t="s">
        <v>67</v>
      </c>
    </row>
    <row r="90" spans="1:14" ht="20.25" outlineLevel="1">
      <c r="A90" s="12" t="s">
        <v>107</v>
      </c>
    </row>
    <row r="91" spans="1:14" ht="20.25" outlineLevel="1">
      <c r="A91" s="61" t="s">
        <v>105</v>
      </c>
    </row>
    <row r="92" spans="1:14" ht="20.25" outlineLevel="1">
      <c r="A92" s="61" t="s">
        <v>104</v>
      </c>
    </row>
    <row r="93" spans="1:14" ht="20.25" outlineLevel="1">
      <c r="A93" s="61" t="s">
        <v>106</v>
      </c>
    </row>
    <row r="94" spans="1:14" ht="20.25" outlineLevel="1">
      <c r="A94" s="61" t="s">
        <v>140</v>
      </c>
    </row>
    <row r="95" spans="1:14" ht="20.25" outlineLevel="1">
      <c r="A95" s="61" t="s">
        <v>93</v>
      </c>
    </row>
    <row r="96" spans="1:14" ht="20.25" outlineLevel="1">
      <c r="A96" s="61" t="s">
        <v>473</v>
      </c>
    </row>
    <row r="97" spans="1:1" ht="16.5" outlineLevel="1">
      <c r="A97" s="50"/>
    </row>
    <row r="98" spans="1:1" ht="20.25" outlineLevel="1">
      <c r="A98" s="12" t="s">
        <v>139</v>
      </c>
    </row>
    <row r="99" spans="1:1" ht="20.25" outlineLevel="1">
      <c r="A99" s="61" t="s">
        <v>155</v>
      </c>
    </row>
    <row r="101" spans="1:1" ht="26.25">
      <c r="A101" s="13" t="s">
        <v>31</v>
      </c>
    </row>
    <row r="102" spans="1:1" ht="20.25" hidden="1" outlineLevel="1">
      <c r="A102" s="61" t="s">
        <v>353</v>
      </c>
    </row>
    <row r="103" spans="1:1" ht="20.25" hidden="1" outlineLevel="1">
      <c r="A103" s="61" t="s">
        <v>352</v>
      </c>
    </row>
    <row r="104" spans="1:1" ht="20.25" hidden="1" outlineLevel="1">
      <c r="A104" s="61" t="s">
        <v>351</v>
      </c>
    </row>
    <row r="105" spans="1:1" ht="20.25" collapsed="1">
      <c r="A105" s="7"/>
    </row>
    <row r="106" spans="1:1" ht="20.25">
      <c r="A106" s="7"/>
    </row>
    <row r="123" spans="13:13" ht="17.25">
      <c r="M123" s="9"/>
    </row>
    <row r="124" spans="13:13" ht="17.25">
      <c r="M124" s="9"/>
    </row>
    <row r="125" spans="13:13" ht="17.25">
      <c r="M125" s="9"/>
    </row>
    <row r="126" spans="13:13" ht="17.25">
      <c r="M126" s="9"/>
    </row>
    <row r="127" spans="13:13" ht="17.25">
      <c r="M127" s="9"/>
    </row>
    <row r="128" spans="13:13" ht="17.25">
      <c r="M128" s="9"/>
    </row>
    <row r="129" spans="13:13" ht="17.25">
      <c r="M129" s="9"/>
    </row>
    <row r="130" spans="13:13" ht="17.25">
      <c r="M130" s="9"/>
    </row>
    <row r="131" spans="13:13" ht="17.25">
      <c r="M131" s="9"/>
    </row>
    <row r="132" spans="13:13" ht="17.25">
      <c r="M132" s="9"/>
    </row>
    <row r="133" spans="13:13" ht="17.25">
      <c r="M133" s="9"/>
    </row>
    <row r="134" spans="13:13" ht="17.25">
      <c r="M134" s="9"/>
    </row>
    <row r="135" spans="13:13" ht="17.25">
      <c r="M135" s="9"/>
    </row>
    <row r="136" spans="13:13" ht="17.25">
      <c r="M136" s="9"/>
    </row>
    <row r="137" spans="13:13" ht="17.25">
      <c r="M137" s="9"/>
    </row>
    <row r="138" spans="13:13" ht="17.25">
      <c r="M138" s="9"/>
    </row>
    <row r="139" spans="13:13" ht="17.25">
      <c r="M139" s="9"/>
    </row>
    <row r="140" spans="13:13" ht="17.25">
      <c r="M140" s="9"/>
    </row>
    <row r="141" spans="13:13" ht="17.25">
      <c r="M141" s="9"/>
    </row>
    <row r="142" spans="13:13" ht="17.25">
      <c r="M142" s="9"/>
    </row>
    <row r="143" spans="13:13" ht="17.25">
      <c r="M143" s="9"/>
    </row>
    <row r="144" spans="13:13" ht="17.25">
      <c r="M144" s="9"/>
    </row>
    <row r="145" spans="13:13" ht="17.25">
      <c r="M145" s="9"/>
    </row>
    <row r="146" spans="13:13" ht="17.25">
      <c r="M146" s="9"/>
    </row>
    <row r="147" spans="13:13" ht="17.25">
      <c r="M147" s="9"/>
    </row>
    <row r="148" spans="13:13" ht="17.25">
      <c r="M148" s="9"/>
    </row>
    <row r="149" spans="13:13" ht="17.25">
      <c r="M149" s="9"/>
    </row>
    <row r="150" spans="13:13" ht="17.25">
      <c r="M150" s="9"/>
    </row>
    <row r="151" spans="13:13" ht="17.25">
      <c r="M151" s="9"/>
    </row>
    <row r="152" spans="13:13" ht="17.25">
      <c r="M152" s="9"/>
    </row>
    <row r="153" spans="13:13" ht="17.25">
      <c r="M153" s="9"/>
    </row>
    <row r="154" spans="13:13" ht="17.25">
      <c r="M154" s="9"/>
    </row>
  </sheetData>
  <mergeCells count="87">
    <mergeCell ref="B43:E43"/>
    <mergeCell ref="B28:E28"/>
    <mergeCell ref="A15:O15"/>
    <mergeCell ref="A8:C8"/>
    <mergeCell ref="A9:C9"/>
    <mergeCell ref="D8:O8"/>
    <mergeCell ref="D9:O9"/>
    <mergeCell ref="B33:E33"/>
    <mergeCell ref="B39:E39"/>
    <mergeCell ref="B40:E40"/>
    <mergeCell ref="B41:E41"/>
    <mergeCell ref="B42:E42"/>
    <mergeCell ref="D19:O19"/>
    <mergeCell ref="D20:O20"/>
    <mergeCell ref="D21:O21"/>
    <mergeCell ref="D22:O22"/>
    <mergeCell ref="D23:O23"/>
    <mergeCell ref="A4:O4"/>
    <mergeCell ref="A12:O12"/>
    <mergeCell ref="A13:O13"/>
    <mergeCell ref="A21:C21"/>
    <mergeCell ref="A22:C22"/>
    <mergeCell ref="A23:C23"/>
    <mergeCell ref="A18:C18"/>
    <mergeCell ref="A19:C19"/>
    <mergeCell ref="A20:C20"/>
    <mergeCell ref="D18:O18"/>
    <mergeCell ref="A71:C71"/>
    <mergeCell ref="D71:E71"/>
    <mergeCell ref="A64:C64"/>
    <mergeCell ref="A65:C65"/>
    <mergeCell ref="A66:C66"/>
    <mergeCell ref="D66:E66"/>
    <mergeCell ref="A63:C63"/>
    <mergeCell ref="D63:E63"/>
    <mergeCell ref="F63:K63"/>
    <mergeCell ref="D77:E77"/>
    <mergeCell ref="F77:K77"/>
    <mergeCell ref="D69:E69"/>
    <mergeCell ref="F69:K69"/>
    <mergeCell ref="D70:E70"/>
    <mergeCell ref="F70:K70"/>
    <mergeCell ref="D64:E64"/>
    <mergeCell ref="F64:K64"/>
    <mergeCell ref="D65:E65"/>
    <mergeCell ref="F65:K65"/>
    <mergeCell ref="A77:C77"/>
    <mergeCell ref="A69:C69"/>
    <mergeCell ref="A70:C70"/>
    <mergeCell ref="A80:C80"/>
    <mergeCell ref="D80:E80"/>
    <mergeCell ref="F80:K80"/>
    <mergeCell ref="A81:C81"/>
    <mergeCell ref="D81:E81"/>
    <mergeCell ref="F81:K81"/>
    <mergeCell ref="F74:K74"/>
    <mergeCell ref="D74:E74"/>
    <mergeCell ref="A74:C74"/>
    <mergeCell ref="A73:C73"/>
    <mergeCell ref="F79:K79"/>
    <mergeCell ref="A75:C75"/>
    <mergeCell ref="D75:E75"/>
    <mergeCell ref="F75:K75"/>
    <mergeCell ref="A76:C76"/>
    <mergeCell ref="D76:E76"/>
    <mergeCell ref="F76:K76"/>
    <mergeCell ref="D78:E78"/>
    <mergeCell ref="F78:K78"/>
    <mergeCell ref="A78:C78"/>
    <mergeCell ref="A79:C79"/>
    <mergeCell ref="D79:E79"/>
    <mergeCell ref="D73:E73"/>
    <mergeCell ref="F73:K73"/>
    <mergeCell ref="A62:C62"/>
    <mergeCell ref="D62:E62"/>
    <mergeCell ref="F62:K62"/>
    <mergeCell ref="F71:K71"/>
    <mergeCell ref="A72:C72"/>
    <mergeCell ref="D72:E72"/>
    <mergeCell ref="F72:K72"/>
    <mergeCell ref="F66:K66"/>
    <mergeCell ref="A67:C67"/>
    <mergeCell ref="D67:E67"/>
    <mergeCell ref="F67:K67"/>
    <mergeCell ref="A68:C68"/>
    <mergeCell ref="D68:E68"/>
    <mergeCell ref="F68:K68"/>
  </mergeCells>
  <hyperlinks>
    <hyperlink ref="A102" r:id="rId1" xr:uid="{7F579CAB-1A36-47FB-B0C1-CBC4B1EE7873}"/>
    <hyperlink ref="A103" r:id="rId2" xr:uid="{EF955531-8589-4F14-B80E-54B6A55FA6A3}"/>
    <hyperlink ref="A104" r:id="rId3" xr:uid="{4B174C0D-4541-4E7B-A122-949BE5E1A909}"/>
    <hyperlink ref="A91" location="Examples!J5" display="Calculate the range" xr:uid="{225C2AAB-832B-421F-8485-030706E24AAA}"/>
    <hyperlink ref="A92" location="Examples!J19" display="Calculate the relative standard deviation" xr:uid="{741F3B9A-FDCA-450E-BF16-D529932DFE17}"/>
    <hyperlink ref="A93" location="Examples!J43" display="Calculate the interquartile range" xr:uid="{72F0E2EA-0167-4F11-9149-BC9E6032BB64}"/>
    <hyperlink ref="A94" location="Examples!J67" display="Calculate the standard error of mean" xr:uid="{CB971CBD-A3BE-4330-866E-94CA4410EA10}"/>
    <hyperlink ref="A95" location="Examples!J91" display="Calculate the z-score of each element in a dataset" xr:uid="{68F34B4A-84D4-41E4-B403-84504A88DDAD}"/>
    <hyperlink ref="A99" location="Examples!J190" display="Solve for the uknown using dilution equation" xr:uid="{2231F1B6-BC22-4A26-A778-5BD7D8D87D3A}"/>
    <hyperlink ref="A96" location="Examples!J248" display="[Moderate - Advanced+]  LETs Make This Formula Better" xr:uid="{DE491ACD-45FC-4D0E-A6EF-4B4DF9888C5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B48A-60CD-4673-B220-3EB588E5570B}">
  <dimension ref="A1:O230"/>
  <sheetViews>
    <sheetView tabSelected="1" zoomScale="160" zoomScaleNormal="160" workbookViewId="0">
      <selection activeCell="I189" sqref="I189"/>
    </sheetView>
  </sheetViews>
  <sheetFormatPr defaultRowHeight="15" outlineLevelRow="1"/>
  <cols>
    <col min="1" max="8" width="9" style="3"/>
    <col min="9" max="9" width="10.125" style="3" bestFit="1" customWidth="1"/>
    <col min="10" max="15" width="9" style="3"/>
    <col min="16" max="16" width="9" style="3" customWidth="1"/>
    <col min="17" max="16384" width="9" style="3"/>
  </cols>
  <sheetData>
    <row r="1" spans="1:15" ht="69">
      <c r="A1" s="11" t="s">
        <v>188</v>
      </c>
    </row>
    <row r="3" spans="1:15" ht="26.25">
      <c r="A3" s="13" t="s">
        <v>189</v>
      </c>
    </row>
    <row r="4" spans="1:15" ht="20.25" outlineLevel="1">
      <c r="A4" s="106" t="s">
        <v>190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ht="15.75">
      <c r="A5" s="4"/>
    </row>
    <row r="6" spans="1:15" ht="26.25">
      <c r="A6" s="13" t="s">
        <v>221</v>
      </c>
    </row>
    <row r="7" spans="1:15" ht="16.5" outlineLevel="1">
      <c r="A7" s="42"/>
    </row>
    <row r="8" spans="1:15" ht="48.75" customHeight="1" outlineLevel="1">
      <c r="A8" s="107" t="s">
        <v>191</v>
      </c>
      <c r="B8" s="107"/>
      <c r="C8" s="107"/>
      <c r="D8" s="123" t="s">
        <v>192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</row>
    <row r="9" spans="1:15" ht="48.75" customHeight="1" outlineLevel="1">
      <c r="A9" s="107" t="s">
        <v>193</v>
      </c>
      <c r="B9" s="107"/>
      <c r="C9" s="107"/>
      <c r="D9" s="123" t="s">
        <v>194</v>
      </c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</row>
    <row r="10" spans="1:15" ht="48.75" customHeight="1" outlineLevel="1">
      <c r="A10" s="107" t="s">
        <v>195</v>
      </c>
      <c r="B10" s="107"/>
      <c r="C10" s="107"/>
      <c r="D10" s="124" t="s">
        <v>234</v>
      </c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</row>
    <row r="11" spans="1:15" ht="48.75" customHeight="1" outlineLevel="1">
      <c r="A11" s="107" t="s">
        <v>197</v>
      </c>
      <c r="B11" s="107"/>
      <c r="C11" s="107"/>
      <c r="D11" s="124" t="s">
        <v>196</v>
      </c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</row>
    <row r="12" spans="1:15" ht="48.75" customHeight="1" outlineLevel="1">
      <c r="A12" s="107" t="s">
        <v>198</v>
      </c>
      <c r="B12" s="107"/>
      <c r="C12" s="107"/>
      <c r="D12" s="123" t="s">
        <v>199</v>
      </c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</row>
    <row r="13" spans="1:15" ht="15.75">
      <c r="A13" s="4"/>
    </row>
    <row r="14" spans="1:15" ht="26.25">
      <c r="A14" s="13" t="s">
        <v>28</v>
      </c>
    </row>
    <row r="15" spans="1:15" ht="20.25" outlineLevel="1">
      <c r="A15" s="108" t="s">
        <v>237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</row>
    <row r="16" spans="1:15" ht="20.25" outlineLevel="1">
      <c r="A16" s="108" t="s">
        <v>200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</row>
    <row r="17" spans="1:15" ht="20.25" outlineLevel="1">
      <c r="A17" s="7"/>
    </row>
    <row r="18" spans="1:15" ht="46.5" customHeight="1" outlineLevel="1">
      <c r="A18" s="119" t="s">
        <v>235</v>
      </c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</row>
    <row r="19" spans="1:15" outlineLevel="1"/>
    <row r="20" spans="1:15" ht="25.5" outlineLevel="1">
      <c r="A20" s="14" t="s">
        <v>15</v>
      </c>
      <c r="B20" s="14"/>
      <c r="C20" s="14"/>
      <c r="D20" s="14" t="s">
        <v>16</v>
      </c>
      <c r="E20" s="8"/>
      <c r="F20" s="8"/>
      <c r="G20" s="8"/>
      <c r="H20" s="8"/>
      <c r="I20" s="8"/>
      <c r="J20" s="8"/>
      <c r="K20" s="8"/>
      <c r="L20" s="8"/>
      <c r="M20" s="8"/>
    </row>
    <row r="21" spans="1:15" ht="27.75" outlineLevel="1">
      <c r="A21" s="117" t="s">
        <v>201</v>
      </c>
      <c r="B21" s="117"/>
      <c r="C21" s="117"/>
      <c r="D21" s="105" t="s">
        <v>203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</row>
    <row r="22" spans="1:15" ht="27.75" outlineLevel="1">
      <c r="A22" s="117" t="s">
        <v>202</v>
      </c>
      <c r="B22" s="117"/>
      <c r="C22" s="117"/>
      <c r="D22" s="120" t="s">
        <v>204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</row>
    <row r="23" spans="1:15" ht="27.75" outlineLevel="1">
      <c r="A23" s="117" t="s">
        <v>21</v>
      </c>
      <c r="B23" s="117"/>
      <c r="C23" s="117"/>
      <c r="D23" s="120" t="s">
        <v>205</v>
      </c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</row>
    <row r="24" spans="1:15" ht="27.75" outlineLevel="1">
      <c r="A24" s="116" t="s">
        <v>24</v>
      </c>
      <c r="B24" s="116"/>
      <c r="C24" s="116"/>
      <c r="D24" s="105" t="s">
        <v>206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5" ht="18" customHeight="1"/>
    <row r="26" spans="1:15" ht="26.25">
      <c r="A26" s="13" t="s">
        <v>207</v>
      </c>
    </row>
    <row r="27" spans="1:15" ht="20.25" outlineLevel="1">
      <c r="A27" s="108" t="s">
        <v>208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</row>
    <row r="28" spans="1:15" ht="20.25" outlineLevel="1">
      <c r="A28" s="108" t="s">
        <v>513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</row>
    <row r="29" spans="1:15" ht="20.25" outlineLevel="1">
      <c r="A29" s="12" t="s">
        <v>216</v>
      </c>
    </row>
    <row r="30" spans="1:15" ht="20.25" outlineLevel="1">
      <c r="A30" s="12"/>
    </row>
    <row r="31" spans="1:15" ht="18" customHeight="1" outlineLevel="1">
      <c r="B31" s="41" t="s">
        <v>209</v>
      </c>
      <c r="I31" s="2" t="s">
        <v>8</v>
      </c>
    </row>
    <row r="32" spans="1:15" s="44" customFormat="1" ht="25.5" customHeight="1" outlineLevel="1">
      <c r="B32" s="118" t="s">
        <v>238</v>
      </c>
      <c r="C32" s="118"/>
      <c r="D32" s="118"/>
      <c r="E32" s="118"/>
      <c r="F32" s="118"/>
      <c r="G32" s="118"/>
      <c r="I32" s="45">
        <f>POWER(2, 5)</f>
        <v>32</v>
      </c>
    </row>
    <row r="33" spans="1:10" ht="18" customHeight="1" outlineLevel="1">
      <c r="B33" s="51" t="s">
        <v>211</v>
      </c>
    </row>
    <row r="34" spans="1:10" ht="18" customHeight="1" outlineLevel="1">
      <c r="B34" s="51" t="s">
        <v>210</v>
      </c>
    </row>
    <row r="35" spans="1:10" ht="18" customHeight="1" outlineLevel="1"/>
    <row r="36" spans="1:10" ht="18" customHeight="1" outlineLevel="1">
      <c r="B36" s="41" t="s">
        <v>209</v>
      </c>
      <c r="I36" s="2" t="s">
        <v>8</v>
      </c>
    </row>
    <row r="37" spans="1:10" s="44" customFormat="1" ht="25.5" customHeight="1" outlineLevel="1">
      <c r="B37" s="118" t="s">
        <v>239</v>
      </c>
      <c r="C37" s="118"/>
      <c r="D37" s="118"/>
      <c r="E37" s="118"/>
      <c r="F37" s="118"/>
      <c r="G37" s="118"/>
      <c r="I37" s="52" t="e" cm="1" vm="1">
        <f t="array" ref="I37">_xlfn.LAMBDA(_xlpm.num,_xlpm.pwr, _xlpm.num^_xlpm.pwr)</f>
        <v>#VALUE!</v>
      </c>
      <c r="J37" s="53" t="s">
        <v>319</v>
      </c>
    </row>
    <row r="38" spans="1:10" ht="18" customHeight="1" outlineLevel="1">
      <c r="B38" s="51" t="s">
        <v>212</v>
      </c>
    </row>
    <row r="39" spans="1:10" ht="18" customHeight="1" outlineLevel="1">
      <c r="B39" s="51" t="s">
        <v>213</v>
      </c>
    </row>
    <row r="40" spans="1:10" ht="18" customHeight="1" outlineLevel="1">
      <c r="B40" s="51" t="s">
        <v>217</v>
      </c>
    </row>
    <row r="41" spans="1:10" ht="18" customHeight="1" outlineLevel="1"/>
    <row r="42" spans="1:10" ht="18" customHeight="1" outlineLevel="1">
      <c r="B42" s="41" t="s">
        <v>209</v>
      </c>
      <c r="I42" s="2" t="s">
        <v>8</v>
      </c>
    </row>
    <row r="43" spans="1:10" s="44" customFormat="1" ht="25.5" customHeight="1" outlineLevel="1">
      <c r="B43" s="118" t="s">
        <v>309</v>
      </c>
      <c r="C43" s="118"/>
      <c r="D43" s="118"/>
      <c r="E43" s="118"/>
      <c r="F43" s="118"/>
      <c r="G43" s="118"/>
      <c r="I43" s="45" cm="1">
        <f t="array" ref="I43">_xlfn.LAMBDA(_xlpm.num,_xlpm.pwr, _xlpm.num^_xlpm.pwr)(2, 5)</f>
        <v>32</v>
      </c>
    </row>
    <row r="44" spans="1:10" ht="18" customHeight="1" outlineLevel="1">
      <c r="B44" s="51" t="s">
        <v>214</v>
      </c>
    </row>
    <row r="45" spans="1:10" ht="18" customHeight="1" outlineLevel="1">
      <c r="B45" s="51" t="s">
        <v>215</v>
      </c>
    </row>
    <row r="46" spans="1:10" ht="18" customHeight="1" outlineLevel="1">
      <c r="B46" s="51" t="s">
        <v>222</v>
      </c>
    </row>
    <row r="47" spans="1:10" ht="18" customHeight="1"/>
    <row r="48" spans="1:10" ht="26.25">
      <c r="A48" s="13" t="s">
        <v>293</v>
      </c>
    </row>
    <row r="49" spans="1:15" ht="20.25" hidden="1" outlineLevel="1">
      <c r="A49" s="12" t="s">
        <v>294</v>
      </c>
    </row>
    <row r="50" spans="1:15" ht="20.25" hidden="1" outlineLevel="1">
      <c r="A50" s="48" t="s">
        <v>296</v>
      </c>
    </row>
    <row r="51" spans="1:15" ht="20.25" hidden="1" outlineLevel="1">
      <c r="A51" s="48" t="s">
        <v>295</v>
      </c>
    </row>
    <row r="52" spans="1:15" ht="20.25" hidden="1" outlineLevel="1">
      <c r="A52" s="48" t="s">
        <v>298</v>
      </c>
    </row>
    <row r="53" spans="1:15" ht="20.25" hidden="1" outlineLevel="1">
      <c r="A53" s="48" t="s">
        <v>299</v>
      </c>
    </row>
    <row r="54" spans="1:15" ht="20.25" hidden="1" outlineLevel="1">
      <c r="A54" s="48" t="s">
        <v>297</v>
      </c>
    </row>
    <row r="55" spans="1:15" ht="16.5" hidden="1" outlineLevel="1">
      <c r="A55" s="42"/>
    </row>
    <row r="56" spans="1:15" ht="20.25" hidden="1" outlineLevel="1">
      <c r="A56" s="12" t="s">
        <v>300</v>
      </c>
    </row>
    <row r="57" spans="1:15" ht="20.25" hidden="1" outlineLevel="1">
      <c r="A57" s="48" t="s">
        <v>301</v>
      </c>
    </row>
    <row r="58" spans="1:15" ht="18" hidden="1" customHeight="1" outlineLevel="1">
      <c r="A58" s="48" t="s">
        <v>302</v>
      </c>
    </row>
    <row r="59" spans="1:15" ht="18" hidden="1" customHeight="1" outlineLevel="1">
      <c r="A59" s="48"/>
    </row>
    <row r="60" spans="1:15" ht="35.25" hidden="1" outlineLevel="1">
      <c r="A60" s="119" t="s">
        <v>303</v>
      </c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</row>
    <row r="61" spans="1:15" ht="18" hidden="1" customHeight="1" outlineLevel="1">
      <c r="A61" s="48"/>
    </row>
    <row r="62" spans="1:15" ht="18" hidden="1" customHeight="1" outlineLevel="1">
      <c r="A62" s="12" t="s">
        <v>318</v>
      </c>
    </row>
    <row r="63" spans="1:15" ht="18" hidden="1" customHeight="1" outlineLevel="1"/>
    <row r="64" spans="1:15" ht="18" hidden="1" customHeight="1" outlineLevel="1">
      <c r="B64" s="41" t="s">
        <v>209</v>
      </c>
      <c r="N64" s="2" t="s">
        <v>8</v>
      </c>
    </row>
    <row r="65" spans="2:15" ht="20.25" hidden="1" outlineLevel="1">
      <c r="B65" s="118" t="s">
        <v>306</v>
      </c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N65" s="45" cm="1">
        <f t="array" ref="N65">_xlfn.LAMBDA(_xlpm.number,_xlop.power,
    _xlfn.LET(
        _xlpm.pwr, IF(_xlfn.ISOMITTED(_xlpm.power), 2, _xlpm.power),
        _xlpm.number ^ _xlpm.pwr
    )
)(2)</f>
        <v>4</v>
      </c>
    </row>
    <row r="66" spans="2:15" ht="18" hidden="1" customHeight="1" outlineLevel="1">
      <c r="B66" s="121" t="s">
        <v>304</v>
      </c>
      <c r="C66" s="121"/>
      <c r="D66" s="121"/>
      <c r="E66" s="121"/>
      <c r="F66" s="121"/>
      <c r="G66" s="121"/>
      <c r="H66" s="121"/>
      <c r="I66" s="121"/>
      <c r="J66" s="121"/>
      <c r="K66" s="121"/>
      <c r="L66" s="121"/>
    </row>
    <row r="67" spans="2:15" ht="18" hidden="1" customHeight="1" outlineLevel="1">
      <c r="B67" s="121" t="s">
        <v>305</v>
      </c>
      <c r="C67" s="121"/>
      <c r="D67" s="121"/>
      <c r="E67" s="121"/>
      <c r="F67" s="121"/>
      <c r="G67" s="121"/>
      <c r="H67" s="121"/>
      <c r="I67" s="121"/>
      <c r="J67" s="121"/>
      <c r="K67" s="121"/>
      <c r="L67" s="121"/>
    </row>
    <row r="68" spans="2:15" ht="18" hidden="1" customHeight="1" outlineLevel="1">
      <c r="B68" s="121" t="s">
        <v>310</v>
      </c>
      <c r="C68" s="121"/>
      <c r="D68" s="121"/>
      <c r="E68" s="121"/>
      <c r="F68" s="121"/>
      <c r="G68" s="121"/>
      <c r="H68" s="121"/>
      <c r="I68" s="121"/>
      <c r="J68" s="121"/>
      <c r="K68" s="121"/>
      <c r="L68" s="121"/>
    </row>
    <row r="69" spans="2:15" ht="18" hidden="1" customHeight="1" outlineLevel="1">
      <c r="B69" s="121" t="s">
        <v>307</v>
      </c>
      <c r="C69" s="121"/>
      <c r="D69" s="121"/>
      <c r="E69" s="121"/>
      <c r="F69" s="121"/>
      <c r="G69" s="121"/>
      <c r="H69" s="121"/>
      <c r="I69" s="121"/>
      <c r="J69" s="121"/>
      <c r="K69" s="121"/>
      <c r="L69" s="121"/>
    </row>
    <row r="70" spans="2:15" ht="18" hidden="1" customHeight="1" outlineLevel="1">
      <c r="B70" s="118" t="s">
        <v>308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</row>
    <row r="71" spans="2:15" ht="18" hidden="1" customHeight="1" outlineLevel="1">
      <c r="B71" s="51" t="s">
        <v>311</v>
      </c>
    </row>
    <row r="72" spans="2:15" ht="18" hidden="1" customHeight="1" outlineLevel="1">
      <c r="B72" s="51" t="s">
        <v>312</v>
      </c>
    </row>
    <row r="73" spans="2:15" ht="18" hidden="1" customHeight="1" outlineLevel="1">
      <c r="B73" s="40"/>
    </row>
    <row r="74" spans="2:15" ht="18" hidden="1" customHeight="1" outlineLevel="1">
      <c r="B74" s="41" t="s">
        <v>209</v>
      </c>
      <c r="N74" s="2" t="s">
        <v>232</v>
      </c>
    </row>
    <row r="75" spans="2:15" ht="18" hidden="1" customHeight="1" outlineLevel="1">
      <c r="B75" s="118" t="s">
        <v>306</v>
      </c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N75" s="45">
        <v>2</v>
      </c>
    </row>
    <row r="76" spans="2:15" ht="18" hidden="1" customHeight="1" outlineLevel="1">
      <c r="B76" s="121" t="s">
        <v>304</v>
      </c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N76" s="45"/>
    </row>
    <row r="77" spans="2:15" ht="18" hidden="1" customHeight="1" outlineLevel="1">
      <c r="B77" s="121" t="s">
        <v>305</v>
      </c>
      <c r="C77" s="121"/>
      <c r="D77" s="121"/>
      <c r="E77" s="121"/>
      <c r="F77" s="121"/>
      <c r="G77" s="121"/>
      <c r="H77" s="121"/>
      <c r="I77" s="121"/>
      <c r="J77" s="121"/>
      <c r="K77" s="121"/>
      <c r="L77" s="121"/>
    </row>
    <row r="78" spans="2:15" ht="18" hidden="1" customHeight="1" outlineLevel="1">
      <c r="B78" s="121" t="s">
        <v>310</v>
      </c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N78" s="2" t="s">
        <v>8</v>
      </c>
    </row>
    <row r="79" spans="2:15" ht="18" hidden="1" customHeight="1" outlineLevel="1">
      <c r="B79" s="121" t="s">
        <v>307</v>
      </c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N79" s="52" cm="1">
        <f t="array" ref="N79">_xlfn.LAMBDA(_xlpm.number,_xlop.power,
    _xlfn.LET(
        _xlpm.pwr, IF(_xlfn.ISOMITTED(_xlpm.power), 2, _xlpm.power),
        _xlpm.number ^ _xlpm.pwr
    )
)(N75, N76)</f>
        <v>1</v>
      </c>
      <c r="O79" s="53" t="s">
        <v>320</v>
      </c>
    </row>
    <row r="80" spans="2:15" ht="18" hidden="1" customHeight="1" outlineLevel="1">
      <c r="B80" s="118" t="s">
        <v>313</v>
      </c>
      <c r="C80" s="118"/>
      <c r="D80" s="118"/>
      <c r="E80" s="118"/>
      <c r="F80" s="118"/>
      <c r="G80" s="118"/>
      <c r="H80" s="118"/>
      <c r="I80" s="118"/>
      <c r="J80" s="118"/>
      <c r="K80" s="118"/>
      <c r="L80" s="118"/>
    </row>
    <row r="81" spans="1:14" ht="18" hidden="1" customHeight="1" outlineLevel="1">
      <c r="B81" s="51" t="s">
        <v>316</v>
      </c>
    </row>
    <row r="82" spans="1:14" ht="18" hidden="1" customHeight="1" outlineLevel="1">
      <c r="B82" s="51" t="s">
        <v>343</v>
      </c>
    </row>
    <row r="83" spans="1:14" ht="18" hidden="1" customHeight="1" outlineLevel="1">
      <c r="B83" s="51" t="s">
        <v>317</v>
      </c>
    </row>
    <row r="84" spans="1:14" ht="18" hidden="1" customHeight="1" outlineLevel="1">
      <c r="B84" s="40"/>
    </row>
    <row r="85" spans="1:14" ht="18" hidden="1" customHeight="1" outlineLevel="1">
      <c r="B85" s="41" t="s">
        <v>209</v>
      </c>
      <c r="N85" s="2" t="s">
        <v>232</v>
      </c>
    </row>
    <row r="86" spans="1:14" ht="18" hidden="1" customHeight="1" outlineLevel="1">
      <c r="B86" s="118" t="s">
        <v>306</v>
      </c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N86" s="45">
        <v>2</v>
      </c>
    </row>
    <row r="87" spans="1:14" ht="18" hidden="1" customHeight="1" outlineLevel="1">
      <c r="B87" s="121" t="s">
        <v>304</v>
      </c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N87" s="45"/>
    </row>
    <row r="88" spans="1:14" ht="18" hidden="1" customHeight="1" outlineLevel="1">
      <c r="B88" s="121" t="s">
        <v>315</v>
      </c>
      <c r="C88" s="121"/>
      <c r="D88" s="121"/>
      <c r="E88" s="121"/>
      <c r="F88" s="121"/>
      <c r="G88" s="121"/>
      <c r="H88" s="121"/>
      <c r="I88" s="121"/>
      <c r="J88" s="121"/>
      <c r="K88" s="121"/>
      <c r="L88" s="121"/>
    </row>
    <row r="89" spans="1:14" ht="18" hidden="1" customHeight="1" outlineLevel="1">
      <c r="B89" s="121" t="s">
        <v>310</v>
      </c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N89" s="2" t="s">
        <v>8</v>
      </c>
    </row>
    <row r="90" spans="1:14" ht="18" hidden="1" customHeight="1" outlineLevel="1">
      <c r="B90" s="121" t="s">
        <v>307</v>
      </c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N90" s="45" cm="1">
        <f t="array" ref="N90">_xlfn.LAMBDA(_xlpm.number,_xlop.power,
    _xlfn.LET(
        _xlpm.pwr, IF(OR(_xlfn.ISOMITTED(_xlpm.power), ISBLANK(_xlpm.power)), 2, _xlpm.power),
        _xlpm.number ^ _xlpm.pwr
    )
)(N86, N87)</f>
        <v>4</v>
      </c>
    </row>
    <row r="91" spans="1:14" ht="18" hidden="1" customHeight="1" outlineLevel="1">
      <c r="B91" s="118" t="s">
        <v>314</v>
      </c>
      <c r="C91" s="118"/>
      <c r="D91" s="118"/>
      <c r="E91" s="118"/>
      <c r="F91" s="118"/>
      <c r="G91" s="118"/>
      <c r="H91" s="118"/>
      <c r="I91" s="118"/>
      <c r="J91" s="118"/>
      <c r="K91" s="118"/>
      <c r="L91" s="118"/>
    </row>
    <row r="92" spans="1:14" ht="18" hidden="1" customHeight="1" outlineLevel="1">
      <c r="B92" s="51" t="s">
        <v>321</v>
      </c>
    </row>
    <row r="93" spans="1:14" ht="18" hidden="1" customHeight="1" outlineLevel="1">
      <c r="B93" s="54" t="s">
        <v>322</v>
      </c>
    </row>
    <row r="94" spans="1:14" ht="18" hidden="1" customHeight="1" outlineLevel="1">
      <c r="B94" s="54" t="s">
        <v>323</v>
      </c>
    </row>
    <row r="95" spans="1:14" ht="18" customHeight="1" collapsed="1"/>
    <row r="96" spans="1:14" ht="26.25">
      <c r="A96" s="13" t="s">
        <v>218</v>
      </c>
    </row>
    <row r="97" spans="1:15" ht="20.25" hidden="1" outlineLevel="1">
      <c r="A97" s="43" t="s">
        <v>223</v>
      </c>
    </row>
    <row r="98" spans="1:15" ht="18" hidden="1" customHeight="1" outlineLevel="1">
      <c r="A98" s="12" t="s">
        <v>32</v>
      </c>
    </row>
    <row r="99" spans="1:15" ht="18" hidden="1" customHeight="1" outlineLevel="1">
      <c r="A99" s="43" t="s">
        <v>69</v>
      </c>
    </row>
    <row r="100" spans="1:15" ht="18" hidden="1" customHeight="1" outlineLevel="1">
      <c r="A100" s="43" t="s">
        <v>70</v>
      </c>
    </row>
    <row r="101" spans="1:15" ht="18" hidden="1" customHeight="1" outlineLevel="1">
      <c r="A101" s="43" t="s">
        <v>71</v>
      </c>
    </row>
    <row r="102" spans="1:15" ht="18" hidden="1" customHeight="1" outlineLevel="1">
      <c r="A102" s="43" t="s">
        <v>72</v>
      </c>
    </row>
    <row r="103" spans="1:15" hidden="1" outlineLevel="1"/>
    <row r="104" spans="1:15" ht="20.25" hidden="1" outlineLevel="1">
      <c r="A104" s="12" t="s">
        <v>85</v>
      </c>
    </row>
    <row r="105" spans="1:15" ht="20.25" hidden="1" outlineLevel="1">
      <c r="A105" s="43" t="s">
        <v>73</v>
      </c>
    </row>
    <row r="106" spans="1:15" ht="20.25" hidden="1" outlineLevel="1">
      <c r="A106" s="43" t="s">
        <v>219</v>
      </c>
    </row>
    <row r="107" spans="1:15" ht="20.25" hidden="1" outlineLevel="1">
      <c r="A107" s="43" t="s">
        <v>75</v>
      </c>
    </row>
    <row r="108" spans="1:15" ht="20.25" hidden="1" outlineLevel="1">
      <c r="A108" s="43" t="s">
        <v>220</v>
      </c>
    </row>
    <row r="109" spans="1:15" collapsed="1"/>
    <row r="110" spans="1:15" ht="26.25">
      <c r="A110" s="13" t="s">
        <v>292</v>
      </c>
    </row>
    <row r="111" spans="1:15" ht="20.25" hidden="1" outlineLevel="1">
      <c r="A111" s="125" t="s">
        <v>289</v>
      </c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</row>
    <row r="112" spans="1:15" ht="20.25" hidden="1" outlineLevel="1">
      <c r="A112" s="108" t="s">
        <v>245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</row>
    <row r="113" spans="1:15" ht="20.25" hidden="1" outlineLevel="1">
      <c r="A113" s="108" t="s">
        <v>247</v>
      </c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  <row r="114" spans="1:15" ht="20.25" hidden="1" outlineLevel="1">
      <c r="A114" s="108" t="s">
        <v>246</v>
      </c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</row>
    <row r="115" spans="1:15" ht="20.25" hidden="1" outlineLevel="1">
      <c r="A115" s="122" t="s">
        <v>250</v>
      </c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</row>
    <row r="116" spans="1:15" ht="20.25" hidden="1" outlineLevel="1">
      <c r="A116" s="122" t="s">
        <v>248</v>
      </c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</row>
    <row r="117" spans="1:15" ht="20.25" hidden="1" outlineLevel="1">
      <c r="A117" s="122" t="s">
        <v>251</v>
      </c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</row>
    <row r="118" spans="1:15" ht="20.25" hidden="1" outlineLevel="1">
      <c r="A118" s="108" t="s">
        <v>249</v>
      </c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</row>
    <row r="119" spans="1:15" ht="20.25" hidden="1" outlineLevel="1">
      <c r="A119" s="48"/>
      <c r="B119" s="48"/>
      <c r="C119" s="125" t="e" vm="2">
        <v>#VALUE!</v>
      </c>
      <c r="D119" s="125"/>
      <c r="E119" s="125"/>
      <c r="F119" s="125"/>
      <c r="G119" s="125"/>
      <c r="H119" s="48"/>
      <c r="I119" s="48"/>
      <c r="J119" s="48"/>
      <c r="K119" s="48"/>
      <c r="L119" s="48"/>
      <c r="M119" s="48"/>
      <c r="N119" s="48"/>
      <c r="O119" s="48"/>
    </row>
    <row r="120" spans="1:15" ht="20.25" hidden="1" outlineLevel="1">
      <c r="A120" s="48"/>
      <c r="B120" s="48"/>
      <c r="C120" s="125"/>
      <c r="D120" s="125"/>
      <c r="E120" s="125"/>
      <c r="F120" s="125"/>
      <c r="G120" s="125"/>
      <c r="H120" s="48"/>
      <c r="I120" s="48"/>
      <c r="J120" s="48"/>
      <c r="K120" s="48"/>
      <c r="L120" s="48"/>
      <c r="M120" s="48"/>
      <c r="N120" s="48"/>
      <c r="O120" s="48"/>
    </row>
    <row r="121" spans="1:15" ht="20.25" hidden="1" outlineLevel="1">
      <c r="A121" s="48"/>
      <c r="B121" s="48"/>
      <c r="C121" s="125"/>
      <c r="D121" s="125"/>
      <c r="E121" s="125"/>
      <c r="F121" s="125"/>
      <c r="G121" s="125"/>
      <c r="H121" s="48"/>
      <c r="I121" s="48"/>
      <c r="J121" s="48"/>
      <c r="K121" s="48"/>
      <c r="L121" s="48"/>
      <c r="M121" s="48"/>
      <c r="N121" s="48"/>
      <c r="O121" s="48"/>
    </row>
    <row r="122" spans="1:15" ht="20.25" hidden="1" outlineLevel="1">
      <c r="A122" s="48"/>
      <c r="B122" s="48"/>
      <c r="C122" s="125"/>
      <c r="D122" s="125"/>
      <c r="E122" s="125"/>
      <c r="F122" s="125"/>
      <c r="G122" s="125"/>
      <c r="H122" s="48"/>
      <c r="I122" s="48"/>
      <c r="J122" s="48"/>
      <c r="K122" s="48"/>
      <c r="L122" s="48"/>
      <c r="M122" s="48"/>
      <c r="N122" s="48"/>
      <c r="O122" s="48"/>
    </row>
    <row r="123" spans="1:15" ht="20.25" hidden="1" outlineLevel="1">
      <c r="A123" s="48"/>
      <c r="B123" s="48"/>
      <c r="C123" s="125"/>
      <c r="D123" s="125"/>
      <c r="E123" s="125"/>
      <c r="F123" s="125"/>
      <c r="G123" s="125"/>
      <c r="H123" s="48"/>
      <c r="I123" s="48"/>
      <c r="J123" s="48"/>
      <c r="K123" s="48"/>
      <c r="L123" s="48"/>
      <c r="M123" s="48"/>
      <c r="N123" s="48"/>
      <c r="O123" s="48"/>
    </row>
    <row r="124" spans="1:15" ht="20.25" hidden="1" outlineLevel="1">
      <c r="A124" s="48"/>
      <c r="B124" s="48"/>
      <c r="C124" s="125"/>
      <c r="D124" s="125"/>
      <c r="E124" s="125"/>
      <c r="F124" s="125"/>
      <c r="G124" s="125"/>
      <c r="H124" s="48"/>
      <c r="I124" s="48"/>
      <c r="J124" s="48"/>
      <c r="K124" s="48"/>
      <c r="L124" s="48"/>
      <c r="M124" s="48"/>
      <c r="N124" s="48"/>
      <c r="O124" s="48"/>
    </row>
    <row r="125" spans="1:15" ht="20.25" hidden="1" outlineLevel="1">
      <c r="A125" s="48"/>
      <c r="B125" s="48"/>
      <c r="C125" s="125"/>
      <c r="D125" s="125"/>
      <c r="E125" s="125"/>
      <c r="F125" s="125"/>
      <c r="G125" s="125"/>
      <c r="H125" s="48"/>
      <c r="I125" s="48"/>
      <c r="J125" s="48"/>
      <c r="K125" s="48"/>
      <c r="L125" s="48"/>
      <c r="M125" s="48"/>
      <c r="N125" s="48"/>
      <c r="O125" s="48"/>
    </row>
    <row r="126" spans="1:15" ht="20.25" collapsed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</row>
    <row r="127" spans="1:15" ht="26.25">
      <c r="A127" s="13" t="s">
        <v>291</v>
      </c>
    </row>
    <row r="128" spans="1:15" ht="20.25" outlineLevel="1">
      <c r="A128" s="7" t="s">
        <v>290</v>
      </c>
    </row>
    <row r="129" spans="1:15" ht="20.25" outlineLevel="1">
      <c r="A129" s="108" t="s">
        <v>259</v>
      </c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</row>
    <row r="130" spans="1:15" ht="20.25" outlineLevel="1">
      <c r="A130" s="108" t="s">
        <v>260</v>
      </c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</row>
    <row r="131" spans="1:15" ht="20.25" outlineLevel="1">
      <c r="A131" s="108" t="s">
        <v>261</v>
      </c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</row>
    <row r="132" spans="1:15" ht="20.25" outlineLevel="1">
      <c r="A132" s="108" t="s">
        <v>262</v>
      </c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</row>
    <row r="133" spans="1:15" ht="20.25" outlineLevel="1">
      <c r="A133" s="108" t="s">
        <v>263</v>
      </c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</row>
    <row r="134" spans="1:15" ht="20.25" outlineLevel="1">
      <c r="A134" s="122" t="s">
        <v>264</v>
      </c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</row>
    <row r="135" spans="1:15" ht="20.25" outlineLevel="1">
      <c r="A135" s="122" t="s">
        <v>265</v>
      </c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</row>
    <row r="136" spans="1:15" ht="20.25" outlineLevel="1">
      <c r="A136" s="122" t="s">
        <v>266</v>
      </c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</row>
    <row r="137" spans="1:15" ht="20.25" outlineLevel="1">
      <c r="A137" s="122" t="s">
        <v>267</v>
      </c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</row>
    <row r="138" spans="1:15" ht="20.25" outlineLevel="1">
      <c r="A138" s="49"/>
      <c r="B138" s="49"/>
      <c r="C138" s="125" t="e" vm="3">
        <v>#VALUE!</v>
      </c>
      <c r="D138" s="125"/>
      <c r="E138" s="125"/>
      <c r="F138" s="125"/>
      <c r="G138" s="125"/>
      <c r="H138" s="125"/>
      <c r="I138" s="49"/>
      <c r="J138" s="49"/>
      <c r="K138" s="49"/>
      <c r="L138" s="49"/>
      <c r="M138" s="49"/>
      <c r="N138" s="49"/>
      <c r="O138" s="49"/>
    </row>
    <row r="139" spans="1:15" ht="20.25" outlineLevel="1">
      <c r="A139" s="49"/>
      <c r="B139" s="49"/>
      <c r="C139" s="125"/>
      <c r="D139" s="125"/>
      <c r="E139" s="125"/>
      <c r="F139" s="125"/>
      <c r="G139" s="125"/>
      <c r="H139" s="125"/>
      <c r="I139" s="49"/>
      <c r="J139" s="49"/>
      <c r="K139" s="49"/>
      <c r="L139" s="49"/>
      <c r="M139" s="49"/>
      <c r="N139" s="49"/>
      <c r="O139" s="49"/>
    </row>
    <row r="140" spans="1:15" ht="20.25" outlineLevel="1">
      <c r="A140" s="49"/>
      <c r="B140" s="49"/>
      <c r="C140" s="125"/>
      <c r="D140" s="125"/>
      <c r="E140" s="125"/>
      <c r="F140" s="125"/>
      <c r="G140" s="125"/>
      <c r="H140" s="125"/>
      <c r="I140" s="49"/>
      <c r="J140" s="49"/>
      <c r="K140" s="49"/>
      <c r="L140" s="49"/>
      <c r="M140" s="49"/>
      <c r="N140" s="49"/>
      <c r="O140" s="49"/>
    </row>
    <row r="141" spans="1:15" ht="20.25" outlineLevel="1">
      <c r="A141" s="49"/>
      <c r="B141" s="49"/>
      <c r="C141" s="125"/>
      <c r="D141" s="125"/>
      <c r="E141" s="125"/>
      <c r="F141" s="125"/>
      <c r="G141" s="125"/>
      <c r="H141" s="125"/>
      <c r="I141" s="49"/>
      <c r="J141" s="49"/>
      <c r="K141" s="49"/>
      <c r="L141" s="49"/>
      <c r="M141" s="49"/>
      <c r="N141" s="49"/>
      <c r="O141" s="49"/>
    </row>
    <row r="142" spans="1:15" ht="20.25" outlineLevel="1">
      <c r="A142" s="49"/>
      <c r="B142" s="49"/>
      <c r="C142" s="125"/>
      <c r="D142" s="125"/>
      <c r="E142" s="125"/>
      <c r="F142" s="125"/>
      <c r="G142" s="125"/>
      <c r="H142" s="125"/>
      <c r="I142" s="49"/>
      <c r="J142" s="49"/>
      <c r="K142" s="49"/>
      <c r="L142" s="49"/>
      <c r="M142" s="49"/>
      <c r="N142" s="49"/>
      <c r="O142" s="49"/>
    </row>
    <row r="143" spans="1:15" ht="20.25" outlineLevel="1">
      <c r="A143" s="49"/>
      <c r="B143" s="49"/>
      <c r="C143" s="125"/>
      <c r="D143" s="125"/>
      <c r="E143" s="125"/>
      <c r="F143" s="125"/>
      <c r="G143" s="125"/>
      <c r="H143" s="125"/>
      <c r="I143" s="49"/>
      <c r="J143" s="49"/>
      <c r="K143" s="49"/>
      <c r="L143" s="49"/>
      <c r="M143" s="49"/>
      <c r="N143" s="49"/>
      <c r="O143" s="49"/>
    </row>
    <row r="144" spans="1:15" ht="20.25" outlineLevel="1">
      <c r="A144" s="49"/>
      <c r="B144" s="49"/>
      <c r="C144" s="125"/>
      <c r="D144" s="125"/>
      <c r="E144" s="125"/>
      <c r="F144" s="125"/>
      <c r="G144" s="125"/>
      <c r="H144" s="125"/>
      <c r="I144" s="49"/>
      <c r="J144" s="49"/>
      <c r="K144" s="49"/>
      <c r="L144" s="49"/>
      <c r="M144" s="49"/>
      <c r="N144" s="49"/>
      <c r="O144" s="49"/>
    </row>
    <row r="145" spans="1:15" ht="20.25" outlineLevel="1">
      <c r="A145" s="49"/>
      <c r="B145" s="49"/>
      <c r="C145" s="125"/>
      <c r="D145" s="125"/>
      <c r="E145" s="125"/>
      <c r="F145" s="125"/>
      <c r="G145" s="125"/>
      <c r="H145" s="125"/>
      <c r="I145" s="49"/>
      <c r="J145" s="49"/>
      <c r="K145" s="49"/>
      <c r="L145" s="49"/>
      <c r="M145" s="49"/>
      <c r="N145" s="49"/>
      <c r="O145" s="49"/>
    </row>
    <row r="146" spans="1:15" ht="20.25" outlineLevel="1">
      <c r="A146" s="49"/>
      <c r="B146" s="49"/>
      <c r="C146" s="125"/>
      <c r="D146" s="125"/>
      <c r="E146" s="125"/>
      <c r="F146" s="125"/>
      <c r="G146" s="125"/>
      <c r="H146" s="125"/>
      <c r="I146" s="49"/>
      <c r="J146" s="49"/>
      <c r="K146" s="49"/>
      <c r="L146" s="49"/>
      <c r="M146" s="49"/>
      <c r="N146" s="49"/>
      <c r="O146" s="49"/>
    </row>
    <row r="147" spans="1:15" ht="20.25" outlineLevel="1">
      <c r="A147" s="49"/>
      <c r="B147" s="49"/>
      <c r="C147" s="125"/>
      <c r="D147" s="125"/>
      <c r="E147" s="125"/>
      <c r="F147" s="125"/>
      <c r="G147" s="125"/>
      <c r="H147" s="125"/>
      <c r="I147" s="49"/>
      <c r="J147" s="49"/>
      <c r="K147" s="49"/>
      <c r="L147" s="49"/>
      <c r="M147" s="49"/>
      <c r="N147" s="49"/>
      <c r="O147" s="49"/>
    </row>
    <row r="148" spans="1:15" ht="20.25" outlineLevel="1">
      <c r="A148" s="49"/>
      <c r="B148" s="49"/>
      <c r="C148" s="125"/>
      <c r="D148" s="125"/>
      <c r="E148" s="125"/>
      <c r="F148" s="125"/>
      <c r="G148" s="125"/>
      <c r="H148" s="125"/>
      <c r="I148" s="49"/>
      <c r="J148" s="49"/>
      <c r="K148" s="49"/>
      <c r="L148" s="49"/>
      <c r="M148" s="49"/>
      <c r="N148" s="49"/>
      <c r="O148" s="49"/>
    </row>
    <row r="149" spans="1:15" ht="20.25" outlineLevel="1">
      <c r="A149" s="49"/>
      <c r="B149" s="49"/>
      <c r="C149" s="125"/>
      <c r="D149" s="125"/>
      <c r="E149" s="125"/>
      <c r="F149" s="125"/>
      <c r="G149" s="125"/>
      <c r="H149" s="125"/>
      <c r="I149" s="49"/>
      <c r="J149" s="49"/>
      <c r="K149" s="49"/>
      <c r="L149" s="49"/>
      <c r="M149" s="49"/>
      <c r="N149" s="49"/>
      <c r="O149" s="49"/>
    </row>
    <row r="150" spans="1:15" ht="20.25" outlineLevel="1">
      <c r="A150" s="49"/>
      <c r="B150" s="49"/>
      <c r="C150" s="125"/>
      <c r="D150" s="125"/>
      <c r="E150" s="125"/>
      <c r="F150" s="125"/>
      <c r="G150" s="125"/>
      <c r="H150" s="125"/>
      <c r="I150" s="49"/>
      <c r="J150" s="49"/>
      <c r="K150" s="49"/>
      <c r="L150" s="49"/>
      <c r="M150" s="49"/>
      <c r="N150" s="49"/>
      <c r="O150" s="49"/>
    </row>
    <row r="151" spans="1:15" ht="20.25" outlineLevel="1">
      <c r="A151" s="49"/>
      <c r="B151" s="49"/>
      <c r="C151" s="125"/>
      <c r="D151" s="125"/>
      <c r="E151" s="125"/>
      <c r="F151" s="125"/>
      <c r="G151" s="125"/>
      <c r="H151" s="125"/>
      <c r="I151" s="49"/>
      <c r="J151" s="49"/>
      <c r="K151" s="49"/>
      <c r="L151" s="49"/>
      <c r="M151" s="49"/>
      <c r="N151" s="49"/>
      <c r="O151" s="49"/>
    </row>
    <row r="152" spans="1:15" ht="20.25" outlineLevel="1">
      <c r="A152" s="49"/>
      <c r="B152" s="49"/>
      <c r="C152" s="125"/>
      <c r="D152" s="125"/>
      <c r="E152" s="125"/>
      <c r="F152" s="125"/>
      <c r="G152" s="125"/>
      <c r="H152" s="125"/>
      <c r="I152" s="49"/>
      <c r="J152" s="49"/>
      <c r="K152" s="49"/>
      <c r="L152" s="49"/>
      <c r="M152" s="49"/>
      <c r="N152" s="49"/>
      <c r="O152" s="49"/>
    </row>
    <row r="153" spans="1:15" ht="20.25" outlineLevel="1">
      <c r="A153" s="49"/>
      <c r="B153" s="49"/>
      <c r="C153" s="125"/>
      <c r="D153" s="125"/>
      <c r="E153" s="125"/>
      <c r="F153" s="125"/>
      <c r="G153" s="125"/>
      <c r="H153" s="125"/>
      <c r="I153" s="49"/>
      <c r="J153" s="49"/>
      <c r="K153" s="49"/>
      <c r="L153" s="49"/>
      <c r="M153" s="49"/>
      <c r="N153" s="49"/>
      <c r="O153" s="49"/>
    </row>
    <row r="154" spans="1:15" ht="20.25" outlineLevel="1">
      <c r="A154" s="49"/>
      <c r="B154" s="49"/>
      <c r="C154" s="125"/>
      <c r="D154" s="125"/>
      <c r="E154" s="125"/>
      <c r="F154" s="125"/>
      <c r="G154" s="125"/>
      <c r="H154" s="125"/>
      <c r="I154" s="49"/>
      <c r="J154" s="49"/>
      <c r="K154" s="49"/>
      <c r="L154" s="49"/>
      <c r="M154" s="49"/>
      <c r="N154" s="49"/>
      <c r="O154" s="49"/>
    </row>
    <row r="155" spans="1:15" ht="20.25" outlineLevel="1">
      <c r="A155" s="49"/>
      <c r="B155" s="49"/>
      <c r="C155" s="125"/>
      <c r="D155" s="125"/>
      <c r="E155" s="125"/>
      <c r="F155" s="125"/>
      <c r="G155" s="125"/>
      <c r="H155" s="125"/>
      <c r="I155" s="49"/>
      <c r="J155" s="49"/>
      <c r="K155" s="49"/>
      <c r="L155" s="49"/>
      <c r="M155" s="49"/>
      <c r="N155" s="49"/>
      <c r="O155" s="49"/>
    </row>
    <row r="156" spans="1:15" ht="20.25" outlineLevel="1">
      <c r="A156" s="49"/>
      <c r="B156" s="49"/>
      <c r="C156" s="125"/>
      <c r="D156" s="125"/>
      <c r="E156" s="125"/>
      <c r="F156" s="125"/>
      <c r="G156" s="125"/>
      <c r="H156" s="125"/>
      <c r="I156" s="49"/>
      <c r="J156" s="49"/>
      <c r="K156" s="49"/>
      <c r="L156" s="49"/>
      <c r="M156" s="49"/>
      <c r="N156" s="49"/>
      <c r="O156" s="49"/>
    </row>
    <row r="157" spans="1:15" ht="2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</row>
    <row r="158" spans="1:15" ht="26.25">
      <c r="A158" s="13" t="s">
        <v>268</v>
      </c>
    </row>
    <row r="159" spans="1:15" ht="16.5" outlineLevel="1">
      <c r="A159" s="50"/>
    </row>
    <row r="160" spans="1:15" ht="16.5" outlineLevel="1">
      <c r="A160" s="129" t="s">
        <v>279</v>
      </c>
      <c r="B160" s="129"/>
      <c r="C160" s="129"/>
      <c r="D160" s="128" t="s">
        <v>271</v>
      </c>
      <c r="E160" s="128"/>
      <c r="F160" s="128"/>
      <c r="G160" s="128"/>
      <c r="H160" s="128"/>
      <c r="I160" s="128"/>
      <c r="J160" s="128" t="s">
        <v>269</v>
      </c>
      <c r="K160" s="128"/>
      <c r="L160" s="128"/>
      <c r="M160" s="128"/>
      <c r="N160" s="128"/>
      <c r="O160" s="128"/>
    </row>
    <row r="161" spans="1:15" ht="42" customHeight="1" outlineLevel="1">
      <c r="A161" s="127" t="s">
        <v>272</v>
      </c>
      <c r="B161" s="127"/>
      <c r="C161" s="127"/>
      <c r="D161" s="126" t="s">
        <v>281</v>
      </c>
      <c r="E161" s="126"/>
      <c r="F161" s="126"/>
      <c r="G161" s="126"/>
      <c r="H161" s="126"/>
      <c r="I161" s="126"/>
      <c r="J161" s="126" t="s">
        <v>282</v>
      </c>
      <c r="K161" s="126"/>
      <c r="L161" s="126"/>
      <c r="M161" s="126"/>
      <c r="N161" s="126"/>
      <c r="O161" s="126"/>
    </row>
    <row r="162" spans="1:15" ht="41.25" customHeight="1" outlineLevel="1">
      <c r="A162" s="127" t="s">
        <v>273</v>
      </c>
      <c r="B162" s="127"/>
      <c r="C162" s="127"/>
      <c r="D162" s="126" t="s">
        <v>283</v>
      </c>
      <c r="E162" s="126"/>
      <c r="F162" s="126"/>
      <c r="G162" s="126"/>
      <c r="H162" s="126"/>
      <c r="I162" s="126"/>
      <c r="J162" s="126" t="s">
        <v>284</v>
      </c>
      <c r="K162" s="126"/>
      <c r="L162" s="126"/>
      <c r="M162" s="126"/>
      <c r="N162" s="126"/>
      <c r="O162" s="126"/>
    </row>
    <row r="163" spans="1:15" ht="20.25" customHeight="1" outlineLevel="1">
      <c r="A163" s="127" t="s">
        <v>278</v>
      </c>
      <c r="B163" s="127"/>
      <c r="C163" s="127"/>
      <c r="D163" s="126" t="s">
        <v>286</v>
      </c>
      <c r="E163" s="126"/>
      <c r="F163" s="126"/>
      <c r="G163" s="126"/>
      <c r="H163" s="126"/>
      <c r="I163" s="126"/>
      <c r="J163" s="126" t="s">
        <v>285</v>
      </c>
      <c r="K163" s="126"/>
      <c r="L163" s="126"/>
      <c r="M163" s="126"/>
      <c r="N163" s="126"/>
      <c r="O163" s="126"/>
    </row>
    <row r="164" spans="1:15" ht="20.25" customHeight="1" outlineLevel="1">
      <c r="A164" s="127" t="s">
        <v>29</v>
      </c>
      <c r="B164" s="127"/>
      <c r="C164" s="127"/>
      <c r="D164" s="126" t="s">
        <v>274</v>
      </c>
      <c r="E164" s="126"/>
      <c r="F164" s="126"/>
      <c r="G164" s="126"/>
      <c r="H164" s="126"/>
      <c r="I164" s="126"/>
      <c r="J164" s="126" t="s">
        <v>275</v>
      </c>
      <c r="K164" s="126"/>
      <c r="L164" s="126"/>
      <c r="M164" s="126"/>
      <c r="N164" s="126"/>
      <c r="O164" s="126"/>
    </row>
    <row r="165" spans="1:15" ht="20.25" customHeight="1" outlineLevel="1">
      <c r="A165" s="127" t="s">
        <v>276</v>
      </c>
      <c r="B165" s="127"/>
      <c r="C165" s="127"/>
      <c r="D165" s="126" t="s">
        <v>277</v>
      </c>
      <c r="E165" s="126"/>
      <c r="F165" s="126"/>
      <c r="G165" s="126"/>
      <c r="H165" s="126"/>
      <c r="I165" s="126"/>
      <c r="J165" s="126" t="s">
        <v>280</v>
      </c>
      <c r="K165" s="126"/>
      <c r="L165" s="126"/>
      <c r="M165" s="126"/>
      <c r="N165" s="126"/>
      <c r="O165" s="126"/>
    </row>
    <row r="166" spans="1:15" ht="20.25" customHeight="1" outlineLevel="1">
      <c r="A166" s="127" t="s">
        <v>270</v>
      </c>
      <c r="B166" s="127"/>
      <c r="C166" s="127"/>
      <c r="D166" s="126" t="s">
        <v>287</v>
      </c>
      <c r="E166" s="126"/>
      <c r="F166" s="126"/>
      <c r="G166" s="126"/>
      <c r="H166" s="126"/>
      <c r="I166" s="126"/>
      <c r="J166" s="126" t="s">
        <v>288</v>
      </c>
      <c r="K166" s="126"/>
      <c r="L166" s="126"/>
      <c r="M166" s="126"/>
      <c r="N166" s="126"/>
      <c r="O166" s="126"/>
    </row>
    <row r="167" spans="1:15" ht="16.5">
      <c r="A167" s="50"/>
    </row>
    <row r="168" spans="1:15" ht="26.25">
      <c r="A168" s="13" t="s">
        <v>350</v>
      </c>
    </row>
    <row r="169" spans="1:15" ht="20.25" outlineLevel="1">
      <c r="A169" s="12" t="s">
        <v>107</v>
      </c>
    </row>
    <row r="170" spans="1:15" ht="20.25" outlineLevel="1">
      <c r="A170" s="61" t="s">
        <v>105</v>
      </c>
    </row>
    <row r="171" spans="1:15" ht="20.25" outlineLevel="1">
      <c r="A171" s="61" t="s">
        <v>104</v>
      </c>
    </row>
    <row r="172" spans="1:15" ht="20.25" outlineLevel="1">
      <c r="A172" s="61" t="s">
        <v>106</v>
      </c>
    </row>
    <row r="173" spans="1:15" ht="20.25" outlineLevel="1">
      <c r="A173" s="61" t="s">
        <v>140</v>
      </c>
    </row>
    <row r="174" spans="1:15" ht="20.25" outlineLevel="1">
      <c r="A174" s="61" t="s">
        <v>93</v>
      </c>
    </row>
    <row r="175" spans="1:15" ht="20.25" outlineLevel="1">
      <c r="A175" s="61" t="s">
        <v>359</v>
      </c>
    </row>
    <row r="176" spans="1:15" ht="20.25" outlineLevel="1">
      <c r="A176" s="61" t="s">
        <v>473</v>
      </c>
    </row>
    <row r="177" spans="1:1" ht="16.5" outlineLevel="1">
      <c r="A177" s="50"/>
    </row>
    <row r="178" spans="1:1" ht="20.25" outlineLevel="1">
      <c r="A178" s="12" t="s">
        <v>139</v>
      </c>
    </row>
    <row r="179" spans="1:1" ht="20.25" outlineLevel="1">
      <c r="A179" s="61" t="s">
        <v>366</v>
      </c>
    </row>
    <row r="180" spans="1:1" ht="16.5">
      <c r="A180" s="50"/>
    </row>
    <row r="181" spans="1:1" ht="26.25">
      <c r="A181" s="13" t="s">
        <v>348</v>
      </c>
    </row>
    <row r="182" spans="1:1" ht="20.25" outlineLevel="1">
      <c r="A182" s="61" t="s">
        <v>344</v>
      </c>
    </row>
    <row r="183" spans="1:1" ht="20.25" outlineLevel="1">
      <c r="A183" s="61" t="s">
        <v>345</v>
      </c>
    </row>
    <row r="184" spans="1:1" ht="20.25" outlineLevel="1">
      <c r="A184" s="61" t="s">
        <v>346</v>
      </c>
    </row>
    <row r="185" spans="1:1" ht="20.25" outlineLevel="1">
      <c r="A185" s="61" t="s">
        <v>347</v>
      </c>
    </row>
    <row r="186" spans="1:1" ht="20.25" outlineLevel="1">
      <c r="A186" s="61" t="s">
        <v>349</v>
      </c>
    </row>
    <row r="199" spans="13:13" ht="17.25">
      <c r="M199" s="9"/>
    </row>
    <row r="200" spans="13:13" ht="17.25">
      <c r="M200" s="9"/>
    </row>
    <row r="201" spans="13:13" ht="17.25">
      <c r="M201" s="9"/>
    </row>
    <row r="202" spans="13:13" ht="17.25">
      <c r="M202" s="9"/>
    </row>
    <row r="203" spans="13:13" ht="17.25">
      <c r="M203" s="9"/>
    </row>
    <row r="204" spans="13:13" ht="17.25">
      <c r="M204" s="9"/>
    </row>
    <row r="205" spans="13:13" ht="17.25">
      <c r="M205" s="9"/>
    </row>
    <row r="206" spans="13:13" ht="17.25">
      <c r="M206" s="9"/>
    </row>
    <row r="207" spans="13:13" ht="17.25">
      <c r="M207" s="9"/>
    </row>
    <row r="208" spans="13:13" ht="17.25">
      <c r="M208" s="9"/>
    </row>
    <row r="209" spans="13:13" ht="17.25">
      <c r="M209" s="9"/>
    </row>
    <row r="210" spans="13:13" ht="17.25">
      <c r="M210" s="9"/>
    </row>
    <row r="211" spans="13:13" ht="17.25">
      <c r="M211" s="9"/>
    </row>
    <row r="212" spans="13:13" ht="17.25">
      <c r="M212" s="9"/>
    </row>
    <row r="213" spans="13:13" ht="17.25">
      <c r="M213" s="9"/>
    </row>
    <row r="214" spans="13:13" ht="17.25">
      <c r="M214" s="9"/>
    </row>
    <row r="215" spans="13:13" ht="17.25">
      <c r="M215" s="9"/>
    </row>
    <row r="216" spans="13:13" ht="17.25">
      <c r="M216" s="9"/>
    </row>
    <row r="217" spans="13:13" ht="17.25">
      <c r="M217" s="9"/>
    </row>
    <row r="218" spans="13:13" ht="17.25">
      <c r="M218" s="9"/>
    </row>
    <row r="219" spans="13:13" ht="17.25">
      <c r="M219" s="9"/>
    </row>
    <row r="220" spans="13:13" ht="17.25">
      <c r="M220" s="9"/>
    </row>
    <row r="221" spans="13:13" ht="17.25">
      <c r="M221" s="9"/>
    </row>
    <row r="222" spans="13:13" ht="17.25">
      <c r="M222" s="9"/>
    </row>
    <row r="223" spans="13:13" ht="17.25">
      <c r="M223" s="9"/>
    </row>
    <row r="224" spans="13:13" ht="17.25">
      <c r="M224" s="9"/>
    </row>
    <row r="225" spans="13:13" ht="17.25">
      <c r="M225" s="9"/>
    </row>
    <row r="226" spans="13:13" ht="17.25">
      <c r="M226" s="9"/>
    </row>
    <row r="227" spans="13:13" ht="17.25">
      <c r="M227" s="9"/>
    </row>
    <row r="228" spans="13:13" ht="17.25">
      <c r="M228" s="9"/>
    </row>
    <row r="229" spans="13:13" ht="17.25">
      <c r="M229" s="9"/>
    </row>
    <row r="230" spans="13:13" ht="17.25">
      <c r="M230" s="9"/>
    </row>
  </sheetData>
  <mergeCells count="86">
    <mergeCell ref="B77:L77"/>
    <mergeCell ref="B78:L78"/>
    <mergeCell ref="B79:L79"/>
    <mergeCell ref="B65:L65"/>
    <mergeCell ref="B66:L66"/>
    <mergeCell ref="B67:L67"/>
    <mergeCell ref="B68:L68"/>
    <mergeCell ref="B69:L69"/>
    <mergeCell ref="J166:O166"/>
    <mergeCell ref="J165:O165"/>
    <mergeCell ref="J160:O160"/>
    <mergeCell ref="D160:I160"/>
    <mergeCell ref="A160:C160"/>
    <mergeCell ref="A164:C164"/>
    <mergeCell ref="J163:O163"/>
    <mergeCell ref="J164:O164"/>
    <mergeCell ref="J162:O162"/>
    <mergeCell ref="J161:O161"/>
    <mergeCell ref="A162:C162"/>
    <mergeCell ref="D161:I161"/>
    <mergeCell ref="D163:I163"/>
    <mergeCell ref="B70:L70"/>
    <mergeCell ref="C119:G125"/>
    <mergeCell ref="C138:H156"/>
    <mergeCell ref="B88:L88"/>
    <mergeCell ref="B87:L87"/>
    <mergeCell ref="B80:L80"/>
    <mergeCell ref="B86:L86"/>
    <mergeCell ref="B89:L89"/>
    <mergeCell ref="B90:L90"/>
    <mergeCell ref="B91:L91"/>
    <mergeCell ref="B75:L75"/>
    <mergeCell ref="B76:L76"/>
    <mergeCell ref="D164:I164"/>
    <mergeCell ref="D165:I165"/>
    <mergeCell ref="D166:I166"/>
    <mergeCell ref="A163:C163"/>
    <mergeCell ref="A161:C161"/>
    <mergeCell ref="D162:I162"/>
    <mergeCell ref="A166:C166"/>
    <mergeCell ref="A165:C165"/>
    <mergeCell ref="A112:O112"/>
    <mergeCell ref="A113:O113"/>
    <mergeCell ref="A114:O114"/>
    <mergeCell ref="A115:O115"/>
    <mergeCell ref="A116:O116"/>
    <mergeCell ref="A117:O117"/>
    <mergeCell ref="A11:C11"/>
    <mergeCell ref="D11:O11"/>
    <mergeCell ref="A12:C12"/>
    <mergeCell ref="D12:O12"/>
    <mergeCell ref="A18:O18"/>
    <mergeCell ref="A111:O111"/>
    <mergeCell ref="A60:O60"/>
    <mergeCell ref="B37:G37"/>
    <mergeCell ref="B43:G43"/>
    <mergeCell ref="A27:O27"/>
    <mergeCell ref="A24:C24"/>
    <mergeCell ref="D24:O24"/>
    <mergeCell ref="A28:O28"/>
    <mergeCell ref="B32:G32"/>
    <mergeCell ref="A23:C23"/>
    <mergeCell ref="A137:O137"/>
    <mergeCell ref="A135:O135"/>
    <mergeCell ref="A136:O136"/>
    <mergeCell ref="A133:O133"/>
    <mergeCell ref="A134:O134"/>
    <mergeCell ref="A131:O131"/>
    <mergeCell ref="A132:O132"/>
    <mergeCell ref="A129:O129"/>
    <mergeCell ref="A130:O130"/>
    <mergeCell ref="A118:O118"/>
    <mergeCell ref="A4:O4"/>
    <mergeCell ref="A15:O15"/>
    <mergeCell ref="D23:O23"/>
    <mergeCell ref="A16:O16"/>
    <mergeCell ref="A21:C21"/>
    <mergeCell ref="D21:O21"/>
    <mergeCell ref="A22:C22"/>
    <mergeCell ref="D22:O22"/>
    <mergeCell ref="A8:C8"/>
    <mergeCell ref="D8:O8"/>
    <mergeCell ref="A9:C9"/>
    <mergeCell ref="D9:O9"/>
    <mergeCell ref="A10:C10"/>
    <mergeCell ref="D10:O10"/>
  </mergeCells>
  <hyperlinks>
    <hyperlink ref="A170" location="Examples!L5" display="Calculate the range" xr:uid="{88EB8CD1-1D24-4A03-88FB-03A518D31F4D}"/>
    <hyperlink ref="A171" location="Examples!L19" display="Calculate the relative standard deviation" xr:uid="{709D838F-D734-4F84-B69F-2AA9D60C7AC4}"/>
    <hyperlink ref="A172" location="Examples!L43" display="Calculate the interquartile range" xr:uid="{C4C90336-8F34-4296-8BE4-B9846957BEB2}"/>
    <hyperlink ref="A173" location="Examples!L67" display="Calculate the standard error of mean" xr:uid="{0E202265-BA6D-4952-BB34-8B3673C176B1}"/>
    <hyperlink ref="A174" location="Examples!P91" display="Calculate the z-score of each element in a dataset" xr:uid="{9AB6DE73-6155-4880-A341-425A61B2A9FD}"/>
    <hyperlink ref="A179" location="Examples!N195" display="[Moderate] Solve for the uknown using dilution equation" xr:uid="{EB77024A-066F-41C0-AAE5-2F1478CE9828}"/>
    <hyperlink ref="A182" r:id="rId1" display="Microsoft Resources" xr:uid="{DF528194-6533-45DA-9A1D-4E226D0658B9}"/>
    <hyperlink ref="A183" r:id="rId2" xr:uid="{9451B5FB-4CCB-41F9-B2C5-E7950065D43B}"/>
    <hyperlink ref="A185" r:id="rId3" xr:uid="{0A4EFB12-7E25-43D9-829D-BF123D620054}"/>
    <hyperlink ref="A184" r:id="rId4" xr:uid="{B30A70D5-5753-4E37-A5AB-0A9C598D18B3}"/>
    <hyperlink ref="A186" r:id="rId5" xr:uid="{06A75961-B316-474C-B0BA-A8353BEE92F2}"/>
    <hyperlink ref="A175" location="Examples!E213" display="[Advanced] Single Formula for a Table of Descriptive Statistics" xr:uid="{4E7508C2-51D0-464B-B6B4-4369A611443F}"/>
    <hyperlink ref="A176" location="Examples!M248" display="[Moderate - Advanced]  LETs Make This Formula Better" xr:uid="{DAA8E00A-9B15-49B6-AC06-4E6F52EF452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BB26-DE54-4137-B899-3AF52569A9E3}">
  <dimension ref="A1:R367"/>
  <sheetViews>
    <sheetView zoomScale="145" zoomScaleNormal="145" workbookViewId="0">
      <pane ySplit="1" topLeftCell="A2" activePane="bottomLeft" state="frozen"/>
      <selection pane="bottomLeft" activeCell="M1" sqref="M1:N1"/>
    </sheetView>
  </sheetViews>
  <sheetFormatPr defaultRowHeight="18.75" outlineLevelRow="1"/>
  <cols>
    <col min="1" max="1" width="9.375" style="6" customWidth="1"/>
    <col min="2" max="2" width="9.875" style="6" customWidth="1"/>
    <col min="3" max="10" width="9" style="6"/>
    <col min="11" max="11" width="10.125" style="6" bestFit="1" customWidth="1"/>
    <col min="12" max="12" width="10.75" style="6" customWidth="1"/>
    <col min="13" max="15" width="10" style="6" bestFit="1" customWidth="1"/>
    <col min="16" max="16" width="9" style="6"/>
    <col min="17" max="17" width="10.125" style="6" bestFit="1" customWidth="1"/>
    <col min="18" max="16384" width="9" style="6"/>
  </cols>
  <sheetData>
    <row r="1" spans="1:15">
      <c r="A1" s="58" t="s">
        <v>326</v>
      </c>
      <c r="B1" s="46"/>
      <c r="C1" s="46"/>
      <c r="D1" s="96" t="s">
        <v>327</v>
      </c>
      <c r="E1" s="97"/>
      <c r="F1" s="59"/>
      <c r="G1" s="98" t="s">
        <v>4</v>
      </c>
      <c r="H1" s="99"/>
      <c r="I1" s="59"/>
      <c r="J1" s="100" t="s">
        <v>3</v>
      </c>
      <c r="K1" s="101"/>
      <c r="L1" s="59"/>
      <c r="M1" s="102" t="s">
        <v>325</v>
      </c>
      <c r="N1" s="103"/>
    </row>
    <row r="2" spans="1:15" ht="20.25">
      <c r="A2" s="12" t="s">
        <v>105</v>
      </c>
    </row>
    <row r="3" spans="1:15" hidden="1" outlineLevel="1">
      <c r="B3" s="27" t="s">
        <v>102</v>
      </c>
      <c r="J3" s="22" t="s">
        <v>4</v>
      </c>
      <c r="L3" s="24" t="s">
        <v>3</v>
      </c>
      <c r="N3" s="36" t="s">
        <v>1</v>
      </c>
    </row>
    <row r="4" spans="1:15" hidden="1" outlineLevel="1">
      <c r="A4" s="15" t="s">
        <v>2</v>
      </c>
      <c r="B4" s="55" t="s">
        <v>7</v>
      </c>
      <c r="D4" s="89" t="s">
        <v>109</v>
      </c>
      <c r="E4" s="89"/>
      <c r="F4" s="89"/>
      <c r="G4" s="89"/>
      <c r="H4" s="89"/>
      <c r="J4" s="23" t="s">
        <v>7</v>
      </c>
      <c r="L4" s="25" t="s">
        <v>7</v>
      </c>
      <c r="N4" s="37" t="s">
        <v>7</v>
      </c>
    </row>
    <row r="5" spans="1:15" hidden="1" outlineLevel="1">
      <c r="A5" s="17">
        <v>2028.0182475332299</v>
      </c>
      <c r="B5" s="32">
        <f>MAX($A$5:$A$14)-MIN($A$5:$A$14)</f>
        <v>1158.862103832884</v>
      </c>
      <c r="D5" s="88" t="s">
        <v>156</v>
      </c>
      <c r="E5" s="88"/>
      <c r="F5" s="88"/>
      <c r="G5" s="88"/>
      <c r="H5" s="88"/>
      <c r="J5" s="20">
        <f>_xlfn.LET(
    _xlpm.data, A5:A14,
    _xlpm.min_val, MIN(_xlpm.data),
    _xlpm.max_val, MAX(_xlpm.data),
    _xlpm.range, _xlpm.max_val - _xlpm.min_val,
    _xlpm.return, _xlpm.range,
    _xlpm.return
)</f>
        <v>1158.862103832884</v>
      </c>
      <c r="L5" s="139" cm="1">
        <f t="array" ref="L5">_xlfn.LAMBDA(_xlpm.data,
    _xlfn.LET(
        _xlpm.min_val, MIN(_xlpm.data),
        _xlpm.max_val, MAX(_xlpm.data),
        _xlpm.range, _xlpm.max_val - _xlpm.min_val,
        _xlpm.return, _xlpm.range,
        _xlpm.return
    )
)(A5:A14)</f>
        <v>1158.862103832884</v>
      </c>
      <c r="N5" s="35" cm="1">
        <f t="array" ref="N5">RANGE(A5:A14)</f>
        <v>1158.862103832884</v>
      </c>
    </row>
    <row r="6" spans="1:15" ht="18.75" hidden="1" customHeight="1" outlineLevel="1">
      <c r="A6" s="17">
        <v>1684.07512373445</v>
      </c>
      <c r="D6" s="88"/>
      <c r="E6" s="88"/>
      <c r="F6" s="88"/>
      <c r="G6" s="88"/>
      <c r="H6" s="88"/>
      <c r="J6" s="138"/>
      <c r="K6" s="70"/>
      <c r="L6" s="138"/>
      <c r="M6" s="70"/>
      <c r="N6" s="138"/>
      <c r="O6" s="132"/>
    </row>
    <row r="7" spans="1:15" ht="18.75" hidden="1" customHeight="1" outlineLevel="1">
      <c r="A7" s="17">
        <v>2682.192876565904</v>
      </c>
      <c r="D7" s="34"/>
      <c r="E7" s="34"/>
      <c r="F7" s="34"/>
      <c r="G7" s="34"/>
      <c r="H7" s="34"/>
      <c r="N7" s="138"/>
    </row>
    <row r="8" spans="1:15" hidden="1" outlineLevel="1">
      <c r="A8" s="17">
        <v>2609.2819714745278</v>
      </c>
      <c r="D8" s="92" t="s">
        <v>89</v>
      </c>
      <c r="E8" s="92"/>
      <c r="F8" s="92"/>
      <c r="G8" s="92"/>
      <c r="H8" s="92"/>
    </row>
    <row r="9" spans="1:15" hidden="1" outlineLevel="1">
      <c r="A9" s="17">
        <v>2396.9667916141302</v>
      </c>
      <c r="D9" s="92" t="s">
        <v>157</v>
      </c>
      <c r="E9" s="92"/>
      <c r="F9" s="92"/>
      <c r="G9" s="92"/>
      <c r="H9" s="92"/>
    </row>
    <row r="10" spans="1:15" hidden="1" outlineLevel="1">
      <c r="A10" s="17">
        <v>1523.33077273302</v>
      </c>
      <c r="D10" s="92" t="s">
        <v>110</v>
      </c>
      <c r="E10" s="92"/>
      <c r="F10" s="92"/>
      <c r="G10" s="92"/>
      <c r="H10" s="92"/>
    </row>
    <row r="11" spans="1:15" hidden="1" outlineLevel="1">
      <c r="A11" s="17">
        <v>1564.8975195861099</v>
      </c>
      <c r="D11" s="92" t="s">
        <v>111</v>
      </c>
      <c r="E11" s="92"/>
      <c r="F11" s="92"/>
      <c r="G11" s="92"/>
      <c r="H11" s="92"/>
    </row>
    <row r="12" spans="1:15" hidden="1" outlineLevel="1">
      <c r="A12" s="17">
        <v>1828.693274835317</v>
      </c>
    </row>
    <row r="13" spans="1:15" hidden="1" outlineLevel="1">
      <c r="A13" s="17">
        <v>2579.9720763798796</v>
      </c>
      <c r="D13" s="19" t="s">
        <v>112</v>
      </c>
      <c r="E13" s="17">
        <f>MIN(A5:A14)</f>
        <v>1523.33077273302</v>
      </c>
    </row>
    <row r="14" spans="1:15" hidden="1" outlineLevel="1">
      <c r="A14" s="17">
        <v>2184.2125647719422</v>
      </c>
      <c r="D14" s="19" t="s">
        <v>113</v>
      </c>
      <c r="E14" s="17">
        <f>MAX(A5:A14)</f>
        <v>2682.192876565904</v>
      </c>
    </row>
    <row r="15" spans="1:15" collapsed="1"/>
    <row r="16" spans="1:15" ht="18.75" customHeight="1">
      <c r="A16" s="12" t="s">
        <v>514</v>
      </c>
    </row>
    <row r="17" spans="1:17" ht="18.75" hidden="1" customHeight="1" outlineLevel="1">
      <c r="B17" s="27" t="s">
        <v>102</v>
      </c>
      <c r="J17" s="22" t="s">
        <v>4</v>
      </c>
      <c r="L17" s="24" t="s">
        <v>3</v>
      </c>
      <c r="N17" s="36" t="s">
        <v>0</v>
      </c>
      <c r="O17" s="38"/>
      <c r="P17" s="36" t="s">
        <v>160</v>
      </c>
    </row>
    <row r="18" spans="1:17" hidden="1" outlineLevel="1">
      <c r="A18" s="15" t="s">
        <v>2</v>
      </c>
      <c r="B18" s="55" t="s">
        <v>0</v>
      </c>
      <c r="D18" s="95" t="s">
        <v>121</v>
      </c>
      <c r="E18" s="95"/>
      <c r="F18" s="95"/>
      <c r="G18" s="95"/>
      <c r="H18" s="95"/>
      <c r="J18" s="23" t="s">
        <v>0</v>
      </c>
      <c r="L18" s="25" t="s">
        <v>0</v>
      </c>
      <c r="N18" s="37" t="s">
        <v>0</v>
      </c>
      <c r="O18" s="38"/>
      <c r="P18" s="62" t="s">
        <v>356</v>
      </c>
    </row>
    <row r="19" spans="1:17" hidden="1" outlineLevel="1">
      <c r="A19" s="17">
        <v>2028.0182475332299</v>
      </c>
      <c r="B19" s="32">
        <f>_xlfn.STDEV.S($A$19:$A$38)/AVERAGE($A$19:$A$38)</f>
        <v>0.18796059054015965</v>
      </c>
      <c r="D19" s="93" t="s">
        <v>114</v>
      </c>
      <c r="E19" s="93"/>
      <c r="F19" s="93"/>
      <c r="G19" s="93"/>
      <c r="H19" s="93"/>
      <c r="J19" s="20">
        <f>_xlfn.LET(
    _xlpm.data, A19:A38,
    _xlpm.avg, AVERAGE(_xlpm.data),
    _xlpm.std_dev, _xlfn.STDEV.S(_xlpm.data),
    _xlpm.rsd, _xlpm.std_dev / _xlpm.avg,
    _xlpm.return, _xlpm.rsd,
    _xlpm.return
)</f>
        <v>0.18796059054015965</v>
      </c>
      <c r="L19" s="21" cm="1">
        <f t="array" ref="L19">_xlfn.LAMBDA(_xlpm.data,
    _xlfn.LET(
        _xlpm.avg, AVERAGE(_xlpm.data),
        _xlpm.std_dev, _xlfn.STDEV.S(_xlpm.data),
        _xlpm.rsd, _xlpm.std_dev / _xlpm.avg,
        _xlpm.return, _xlpm.rsd,
        _xlpm.return
    )
)(A19:A38)</f>
        <v>0.18796059054015965</v>
      </c>
      <c r="N19" s="35" cm="1">
        <f t="array" ref="N19">RSD(A19:A38)</f>
        <v>0.18796059054015965</v>
      </c>
      <c r="P19" s="39" t="str" cm="1">
        <f t="array" ref="P19:Q21">RSD_ADV(A19:A38, TRUE)</f>
        <v>Avg</v>
      </c>
      <c r="Q19" s="17">
        <v>2175.369585134908</v>
      </c>
    </row>
    <row r="20" spans="1:17" ht="18.75" hidden="1" customHeight="1" outlineLevel="1">
      <c r="A20" s="17">
        <v>1684.07512373445</v>
      </c>
      <c r="D20" s="93" t="s">
        <v>115</v>
      </c>
      <c r="E20" s="93"/>
      <c r="F20" s="93"/>
      <c r="G20" s="93"/>
      <c r="H20" s="93"/>
      <c r="J20" s="132"/>
      <c r="L20" s="132"/>
      <c r="N20" s="132"/>
      <c r="P20" s="68" t="str">
        <v>Std</v>
      </c>
      <c r="Q20" s="17">
        <v>408.88375186505942</v>
      </c>
    </row>
    <row r="21" spans="1:17" hidden="1" outlineLevel="1">
      <c r="A21" s="17">
        <v>2682.192876565904</v>
      </c>
      <c r="D21" s="93" t="s">
        <v>116</v>
      </c>
      <c r="E21" s="93"/>
      <c r="F21" s="93"/>
      <c r="G21" s="93"/>
      <c r="H21" s="93"/>
      <c r="P21" s="68" t="str">
        <v>RSD</v>
      </c>
      <c r="Q21" s="17">
        <v>0.18796059054015965</v>
      </c>
    </row>
    <row r="22" spans="1:17" hidden="1" outlineLevel="1">
      <c r="A22" s="17">
        <v>2609.2819714745278</v>
      </c>
      <c r="D22" s="93" t="s">
        <v>117</v>
      </c>
      <c r="E22" s="93"/>
      <c r="F22" s="93"/>
      <c r="G22" s="93"/>
      <c r="H22" s="93"/>
    </row>
    <row r="23" spans="1:17" hidden="1" outlineLevel="1">
      <c r="A23" s="17">
        <v>2396.9667916141302</v>
      </c>
      <c r="D23" s="93" t="s">
        <v>118</v>
      </c>
      <c r="E23" s="93"/>
      <c r="F23" s="93"/>
      <c r="G23" s="93"/>
      <c r="H23" s="93"/>
    </row>
    <row r="24" spans="1:17" hidden="1" outlineLevel="1">
      <c r="A24" s="17">
        <v>1523.33077273302</v>
      </c>
      <c r="D24" s="93" t="s">
        <v>119</v>
      </c>
      <c r="E24" s="93"/>
      <c r="F24" s="93"/>
      <c r="G24" s="93"/>
      <c r="H24" s="93"/>
    </row>
    <row r="25" spans="1:17" hidden="1" outlineLevel="1">
      <c r="A25" s="17">
        <v>1564.8975195861099</v>
      </c>
      <c r="D25" s="93" t="s">
        <v>120</v>
      </c>
      <c r="E25" s="93"/>
      <c r="F25" s="93"/>
      <c r="G25" s="93"/>
      <c r="H25" s="93"/>
    </row>
    <row r="26" spans="1:17" hidden="1" outlineLevel="1">
      <c r="A26" s="17">
        <v>1828.693274835317</v>
      </c>
      <c r="D26" s="34"/>
      <c r="E26" s="34"/>
      <c r="F26" s="34"/>
      <c r="G26" s="34"/>
      <c r="H26" s="34"/>
    </row>
    <row r="27" spans="1:17" hidden="1" outlineLevel="1">
      <c r="A27" s="17">
        <v>2579.9720763798796</v>
      </c>
      <c r="D27" s="89" t="s">
        <v>122</v>
      </c>
      <c r="E27" s="89"/>
      <c r="F27" s="89"/>
      <c r="G27" s="89"/>
      <c r="H27" s="89"/>
      <c r="P27" s="27" t="s">
        <v>324</v>
      </c>
    </row>
    <row r="28" spans="1:17" ht="18.75" hidden="1" customHeight="1" outlineLevel="1">
      <c r="A28" s="17">
        <v>2184.2125647719422</v>
      </c>
      <c r="D28" s="88" t="s">
        <v>164</v>
      </c>
      <c r="E28" s="88"/>
      <c r="F28" s="88"/>
      <c r="G28" s="88"/>
      <c r="H28" s="88"/>
      <c r="P28" s="28" t="s">
        <v>173</v>
      </c>
    </row>
    <row r="29" spans="1:17" ht="18.75" hidden="1" customHeight="1" outlineLevel="1">
      <c r="A29" s="17">
        <v>2343.289913321687</v>
      </c>
      <c r="D29" s="88"/>
      <c r="E29" s="88"/>
      <c r="F29" s="88"/>
      <c r="G29" s="88"/>
      <c r="H29" s="88"/>
      <c r="O29" s="26" t="s">
        <v>172</v>
      </c>
      <c r="P29" s="69" t="b">
        <v>1</v>
      </c>
    </row>
    <row r="30" spans="1:17" hidden="1" outlineLevel="1">
      <c r="A30" s="17">
        <v>2705.91363016888</v>
      </c>
      <c r="D30" s="34"/>
      <c r="E30" s="34"/>
      <c r="F30" s="34"/>
      <c r="G30" s="34"/>
      <c r="H30" s="34"/>
      <c r="P30" s="33" t="str" cm="1">
        <f t="array" ref="P30:Q32">IF($P$29,
    _xlfn.HSTACK({"Avg";"Std";"RSD"},
           _xlfn.VSTACK(AVERAGE($A$19:$A$38),
                  _xlfn.STDEV.S($A$19:$A$38),
                  _xlfn.STDEV.S($A$19:$A$38)/AVERAGE($A$19:$A$38)
           )
    ),
    _xlfn.STDEV.S($A$19:$A$38)/AVERAGE($A$19:$A$38)
)</f>
        <v>Avg</v>
      </c>
      <c r="Q30" s="17">
        <v>2175.369585134908</v>
      </c>
    </row>
    <row r="31" spans="1:17" hidden="1" outlineLevel="1">
      <c r="A31" s="17">
        <v>2262.7913156237323</v>
      </c>
      <c r="D31" s="92" t="s">
        <v>89</v>
      </c>
      <c r="E31" s="92"/>
      <c r="F31" s="92"/>
      <c r="G31" s="92"/>
      <c r="H31" s="92"/>
      <c r="P31" s="17" t="str">
        <v>Std</v>
      </c>
      <c r="Q31" s="17">
        <v>408.88375186505942</v>
      </c>
    </row>
    <row r="32" spans="1:17" hidden="1" outlineLevel="1">
      <c r="A32" s="17">
        <v>2671.2431888853894</v>
      </c>
      <c r="D32" s="92" t="s">
        <v>123</v>
      </c>
      <c r="E32" s="92"/>
      <c r="F32" s="92"/>
      <c r="G32" s="92"/>
      <c r="H32" s="92"/>
      <c r="P32" s="17" t="str">
        <v>RSD</v>
      </c>
      <c r="Q32" s="17">
        <v>0.18796059054015965</v>
      </c>
    </row>
    <row r="33" spans="1:14" hidden="1" outlineLevel="1">
      <c r="A33" s="17">
        <v>1524.1826948845828</v>
      </c>
      <c r="D33" s="92" t="s">
        <v>165</v>
      </c>
      <c r="E33" s="92"/>
      <c r="F33" s="92"/>
      <c r="G33" s="92"/>
      <c r="H33" s="92"/>
    </row>
    <row r="34" spans="1:14" hidden="1" outlineLevel="1">
      <c r="A34" s="17">
        <v>1900.4440038869452</v>
      </c>
      <c r="D34" s="92" t="s">
        <v>166</v>
      </c>
      <c r="E34" s="92"/>
      <c r="F34" s="92"/>
      <c r="G34" s="92"/>
      <c r="H34" s="92"/>
    </row>
    <row r="35" spans="1:14" hidden="1" outlineLevel="1">
      <c r="A35" s="17">
        <v>1984.0815718042713</v>
      </c>
    </row>
    <row r="36" spans="1:14" hidden="1" outlineLevel="1">
      <c r="A36" s="17">
        <v>2395.8282841212472</v>
      </c>
    </row>
    <row r="37" spans="1:14" hidden="1" outlineLevel="1">
      <c r="A37" s="17">
        <v>2591.1245629295772</v>
      </c>
      <c r="D37" s="19" t="s">
        <v>5</v>
      </c>
      <c r="E37" s="17">
        <f>AVERAGE(A19:A38)</f>
        <v>2175.369585134908</v>
      </c>
    </row>
    <row r="38" spans="1:14" hidden="1" outlineLevel="1">
      <c r="A38" s="17">
        <v>2046.851317843325</v>
      </c>
      <c r="D38" s="19" t="s">
        <v>6</v>
      </c>
      <c r="E38" s="17">
        <f>_xlfn.STDEV.S(A19:A38)</f>
        <v>408.88375186505942</v>
      </c>
    </row>
    <row r="39" spans="1:14" collapsed="1"/>
    <row r="40" spans="1:14" ht="20.25">
      <c r="A40" s="12" t="s">
        <v>106</v>
      </c>
    </row>
    <row r="41" spans="1:14" hidden="1" outlineLevel="1">
      <c r="B41" s="27" t="s">
        <v>102</v>
      </c>
      <c r="J41" s="22" t="s">
        <v>4</v>
      </c>
      <c r="L41" s="24" t="s">
        <v>3</v>
      </c>
      <c r="N41" s="36" t="s">
        <v>124</v>
      </c>
    </row>
    <row r="42" spans="1:14" hidden="1" outlineLevel="1">
      <c r="A42" s="15" t="s">
        <v>2</v>
      </c>
      <c r="B42" s="55" t="s">
        <v>124</v>
      </c>
      <c r="D42" s="89" t="s">
        <v>125</v>
      </c>
      <c r="E42" s="89"/>
      <c r="F42" s="89"/>
      <c r="G42" s="89"/>
      <c r="H42" s="89"/>
      <c r="J42" s="23" t="s">
        <v>124</v>
      </c>
      <c r="L42" s="25" t="s">
        <v>124</v>
      </c>
      <c r="N42" s="37" t="s">
        <v>124</v>
      </c>
    </row>
    <row r="43" spans="1:14" hidden="1" outlineLevel="1">
      <c r="A43" s="17">
        <v>2028.0182475332299</v>
      </c>
      <c r="B43" s="32">
        <f>_xlfn.QUARTILE.INC($A$43:$A$62,3)-_xlfn.QUARTILE.INC($A$43:$A$62,1)</f>
        <v>700.25387639326573</v>
      </c>
      <c r="D43" s="93" t="s">
        <v>126</v>
      </c>
      <c r="E43" s="93"/>
      <c r="F43" s="93"/>
      <c r="G43" s="93"/>
      <c r="H43" s="93"/>
      <c r="J43" s="20">
        <f>_xlfn.LET(
    _xlpm.data, A43:A62,
    _xlpm.q_1, _xlfn.QUARTILE.INC(_xlpm.data, 1),
    _xlpm.q_3, _xlfn.QUARTILE.INC(_xlpm.data, 3),
    _xlpm.iqr, _xlpm.q_3 - _xlpm.q_1,
    _xlpm.return, _xlpm.iqr,
    _xlpm.return
)</f>
        <v>700.25387639326573</v>
      </c>
      <c r="L43" s="21" cm="1">
        <f t="array" ref="L43">_xlfn.LAMBDA(_xlpm.data,
    _xlfn.LET(
        _xlpm.q_1, _xlfn.QUARTILE.INC(_xlpm.data, 1),
        _xlpm.q_3, _xlfn.QUARTILE.INC(_xlpm.data, 3),
        _xlpm.iqr, _xlpm.q_3 - _xlpm.q_1,
        _xlpm.return, _xlpm.iqr,
        _xlpm.return
    )
)(A43:A62)</f>
        <v>700.25387639326573</v>
      </c>
      <c r="N43" s="35" cm="1">
        <f t="array" ref="N43">IQR(A43:A62)</f>
        <v>700.25387639326573</v>
      </c>
    </row>
    <row r="44" spans="1:14" hidden="1" outlineLevel="1">
      <c r="A44" s="17">
        <v>1684.07512373445</v>
      </c>
      <c r="D44" s="93" t="s">
        <v>127</v>
      </c>
      <c r="E44" s="93"/>
      <c r="F44" s="93"/>
      <c r="G44" s="93"/>
      <c r="H44" s="93"/>
      <c r="J44" s="132"/>
      <c r="L44" s="132"/>
      <c r="N44" s="132"/>
    </row>
    <row r="45" spans="1:14" hidden="1" outlineLevel="1">
      <c r="A45" s="17">
        <v>2682.192876565904</v>
      </c>
      <c r="D45" s="93" t="s">
        <v>128</v>
      </c>
      <c r="E45" s="93"/>
      <c r="F45" s="93"/>
      <c r="G45" s="93"/>
      <c r="H45" s="93"/>
    </row>
    <row r="46" spans="1:14" hidden="1" outlineLevel="1">
      <c r="A46" s="17">
        <v>2609.2819714745278</v>
      </c>
      <c r="D46" s="93" t="s">
        <v>131</v>
      </c>
      <c r="E46" s="93"/>
      <c r="F46" s="93"/>
      <c r="G46" s="93"/>
      <c r="H46" s="93"/>
    </row>
    <row r="47" spans="1:14" hidden="1" outlineLevel="1">
      <c r="A47" s="17">
        <v>2396.9667916141302</v>
      </c>
      <c r="D47" s="93" t="s">
        <v>132</v>
      </c>
      <c r="E47" s="93"/>
      <c r="F47" s="93"/>
      <c r="G47" s="93"/>
      <c r="H47" s="93"/>
    </row>
    <row r="48" spans="1:14" hidden="1" outlineLevel="1">
      <c r="A48" s="17">
        <v>1523.33077273302</v>
      </c>
      <c r="D48" s="93" t="s">
        <v>129</v>
      </c>
      <c r="E48" s="93"/>
      <c r="F48" s="93"/>
      <c r="G48" s="93"/>
      <c r="H48" s="93"/>
    </row>
    <row r="49" spans="1:8" hidden="1" outlineLevel="1">
      <c r="A49" s="17">
        <v>1564.8975195861099</v>
      </c>
      <c r="D49" s="93" t="s">
        <v>130</v>
      </c>
      <c r="E49" s="93"/>
      <c r="F49" s="93"/>
      <c r="G49" s="93"/>
      <c r="H49" s="93"/>
    </row>
    <row r="50" spans="1:8" hidden="1" outlineLevel="1">
      <c r="A50" s="17">
        <v>1828.693274835317</v>
      </c>
      <c r="D50" s="34"/>
      <c r="E50" s="34"/>
      <c r="F50" s="34"/>
      <c r="G50" s="34"/>
      <c r="H50" s="34"/>
    </row>
    <row r="51" spans="1:8" hidden="1" outlineLevel="1">
      <c r="A51" s="17">
        <v>2579.9720763798796</v>
      </c>
      <c r="D51" s="89" t="s">
        <v>122</v>
      </c>
      <c r="E51" s="89"/>
      <c r="F51" s="89"/>
      <c r="G51" s="89"/>
      <c r="H51" s="89"/>
    </row>
    <row r="52" spans="1:8" hidden="1" outlineLevel="1">
      <c r="A52" s="17">
        <v>2184.2125647719422</v>
      </c>
      <c r="D52" s="88" t="s">
        <v>133</v>
      </c>
      <c r="E52" s="88"/>
      <c r="F52" s="88"/>
      <c r="G52" s="88"/>
      <c r="H52" s="88"/>
    </row>
    <row r="53" spans="1:8" hidden="1" outlineLevel="1">
      <c r="A53" s="17">
        <v>2343.289913321687</v>
      </c>
      <c r="D53" s="88"/>
      <c r="E53" s="88"/>
      <c r="F53" s="88"/>
      <c r="G53" s="88"/>
      <c r="H53" s="88"/>
    </row>
    <row r="54" spans="1:8" hidden="1" outlineLevel="1">
      <c r="A54" s="17">
        <v>2705.91363016888</v>
      </c>
      <c r="D54" s="34"/>
      <c r="E54" s="34"/>
      <c r="F54" s="34"/>
      <c r="G54" s="34"/>
      <c r="H54" s="34"/>
    </row>
    <row r="55" spans="1:8" hidden="1" outlineLevel="1">
      <c r="A55" s="17">
        <v>2262.7913156237323</v>
      </c>
      <c r="D55" s="92" t="s">
        <v>89</v>
      </c>
      <c r="E55" s="92"/>
      <c r="F55" s="92"/>
      <c r="G55" s="92"/>
      <c r="H55" s="92"/>
    </row>
    <row r="56" spans="1:8" hidden="1" outlineLevel="1">
      <c r="A56" s="17">
        <v>2671.2431888853894</v>
      </c>
      <c r="D56" s="92" t="s">
        <v>134</v>
      </c>
      <c r="E56" s="92"/>
      <c r="F56" s="92"/>
      <c r="G56" s="92"/>
      <c r="H56" s="92"/>
    </row>
    <row r="57" spans="1:8" hidden="1" outlineLevel="1">
      <c r="A57" s="17">
        <v>1524.1826948845828</v>
      </c>
      <c r="D57" s="92" t="s">
        <v>135</v>
      </c>
      <c r="E57" s="92"/>
      <c r="F57" s="92"/>
      <c r="G57" s="92"/>
      <c r="H57" s="92"/>
    </row>
    <row r="58" spans="1:8" hidden="1" outlineLevel="1">
      <c r="A58" s="17">
        <v>1900.4440038869452</v>
      </c>
      <c r="D58" s="92" t="s">
        <v>136</v>
      </c>
      <c r="E58" s="92"/>
      <c r="F58" s="92"/>
      <c r="G58" s="92"/>
      <c r="H58" s="92"/>
    </row>
    <row r="59" spans="1:8" hidden="1" outlineLevel="1">
      <c r="A59" s="17">
        <v>1984.0815718042713</v>
      </c>
    </row>
    <row r="60" spans="1:8" hidden="1" outlineLevel="1">
      <c r="A60" s="17">
        <v>2395.8282841212472</v>
      </c>
    </row>
    <row r="61" spans="1:8" hidden="1" outlineLevel="1">
      <c r="A61" s="17">
        <v>2591.1245629295772</v>
      </c>
      <c r="D61" s="19" t="s">
        <v>137</v>
      </c>
      <c r="E61" s="17">
        <f>_xlfn.QUARTILE.INC(A43:A62,1)</f>
        <v>1882.5063216240383</v>
      </c>
    </row>
    <row r="62" spans="1:8" hidden="1" outlineLevel="1">
      <c r="A62" s="17">
        <v>2046.851317843325</v>
      </c>
      <c r="D62" s="19" t="s">
        <v>138</v>
      </c>
      <c r="E62" s="17">
        <f>_xlfn.QUARTILE.INC(A43:A62,3)</f>
        <v>2582.760198017304</v>
      </c>
    </row>
    <row r="63" spans="1:8" collapsed="1"/>
    <row r="64" spans="1:8" ht="20.25">
      <c r="A64" s="12" t="s">
        <v>140</v>
      </c>
    </row>
    <row r="65" spans="1:14" hidden="1" outlineLevel="1">
      <c r="B65" s="27" t="s">
        <v>102</v>
      </c>
      <c r="J65" s="22" t="s">
        <v>4</v>
      </c>
      <c r="L65" s="24" t="s">
        <v>3</v>
      </c>
      <c r="N65" s="36" t="s">
        <v>141</v>
      </c>
    </row>
    <row r="66" spans="1:14" hidden="1" outlineLevel="1">
      <c r="A66" s="15" t="s">
        <v>2</v>
      </c>
      <c r="B66" s="55" t="s">
        <v>141</v>
      </c>
      <c r="D66" s="89" t="s">
        <v>142</v>
      </c>
      <c r="E66" s="89"/>
      <c r="F66" s="89"/>
      <c r="G66" s="89"/>
      <c r="H66" s="89"/>
      <c r="J66" s="23" t="s">
        <v>141</v>
      </c>
      <c r="L66" s="25" t="s">
        <v>141</v>
      </c>
      <c r="N66" s="37" t="s">
        <v>141</v>
      </c>
    </row>
    <row r="67" spans="1:14" hidden="1" outlineLevel="1">
      <c r="A67" s="17">
        <v>2028.0182475332299</v>
      </c>
      <c r="B67" s="32">
        <f>_xlfn.STDEV.S(A67:A86)/SQRT(COUNT(A67:A86))</f>
        <v>91.429186406542925</v>
      </c>
      <c r="D67" s="93" t="s">
        <v>146</v>
      </c>
      <c r="E67" s="93"/>
      <c r="F67" s="93"/>
      <c r="G67" s="93"/>
      <c r="H67" s="93"/>
      <c r="J67" s="20">
        <f>_xlfn.LET(
    _xlpm.data, A67:A86,
    _xlpm.std, _xlfn.STDEV.S(_xlpm.data),
    _xlpm.n, COUNT(_xlpm.data),
    _xlpm.sem, _xlpm.std / SQRT(_xlpm.n),
    _xlpm.return, _xlpm.sem,
    _xlpm.return
)</f>
        <v>91.429186406542925</v>
      </c>
      <c r="L67" s="21" cm="1">
        <f t="array" ref="L67">_xlfn.LAMBDA(_xlpm.data,
    _xlfn.LET(
        _xlpm.std, _xlfn.STDEV.S(_xlpm.data),
        _xlpm.n, COUNT(_xlpm.data),
        _xlpm.sem, _xlpm.std / SQRT(_xlpm.n),
        _xlpm.return, _xlpm.sem,
        _xlpm.return
    )
)(A67:A86)</f>
        <v>91.429186406542925</v>
      </c>
      <c r="N67" s="35" cm="1">
        <f t="array" ref="N67">SEM(A67:A86)</f>
        <v>91.429186406542925</v>
      </c>
    </row>
    <row r="68" spans="1:14" hidden="1" outlineLevel="1">
      <c r="A68" s="17">
        <v>1684.07512373445</v>
      </c>
      <c r="D68" s="93" t="s">
        <v>147</v>
      </c>
      <c r="E68" s="93"/>
      <c r="F68" s="93"/>
      <c r="G68" s="93"/>
      <c r="H68" s="93"/>
      <c r="J68" s="132"/>
      <c r="L68" s="132"/>
      <c r="N68" s="132"/>
    </row>
    <row r="69" spans="1:14" hidden="1" outlineLevel="1">
      <c r="A69" s="17">
        <v>2682.192876565904</v>
      </c>
      <c r="D69" s="93" t="s">
        <v>148</v>
      </c>
      <c r="E69" s="93"/>
      <c r="F69" s="93"/>
      <c r="G69" s="93"/>
      <c r="H69" s="93"/>
    </row>
    <row r="70" spans="1:14" hidden="1" outlineLevel="1">
      <c r="A70" s="17">
        <v>2609.2819714745278</v>
      </c>
      <c r="D70" s="93" t="s">
        <v>149</v>
      </c>
      <c r="E70" s="93"/>
      <c r="F70" s="93"/>
      <c r="G70" s="93"/>
      <c r="H70" s="93"/>
    </row>
    <row r="71" spans="1:14" hidden="1" outlineLevel="1">
      <c r="A71" s="17">
        <v>2396.9667916141302</v>
      </c>
      <c r="D71" s="93" t="s">
        <v>150</v>
      </c>
      <c r="E71" s="93"/>
      <c r="F71" s="93"/>
      <c r="G71" s="93"/>
      <c r="H71" s="93"/>
    </row>
    <row r="72" spans="1:14" hidden="1" outlineLevel="1">
      <c r="A72" s="17">
        <v>1523.33077273302</v>
      </c>
      <c r="D72" s="93" t="s">
        <v>151</v>
      </c>
      <c r="E72" s="93"/>
      <c r="F72" s="93"/>
      <c r="G72" s="93"/>
      <c r="H72" s="93"/>
    </row>
    <row r="73" spans="1:14" hidden="1" outlineLevel="1">
      <c r="A73" s="17">
        <v>1564.8975195861099</v>
      </c>
      <c r="D73" s="93"/>
      <c r="E73" s="93"/>
      <c r="F73" s="93"/>
      <c r="G73" s="93"/>
      <c r="H73" s="93"/>
    </row>
    <row r="74" spans="1:14" hidden="1" outlineLevel="1">
      <c r="A74" s="17">
        <v>1828.693274835317</v>
      </c>
      <c r="D74" s="34"/>
      <c r="E74" s="34"/>
      <c r="F74" s="34"/>
      <c r="G74" s="34"/>
      <c r="H74" s="34"/>
    </row>
    <row r="75" spans="1:14" hidden="1" outlineLevel="1">
      <c r="A75" s="17">
        <v>2579.9720763798796</v>
      </c>
      <c r="D75" s="89" t="s">
        <v>122</v>
      </c>
      <c r="E75" s="89"/>
      <c r="F75" s="89"/>
      <c r="G75" s="89"/>
      <c r="H75" s="89"/>
    </row>
    <row r="76" spans="1:14" hidden="1" outlineLevel="1">
      <c r="A76" s="17">
        <v>2184.2125647719422</v>
      </c>
      <c r="D76" s="88" t="s">
        <v>143</v>
      </c>
      <c r="E76" s="88"/>
      <c r="F76" s="88"/>
      <c r="G76" s="88"/>
      <c r="H76" s="88"/>
    </row>
    <row r="77" spans="1:14" hidden="1" outlineLevel="1">
      <c r="A77" s="17">
        <v>2343.289913321687</v>
      </c>
      <c r="D77" s="88"/>
      <c r="E77" s="88"/>
      <c r="F77" s="88"/>
      <c r="G77" s="88"/>
      <c r="H77" s="88"/>
    </row>
    <row r="78" spans="1:14" hidden="1" outlineLevel="1">
      <c r="A78" s="17">
        <v>2705.91363016888</v>
      </c>
      <c r="D78" s="34"/>
      <c r="E78" s="34"/>
      <c r="F78" s="34"/>
      <c r="G78" s="34"/>
      <c r="H78" s="34"/>
    </row>
    <row r="79" spans="1:14" hidden="1" outlineLevel="1">
      <c r="A79" s="17">
        <v>2262.7913156237323</v>
      </c>
      <c r="D79" s="92" t="s">
        <v>89</v>
      </c>
      <c r="E79" s="92"/>
      <c r="F79" s="92"/>
      <c r="G79" s="92"/>
      <c r="H79" s="92"/>
    </row>
    <row r="80" spans="1:14" hidden="1" outlineLevel="1">
      <c r="A80" s="17">
        <v>2671.2431888853894</v>
      </c>
      <c r="D80" s="92" t="s">
        <v>152</v>
      </c>
      <c r="E80" s="92"/>
      <c r="F80" s="92"/>
      <c r="G80" s="92"/>
      <c r="H80" s="92"/>
    </row>
    <row r="81" spans="1:18" hidden="1" outlineLevel="1">
      <c r="A81" s="17">
        <v>1524.1826948845828</v>
      </c>
      <c r="D81" s="92" t="s">
        <v>153</v>
      </c>
      <c r="E81" s="92"/>
      <c r="F81" s="92"/>
      <c r="G81" s="92"/>
      <c r="H81" s="92"/>
    </row>
    <row r="82" spans="1:18" hidden="1" outlineLevel="1">
      <c r="A82" s="17">
        <v>1900.4440038869452</v>
      </c>
      <c r="D82" s="92" t="s">
        <v>154</v>
      </c>
      <c r="E82" s="92"/>
      <c r="F82" s="92"/>
      <c r="G82" s="92"/>
      <c r="H82" s="92"/>
    </row>
    <row r="83" spans="1:18" hidden="1" outlineLevel="1">
      <c r="A83" s="17">
        <v>1984.0815718042713</v>
      </c>
    </row>
    <row r="84" spans="1:18" hidden="1" outlineLevel="1">
      <c r="A84" s="17">
        <v>2395.8282841212472</v>
      </c>
    </row>
    <row r="85" spans="1:18" hidden="1" outlineLevel="1">
      <c r="A85" s="17">
        <v>2591.1245629295772</v>
      </c>
      <c r="D85" s="19" t="s">
        <v>144</v>
      </c>
      <c r="E85" s="17">
        <f>_xlfn.STDEV.S(A67:A86)</f>
        <v>408.88375186505942</v>
      </c>
    </row>
    <row r="86" spans="1:18" hidden="1" outlineLevel="1">
      <c r="A86" s="17">
        <v>2046.851317843325</v>
      </c>
      <c r="D86" s="19" t="s">
        <v>145</v>
      </c>
      <c r="E86" s="17">
        <f>COUNT(A67:A86)</f>
        <v>20</v>
      </c>
    </row>
    <row r="87" spans="1:18" collapsed="1"/>
    <row r="88" spans="1:18" ht="20.25">
      <c r="A88" s="12" t="s">
        <v>93</v>
      </c>
      <c r="L88" s="18"/>
    </row>
    <row r="89" spans="1:18" hidden="1" outlineLevel="1">
      <c r="B89" s="27" t="s">
        <v>102</v>
      </c>
      <c r="J89" s="22" t="s">
        <v>4</v>
      </c>
      <c r="L89" s="22" t="s">
        <v>328</v>
      </c>
      <c r="N89" s="22" t="s">
        <v>103</v>
      </c>
      <c r="P89" s="24" t="s">
        <v>3</v>
      </c>
      <c r="R89" s="36" t="s">
        <v>507</v>
      </c>
    </row>
    <row r="90" spans="1:18" hidden="1" outlineLevel="1">
      <c r="A90" s="15" t="s">
        <v>2</v>
      </c>
      <c r="B90" s="55" t="s">
        <v>92</v>
      </c>
      <c r="D90" s="89" t="s">
        <v>100</v>
      </c>
      <c r="E90" s="89"/>
      <c r="F90" s="89"/>
      <c r="G90" s="89"/>
      <c r="H90" s="89"/>
      <c r="J90" s="23" t="s">
        <v>92</v>
      </c>
      <c r="L90" s="23" t="s">
        <v>92</v>
      </c>
      <c r="N90" s="23" t="s">
        <v>92</v>
      </c>
      <c r="P90" s="25" t="s">
        <v>92</v>
      </c>
      <c r="R90" s="37" t="s">
        <v>92</v>
      </c>
    </row>
    <row r="91" spans="1:18" hidden="1" outlineLevel="1">
      <c r="A91" s="17">
        <v>2028.0182475332299</v>
      </c>
      <c r="B91" s="32">
        <f>($A91-AVERAGE($A$91:$A$110))/_xlfn.STDEV.S($A$91:$A$110)</f>
        <v>-0.36037464665582325</v>
      </c>
      <c r="D91" s="94" t="s">
        <v>94</v>
      </c>
      <c r="E91" s="94"/>
      <c r="F91" s="94"/>
      <c r="G91" s="94"/>
      <c r="H91" s="94"/>
      <c r="J91" s="20">
        <f>_xlfn.LET(
    _xlpm.data, $A$91:$A$110,
    _xlpm.x, $A91,
    _xlpm.avg, AVERAGE(_xlpm.data),
    _xlpm.std, _xlfn.STDEV.S(_xlpm.data),
    _xlpm.zscore, (_xlpm.x - _xlpm.avg) / _xlpm.std,
    _xlpm.return, _xlpm.zscore,
    _xlpm.return
)</f>
        <v>-0.36037464665582325</v>
      </c>
      <c r="K91" s="74"/>
      <c r="L91" s="20">
        <f>_xlfn.LET(
    _xlpm.x, $A91,
    _xlpm.avg, $E$109,
    _xlpm.std, $E$110,
    _xlpm.zscore, (_xlpm.x - _xlpm.avg) / _xlpm.std,
    _xlpm.return, _xlpm.zscore,
    _xlpm.return
)</f>
        <v>-0.36037464665582325</v>
      </c>
      <c r="M91" s="74"/>
      <c r="N91" s="20" cm="1">
        <f t="array" ref="N91:N110">_xlfn.LET(
    _xlpm.data, $A$91:$A$110,
    _xlpm.avg, AVERAGE(_xlpm.data),
    _xlpm.std, _xlfn.STDEV.S(_xlpm.data),
    _xlpm.zscore, (_xlpm.data - _xlpm.avg) / _xlpm.std,
    _xlpm.return, _xlpm.zscore,
    _xlpm.return
)</f>
        <v>-0.36037464665582325</v>
      </c>
      <c r="O91" s="74"/>
      <c r="P91" s="21" cm="1">
        <f t="array" ref="P91:P110">_xlfn.LAMBDA(_xlpm.data,
    _xlfn.LET(_xlpm.avg, AVERAGE(_xlpm.data),
        _xlpm.std, _xlfn.STDEV.S(_xlpm.data),
        _xlpm.zscore, (_xlpm.data - _xlpm.avg) / _xlpm.std,
        _xlpm.return, _xlpm.zscore,
        _xlpm.return
    )
)(A91:A110)</f>
        <v>-0.36037464665582325</v>
      </c>
      <c r="Q91" s="74"/>
      <c r="R91" s="35" cm="1">
        <f t="array" ref="R91:R110">ZSCORE(A91:A110)</f>
        <v>-0.36037464665582325</v>
      </c>
    </row>
    <row r="92" spans="1:18" hidden="1" outlineLevel="1">
      <c r="A92" s="17">
        <v>1684.07512373445</v>
      </c>
      <c r="B92" s="32">
        <f t="shared" ref="B92:B110" si="0">($A92-AVERAGE($A$91:$A$110))/_xlfn.STDEV.S($A$91:$A$110)</f>
        <v>-1.2015504630827099</v>
      </c>
      <c r="D92" s="94" t="s">
        <v>505</v>
      </c>
      <c r="E92" s="94"/>
      <c r="F92" s="94"/>
      <c r="G92" s="94"/>
      <c r="H92" s="94"/>
      <c r="J92" s="20">
        <f t="shared" ref="J92:J110" si="1">_xlfn.LET(
    _xlpm.data, $A$91:$A$110,
    _xlpm.x, $A92,
    _xlpm.avg, AVERAGE(_xlpm.data),
    _xlpm.std, _xlfn.STDEV.S(_xlpm.data),
    _xlpm.zscore, (_xlpm.x - _xlpm.avg) / _xlpm.std,
    _xlpm.return, _xlpm.zscore,
    _xlpm.return
)</f>
        <v>-1.2015504630827099</v>
      </c>
      <c r="K92" s="74"/>
      <c r="L92" s="20">
        <f t="shared" ref="L92:L110" si="2">_xlfn.LET(
    _xlpm.x, $A92,
    _xlpm.avg, $E$109,
    _xlpm.std, $E$110,
    _xlpm.zscore, (_xlpm.x - _xlpm.avg) / _xlpm.std,
    _xlpm.return, _xlpm.zscore,
    _xlpm.return
)</f>
        <v>-1.2015504630827099</v>
      </c>
      <c r="M92" s="74"/>
      <c r="N92" s="17">
        <v>-1.2015504630827099</v>
      </c>
      <c r="O92" s="74"/>
      <c r="P92" s="17">
        <v>-1.2015504630827099</v>
      </c>
      <c r="Q92" s="74"/>
      <c r="R92" s="17">
        <v>-1.2015504630827099</v>
      </c>
    </row>
    <row r="93" spans="1:18" hidden="1" outlineLevel="1">
      <c r="A93" s="17">
        <v>2682.192876565904</v>
      </c>
      <c r="B93" s="32">
        <f t="shared" si="0"/>
        <v>1.2395290571444835</v>
      </c>
      <c r="D93" s="94" t="s">
        <v>95</v>
      </c>
      <c r="E93" s="94"/>
      <c r="F93" s="94"/>
      <c r="G93" s="94"/>
      <c r="H93" s="94"/>
      <c r="J93" s="20">
        <f t="shared" si="1"/>
        <v>1.2395290571444835</v>
      </c>
      <c r="K93" s="74"/>
      <c r="L93" s="20">
        <f t="shared" si="2"/>
        <v>1.2395290571444835</v>
      </c>
      <c r="M93" s="74"/>
      <c r="N93" s="17">
        <v>1.2395290571444835</v>
      </c>
      <c r="O93" s="74"/>
      <c r="P93" s="17">
        <v>1.2395290571444835</v>
      </c>
      <c r="Q93" s="74"/>
      <c r="R93" s="17">
        <v>1.2395290571444835</v>
      </c>
    </row>
    <row r="94" spans="1:18" hidden="1" outlineLevel="1">
      <c r="A94" s="17">
        <v>2609.2819714745278</v>
      </c>
      <c r="B94" s="32">
        <f t="shared" si="0"/>
        <v>1.0612121033433004</v>
      </c>
      <c r="D94" s="94" t="s">
        <v>96</v>
      </c>
      <c r="E94" s="94"/>
      <c r="F94" s="94"/>
      <c r="G94" s="94"/>
      <c r="H94" s="94"/>
      <c r="J94" s="20">
        <f t="shared" si="1"/>
        <v>1.0612121033433004</v>
      </c>
      <c r="K94" s="74"/>
      <c r="L94" s="20">
        <f t="shared" si="2"/>
        <v>1.0612121033433004</v>
      </c>
      <c r="M94" s="74"/>
      <c r="N94" s="17">
        <v>1.0612121033433004</v>
      </c>
      <c r="O94" s="74"/>
      <c r="P94" s="17">
        <v>1.0612121033433004</v>
      </c>
      <c r="Q94" s="74"/>
      <c r="R94" s="17">
        <v>1.0612121033433004</v>
      </c>
    </row>
    <row r="95" spans="1:18" hidden="1" outlineLevel="1">
      <c r="A95" s="17">
        <v>2396.9667916141302</v>
      </c>
      <c r="B95" s="32">
        <f t="shared" si="0"/>
        <v>0.54195649856087735</v>
      </c>
      <c r="D95" s="94" t="s">
        <v>97</v>
      </c>
      <c r="E95" s="94"/>
      <c r="F95" s="94"/>
      <c r="G95" s="94"/>
      <c r="H95" s="94"/>
      <c r="J95" s="20">
        <f t="shared" si="1"/>
        <v>0.54195649856087735</v>
      </c>
      <c r="K95" s="74"/>
      <c r="L95" s="20">
        <f>_xlfn.LET(
    _xlpm.x, $A95,
    _xlpm.avg, $E$109,
    _xlpm.std, $E$110,
    _xlpm.zscore, (_xlpm.x - _xlpm.avg) / _xlpm.std,
    _xlpm.return, _xlpm.zscore,
    _xlpm.return
)</f>
        <v>0.54195649856087735</v>
      </c>
      <c r="M95" s="74"/>
      <c r="N95" s="17">
        <v>0.54195649856087735</v>
      </c>
      <c r="O95" s="74"/>
      <c r="P95" s="17">
        <v>0.54195649856087735</v>
      </c>
      <c r="Q95" s="74"/>
      <c r="R95" s="17">
        <v>0.54195649856087735</v>
      </c>
    </row>
    <row r="96" spans="1:18" hidden="1" outlineLevel="1">
      <c r="A96" s="17">
        <v>1523.33077273302</v>
      </c>
      <c r="B96" s="32">
        <f t="shared" si="0"/>
        <v>-1.594680173588984</v>
      </c>
      <c r="D96" s="94" t="s">
        <v>98</v>
      </c>
      <c r="E96" s="94"/>
      <c r="F96" s="94"/>
      <c r="G96" s="94"/>
      <c r="H96" s="94"/>
      <c r="J96" s="20">
        <f t="shared" si="1"/>
        <v>-1.594680173588984</v>
      </c>
      <c r="K96" s="74"/>
      <c r="L96" s="20">
        <f>_xlfn.LET(
    _xlpm.x, $A96,
    _xlpm.avg, $E$109,
    _xlpm.std, $E$110,
    _xlpm.zscore, (_xlpm.x - _xlpm.avg) / _xlpm.std,
    _xlpm.return, _xlpm.zscore,
    _xlpm.return
)</f>
        <v>-1.594680173588984</v>
      </c>
      <c r="M96" s="74"/>
      <c r="N96" s="17">
        <v>-1.594680173588984</v>
      </c>
      <c r="O96" s="74"/>
      <c r="P96" s="17">
        <v>-1.594680173588984</v>
      </c>
      <c r="Q96" s="74"/>
      <c r="R96" s="17">
        <v>-1.594680173588984</v>
      </c>
    </row>
    <row r="97" spans="1:18" hidden="1" outlineLevel="1">
      <c r="A97" s="17">
        <v>1564.8975195861099</v>
      </c>
      <c r="B97" s="32">
        <f t="shared" si="0"/>
        <v>-1.4930210916042153</v>
      </c>
      <c r="D97" s="94" t="s">
        <v>99</v>
      </c>
      <c r="E97" s="94"/>
      <c r="F97" s="94"/>
      <c r="G97" s="94"/>
      <c r="H97" s="94"/>
      <c r="J97" s="20">
        <f t="shared" si="1"/>
        <v>-1.4930210916042153</v>
      </c>
      <c r="K97" s="74"/>
      <c r="L97" s="20">
        <f t="shared" si="2"/>
        <v>-1.4930210916042153</v>
      </c>
      <c r="M97" s="74"/>
      <c r="N97" s="17">
        <v>-1.4930210916042153</v>
      </c>
      <c r="O97" s="74"/>
      <c r="P97" s="17">
        <v>-1.4930210916042153</v>
      </c>
      <c r="Q97" s="74"/>
      <c r="R97" s="17">
        <v>-1.4930210916042153</v>
      </c>
    </row>
    <row r="98" spans="1:18" hidden="1" outlineLevel="1">
      <c r="A98" s="17">
        <v>1828.693274835317</v>
      </c>
      <c r="B98" s="32">
        <f t="shared" si="0"/>
        <v>-0.84786032391426935</v>
      </c>
      <c r="D98" s="34"/>
      <c r="E98" s="34"/>
      <c r="F98" s="34"/>
      <c r="G98" s="34"/>
      <c r="H98" s="34"/>
      <c r="J98" s="20">
        <f t="shared" si="1"/>
        <v>-0.84786032391426935</v>
      </c>
      <c r="K98" s="74"/>
      <c r="L98" s="20">
        <f>_xlfn.LET(
    _xlpm.x, $A98,
    _xlpm.avg, $E$109,
    _xlpm.std, $E$110,
    _xlpm.zscore, (_xlpm.x - _xlpm.avg) / _xlpm.std,
    _xlpm.return, _xlpm.zscore,
    _xlpm.return
)</f>
        <v>-0.84786032391426935</v>
      </c>
      <c r="M98" s="74"/>
      <c r="N98" s="17">
        <v>-0.84786032391426935</v>
      </c>
      <c r="O98" s="74"/>
      <c r="P98" s="17">
        <v>-0.84786032391426935</v>
      </c>
      <c r="Q98" s="74"/>
      <c r="R98" s="17">
        <v>-0.84786032391426935</v>
      </c>
    </row>
    <row r="99" spans="1:18" hidden="1" outlineLevel="1">
      <c r="A99" s="17">
        <v>2579.9720763798796</v>
      </c>
      <c r="B99" s="32">
        <f t="shared" si="0"/>
        <v>0.9895293941112614</v>
      </c>
      <c r="D99" s="89" t="s">
        <v>101</v>
      </c>
      <c r="E99" s="89"/>
      <c r="F99" s="89"/>
      <c r="G99" s="89"/>
      <c r="H99" s="89"/>
      <c r="J99" s="20">
        <f t="shared" si="1"/>
        <v>0.9895293941112614</v>
      </c>
      <c r="K99" s="74"/>
      <c r="L99" s="20">
        <f t="shared" si="2"/>
        <v>0.9895293941112614</v>
      </c>
      <c r="M99" s="74"/>
      <c r="N99" s="17">
        <v>0.9895293941112614</v>
      </c>
      <c r="O99" s="74"/>
      <c r="P99" s="17">
        <v>0.9895293941112614</v>
      </c>
      <c r="Q99" s="74"/>
      <c r="R99" s="17">
        <v>0.9895293941112614</v>
      </c>
    </row>
    <row r="100" spans="1:18" hidden="1" outlineLevel="1">
      <c r="A100" s="17">
        <v>2184.2125647719422</v>
      </c>
      <c r="B100" s="32">
        <f t="shared" si="0"/>
        <v>2.1627124082818975E-2</v>
      </c>
      <c r="D100" s="104" t="s">
        <v>161</v>
      </c>
      <c r="E100" s="104"/>
      <c r="F100" s="104"/>
      <c r="G100" s="104"/>
      <c r="H100" s="104"/>
      <c r="J100" s="20">
        <f t="shared" si="1"/>
        <v>2.1627124082818975E-2</v>
      </c>
      <c r="K100" s="74"/>
      <c r="L100" s="20">
        <f t="shared" si="2"/>
        <v>2.1627124082818975E-2</v>
      </c>
      <c r="M100" s="74"/>
      <c r="N100" s="17">
        <v>2.1627124082818975E-2</v>
      </c>
      <c r="O100" s="74"/>
      <c r="P100" s="17">
        <v>2.1627124082818975E-2</v>
      </c>
      <c r="Q100" s="74"/>
      <c r="R100" s="17">
        <v>2.1627124082818975E-2</v>
      </c>
    </row>
    <row r="101" spans="1:18" hidden="1" outlineLevel="1">
      <c r="A101" s="17">
        <v>2343.289913321687</v>
      </c>
      <c r="B101" s="32">
        <f t="shared" si="0"/>
        <v>0.41067987519884713</v>
      </c>
      <c r="D101" s="104"/>
      <c r="E101" s="104"/>
      <c r="F101" s="104"/>
      <c r="G101" s="104"/>
      <c r="H101" s="104"/>
      <c r="J101" s="20">
        <f t="shared" si="1"/>
        <v>0.41067987519884713</v>
      </c>
      <c r="K101" s="74"/>
      <c r="L101" s="20">
        <f t="shared" si="2"/>
        <v>0.41067987519884713</v>
      </c>
      <c r="M101" s="74"/>
      <c r="N101" s="17">
        <v>0.41067987519884713</v>
      </c>
      <c r="O101" s="74"/>
      <c r="P101" s="17">
        <v>0.41067987519884713</v>
      </c>
      <c r="Q101" s="74"/>
      <c r="R101" s="17">
        <v>0.41067987519884713</v>
      </c>
    </row>
    <row r="102" spans="1:18" hidden="1" outlineLevel="1">
      <c r="A102" s="17">
        <v>2705.91363016888</v>
      </c>
      <c r="B102" s="32">
        <f t="shared" si="0"/>
        <v>1.2975424986049902</v>
      </c>
      <c r="D102" s="34"/>
      <c r="E102" s="34"/>
      <c r="F102" s="34"/>
      <c r="G102" s="34"/>
      <c r="H102" s="34"/>
      <c r="J102" s="20">
        <f t="shared" si="1"/>
        <v>1.2975424986049902</v>
      </c>
      <c r="K102" s="74"/>
      <c r="L102" s="20">
        <f t="shared" si="2"/>
        <v>1.2975424986049902</v>
      </c>
      <c r="M102" s="74"/>
      <c r="N102" s="17">
        <v>1.2975424986049902</v>
      </c>
      <c r="O102" s="74"/>
      <c r="P102" s="17">
        <v>1.2975424986049902</v>
      </c>
      <c r="Q102" s="74"/>
      <c r="R102" s="17">
        <v>1.2975424986049902</v>
      </c>
    </row>
    <row r="103" spans="1:18" hidden="1" outlineLevel="1">
      <c r="A103" s="17">
        <v>2262.7913156237323</v>
      </c>
      <c r="B103" s="32">
        <f t="shared" si="0"/>
        <v>0.21380583133974815</v>
      </c>
      <c r="D103" s="92" t="s">
        <v>89</v>
      </c>
      <c r="E103" s="92"/>
      <c r="F103" s="92"/>
      <c r="G103" s="92"/>
      <c r="H103" s="92"/>
      <c r="J103" s="20">
        <f t="shared" si="1"/>
        <v>0.21380583133974815</v>
      </c>
      <c r="K103" s="74"/>
      <c r="L103" s="20">
        <f t="shared" si="2"/>
        <v>0.21380583133974815</v>
      </c>
      <c r="M103" s="74"/>
      <c r="N103" s="17">
        <v>0.21380583133974815</v>
      </c>
      <c r="O103" s="74"/>
      <c r="P103" s="17">
        <v>0.21380583133974815</v>
      </c>
      <c r="Q103" s="74"/>
      <c r="R103" s="17">
        <v>0.21380583133974815</v>
      </c>
    </row>
    <row r="104" spans="1:18" hidden="1" outlineLevel="1">
      <c r="A104" s="17">
        <v>2671.2431888853894</v>
      </c>
      <c r="B104" s="32">
        <f t="shared" si="0"/>
        <v>1.2127495932245567</v>
      </c>
      <c r="D104" s="92" t="s">
        <v>90</v>
      </c>
      <c r="E104" s="92"/>
      <c r="F104" s="92"/>
      <c r="G104" s="92"/>
      <c r="H104" s="92"/>
      <c r="J104" s="20">
        <f t="shared" si="1"/>
        <v>1.2127495932245567</v>
      </c>
      <c r="K104" s="74"/>
      <c r="L104" s="20">
        <f t="shared" si="2"/>
        <v>1.2127495932245567</v>
      </c>
      <c r="M104" s="74"/>
      <c r="N104" s="17">
        <v>1.2127495932245567</v>
      </c>
      <c r="O104" s="74"/>
      <c r="P104" s="17">
        <v>1.2127495932245567</v>
      </c>
      <c r="Q104" s="74"/>
      <c r="R104" s="17">
        <v>1.2127495932245567</v>
      </c>
    </row>
    <row r="105" spans="1:18" hidden="1" outlineLevel="1">
      <c r="A105" s="17">
        <v>1524.1826948845828</v>
      </c>
      <c r="B105" s="32">
        <f t="shared" si="0"/>
        <v>-1.592596642150826</v>
      </c>
      <c r="D105" s="92" t="s">
        <v>91</v>
      </c>
      <c r="E105" s="92"/>
      <c r="F105" s="92"/>
      <c r="G105" s="92"/>
      <c r="H105" s="92"/>
      <c r="J105" s="20">
        <f t="shared" si="1"/>
        <v>-1.592596642150826</v>
      </c>
      <c r="K105" s="74"/>
      <c r="L105" s="20">
        <f t="shared" si="2"/>
        <v>-1.592596642150826</v>
      </c>
      <c r="M105" s="74"/>
      <c r="N105" s="17">
        <v>-1.592596642150826</v>
      </c>
      <c r="O105" s="74"/>
      <c r="P105" s="17">
        <v>-1.592596642150826</v>
      </c>
      <c r="Q105" s="74"/>
      <c r="R105" s="17">
        <v>-1.592596642150826</v>
      </c>
    </row>
    <row r="106" spans="1:18" hidden="1" outlineLevel="1">
      <c r="A106" s="17">
        <v>1900.4440038869452</v>
      </c>
      <c r="B106" s="32">
        <f t="shared" si="0"/>
        <v>-0.67238079281441887</v>
      </c>
      <c r="D106" s="92" t="s">
        <v>162</v>
      </c>
      <c r="E106" s="92"/>
      <c r="F106" s="92"/>
      <c r="G106" s="92"/>
      <c r="H106" s="92"/>
      <c r="J106" s="20">
        <f t="shared" si="1"/>
        <v>-0.67238079281441887</v>
      </c>
      <c r="K106" s="74"/>
      <c r="L106" s="20">
        <f t="shared" si="2"/>
        <v>-0.67238079281441887</v>
      </c>
      <c r="M106" s="74"/>
      <c r="N106" s="17">
        <v>-0.67238079281441887</v>
      </c>
      <c r="O106" s="74"/>
      <c r="P106" s="17">
        <v>-0.67238079281441887</v>
      </c>
      <c r="Q106" s="74"/>
      <c r="R106" s="17">
        <v>-0.67238079281441887</v>
      </c>
    </row>
    <row r="107" spans="1:18" hidden="1" outlineLevel="1">
      <c r="A107" s="17">
        <v>1984.0815718042713</v>
      </c>
      <c r="B107" s="32">
        <f t="shared" si="0"/>
        <v>-0.46782982316637978</v>
      </c>
      <c r="D107" s="92" t="s">
        <v>163</v>
      </c>
      <c r="E107" s="92"/>
      <c r="F107" s="92"/>
      <c r="G107" s="92"/>
      <c r="H107" s="92"/>
      <c r="J107" s="20">
        <f t="shared" si="1"/>
        <v>-0.46782982316637978</v>
      </c>
      <c r="K107" s="74"/>
      <c r="L107" s="20">
        <f t="shared" si="2"/>
        <v>-0.46782982316637978</v>
      </c>
      <c r="M107" s="74"/>
      <c r="N107" s="17">
        <v>-0.46782982316637978</v>
      </c>
      <c r="O107" s="74"/>
      <c r="P107" s="17">
        <v>-0.46782982316637978</v>
      </c>
      <c r="Q107" s="74"/>
      <c r="R107" s="17">
        <v>-0.46782982316637978</v>
      </c>
    </row>
    <row r="108" spans="1:18" hidden="1" outlineLevel="1">
      <c r="A108" s="17">
        <v>2395.8282841212472</v>
      </c>
      <c r="B108" s="32">
        <f t="shared" si="0"/>
        <v>0.53917207025407887</v>
      </c>
      <c r="J108" s="20">
        <f t="shared" si="1"/>
        <v>0.53917207025407887</v>
      </c>
      <c r="K108" s="74"/>
      <c r="L108" s="20">
        <f t="shared" si="2"/>
        <v>0.53917207025407887</v>
      </c>
      <c r="M108" s="74"/>
      <c r="N108" s="17">
        <v>0.53917207025407887</v>
      </c>
      <c r="O108" s="74"/>
      <c r="P108" s="17">
        <v>0.53917207025407887</v>
      </c>
      <c r="Q108" s="74"/>
      <c r="R108" s="17">
        <v>0.53917207025407887</v>
      </c>
    </row>
    <row r="109" spans="1:18" hidden="1" outlineLevel="1">
      <c r="A109" s="17">
        <v>2591.1245629295772</v>
      </c>
      <c r="B109" s="32">
        <f t="shared" si="0"/>
        <v>1.0168048397576763</v>
      </c>
      <c r="D109" s="19" t="s">
        <v>5</v>
      </c>
      <c r="E109" s="17">
        <f>AVERAGE(A91:A110)</f>
        <v>2175.369585134908</v>
      </c>
      <c r="J109" s="20">
        <f t="shared" si="1"/>
        <v>1.0168048397576763</v>
      </c>
      <c r="K109" s="74"/>
      <c r="L109" s="20">
        <f t="shared" si="2"/>
        <v>1.0168048397576763</v>
      </c>
      <c r="M109" s="74"/>
      <c r="N109" s="17">
        <v>1.0168048397576763</v>
      </c>
      <c r="O109" s="74"/>
      <c r="P109" s="17">
        <v>1.0168048397576763</v>
      </c>
      <c r="Q109" s="74"/>
      <c r="R109" s="17">
        <v>1.0168048397576763</v>
      </c>
    </row>
    <row r="110" spans="1:18" hidden="1" outlineLevel="1">
      <c r="A110" s="17">
        <v>2046.851317843325</v>
      </c>
      <c r="B110" s="32">
        <f t="shared" si="0"/>
        <v>-0.31431492864504151</v>
      </c>
      <c r="D110" s="19" t="s">
        <v>6</v>
      </c>
      <c r="E110" s="17">
        <f>_xlfn.STDEV.S(A91:A110)</f>
        <v>408.88375186505942</v>
      </c>
      <c r="J110" s="20">
        <f t="shared" si="1"/>
        <v>-0.31431492864504151</v>
      </c>
      <c r="K110" s="74"/>
      <c r="L110" s="20">
        <f t="shared" si="2"/>
        <v>-0.31431492864504151</v>
      </c>
      <c r="M110" s="74"/>
      <c r="N110" s="17">
        <v>-0.31431492864504151</v>
      </c>
      <c r="O110" s="74"/>
      <c r="P110" s="17">
        <v>-0.31431492864504151</v>
      </c>
      <c r="Q110" s="74"/>
      <c r="R110" s="17">
        <v>-0.31431492864504151</v>
      </c>
    </row>
    <row r="111" spans="1:18" collapsed="1"/>
    <row r="112" spans="1:18" ht="20.25">
      <c r="A112" s="12" t="s">
        <v>511</v>
      </c>
    </row>
    <row r="113" spans="1:8">
      <c r="A113" s="75" t="s">
        <v>2</v>
      </c>
    </row>
    <row r="114" spans="1:8" hidden="1" outlineLevel="1">
      <c r="B114" s="27" t="s">
        <v>102</v>
      </c>
      <c r="G114" s="22" t="s">
        <v>103</v>
      </c>
    </row>
    <row r="115" spans="1:8" hidden="1" outlineLevel="1">
      <c r="A115" s="15" t="s">
        <v>2</v>
      </c>
      <c r="B115" s="55" t="s">
        <v>506</v>
      </c>
      <c r="D115" s="135" t="s">
        <v>508</v>
      </c>
      <c r="E115" s="135"/>
      <c r="F115" s="133"/>
      <c r="G115" s="23" t="s">
        <v>506</v>
      </c>
      <c r="H115" s="133"/>
    </row>
    <row r="116" spans="1:8" hidden="1" outlineLevel="1">
      <c r="A116" s="17">
        <v>2028.0182475332299</v>
      </c>
      <c r="B116" s="32" t="str">
        <f>_xlfn.XLOOKUP(
    ABS((A116-AVERAGE($A$116:$A$135))/_xlfn.STDEV.S($A$116:$A$135)),
    $E$117:$E$119,
    $D$117:$D$119,
    "",
    -1
)</f>
        <v/>
      </c>
      <c r="D116" s="15" t="s">
        <v>509</v>
      </c>
      <c r="E116" s="15" t="s">
        <v>510</v>
      </c>
      <c r="G116" s="136" t="str" cm="1">
        <f t="array" ref="G116:G135">_xlfn.LET(
    _xlpm.data, $A$116:$A$135,
    _xlpm.rules, D117:E119,
    _xlpm.avg, AVERAGE(_xlpm.data),
    _xlpm.std_dev, _xlfn.STDEV.S(_xlpm.data),
    _xlpm.z, (_xlpm.data - _xlpm.avg) / _xlpm.std_dev,
    _xlpm.z_abs, ABS(_xlpm.z),
    _xlpm.lbl, _xlfn.BYROW(_xlpm.z_abs, _xlfn.LAMBDA(_xlpm.r, _xlfn.LET(
        _xlpm.r_std, INDEX(_xlpm.rules, , 2),
        _xlpm.r_lbl, INDEX(_xlpm.rules, , 1),
        _xlpm.return, _xlfn.XLOOKUP(_xlpm.r, _xlpm.r_std, _xlpm.r_lbl, "", -1),
        _xlpm.return
    ))),
    _xlpm.return, _xlpm.z,
    _xlpm.lbl
)</f>
        <v/>
      </c>
    </row>
    <row r="117" spans="1:8" hidden="1" outlineLevel="1">
      <c r="A117" s="17">
        <v>1684.07512373445</v>
      </c>
      <c r="B117" s="32" t="str">
        <f t="shared" ref="B117:B134" si="3">_xlfn.XLOOKUP(
    ABS((A117-AVERAGE($A$116:$A$135))/_xlfn.STDEV.S($A$116:$A$135)),
    $E$117:$E$119,
    $D$117:$D$119,
    "",
    -1
)</f>
        <v>|x|&gt;1</v>
      </c>
      <c r="D117" s="134" t="str">
        <f>"|x|&gt;" &amp; E117</f>
        <v>|x|&gt;1</v>
      </c>
      <c r="E117" s="72">
        <v>1</v>
      </c>
      <c r="G117" s="137" t="str">
        <v>|x|&gt;1</v>
      </c>
    </row>
    <row r="118" spans="1:8" hidden="1" outlineLevel="1">
      <c r="A118" s="17">
        <v>2682.192876565904</v>
      </c>
      <c r="B118" s="32" t="str">
        <f t="shared" si="3"/>
        <v>|x|&gt;1</v>
      </c>
      <c r="D118" s="134" t="str">
        <f>"|x|&gt;" &amp; E118</f>
        <v>|x|&gt;2</v>
      </c>
      <c r="E118" s="72">
        <v>2</v>
      </c>
      <c r="G118" s="137" t="str">
        <v>|x|&gt;1</v>
      </c>
    </row>
    <row r="119" spans="1:8" hidden="1" outlineLevel="1">
      <c r="A119" s="17">
        <v>2609.2819714745278</v>
      </c>
      <c r="B119" s="32" t="str">
        <f t="shared" si="3"/>
        <v>|x|&gt;1</v>
      </c>
      <c r="D119" s="134" t="str">
        <f>"|x|&gt;" &amp; E119</f>
        <v>|x|&gt;3</v>
      </c>
      <c r="E119" s="72">
        <v>3</v>
      </c>
      <c r="G119" s="137" t="str">
        <v>|x|&gt;1</v>
      </c>
    </row>
    <row r="120" spans="1:8" hidden="1" outlineLevel="1">
      <c r="A120" s="17">
        <v>2396.9667916141302</v>
      </c>
      <c r="B120" s="32" t="str">
        <f t="shared" si="3"/>
        <v/>
      </c>
      <c r="G120" s="137" t="str">
        <v/>
      </c>
    </row>
    <row r="121" spans="1:8" hidden="1" outlineLevel="1">
      <c r="A121" s="17">
        <v>1523.33077273302</v>
      </c>
      <c r="B121" s="32" t="str">
        <f t="shared" si="3"/>
        <v>|x|&gt;1</v>
      </c>
      <c r="G121" s="137" t="str">
        <v>|x|&gt;1</v>
      </c>
    </row>
    <row r="122" spans="1:8" hidden="1" outlineLevel="1">
      <c r="A122" s="17">
        <v>1564.8975195861099</v>
      </c>
      <c r="B122" s="32" t="str">
        <f t="shared" si="3"/>
        <v>|x|&gt;1</v>
      </c>
      <c r="G122" s="137" t="str">
        <v>|x|&gt;1</v>
      </c>
    </row>
    <row r="123" spans="1:8" hidden="1" outlineLevel="1">
      <c r="A123" s="17">
        <v>1828.693274835317</v>
      </c>
      <c r="B123" s="32" t="str">
        <f t="shared" si="3"/>
        <v/>
      </c>
      <c r="G123" s="137" t="str">
        <v/>
      </c>
    </row>
    <row r="124" spans="1:8" hidden="1" outlineLevel="1">
      <c r="A124" s="17">
        <v>2579.9720763798796</v>
      </c>
      <c r="B124" s="32" t="str">
        <f t="shared" si="3"/>
        <v/>
      </c>
      <c r="G124" s="137" t="str">
        <v/>
      </c>
    </row>
    <row r="125" spans="1:8" hidden="1" outlineLevel="1">
      <c r="A125" s="17">
        <v>2184.2125647719422</v>
      </c>
      <c r="B125" s="32" t="str">
        <f t="shared" si="3"/>
        <v/>
      </c>
      <c r="G125" s="137" t="str">
        <v/>
      </c>
    </row>
    <row r="126" spans="1:8" hidden="1" outlineLevel="1">
      <c r="A126" s="17">
        <v>2343.289913321687</v>
      </c>
      <c r="B126" s="32" t="str">
        <f t="shared" si="3"/>
        <v/>
      </c>
      <c r="G126" s="137" t="str">
        <v/>
      </c>
    </row>
    <row r="127" spans="1:8" hidden="1" outlineLevel="1">
      <c r="A127" s="17">
        <v>2705.91363016888</v>
      </c>
      <c r="B127" s="32" t="str">
        <f t="shared" si="3"/>
        <v>|x|&gt;1</v>
      </c>
      <c r="G127" s="137" t="str">
        <v>|x|&gt;1</v>
      </c>
    </row>
    <row r="128" spans="1:8" hidden="1" outlineLevel="1">
      <c r="A128" s="17">
        <v>2262.7913156237323</v>
      </c>
      <c r="B128" s="32" t="str">
        <f t="shared" si="3"/>
        <v/>
      </c>
      <c r="G128" s="137" t="str">
        <v/>
      </c>
    </row>
    <row r="129" spans="1:14" hidden="1" outlineLevel="1">
      <c r="A129" s="17">
        <v>2671.2431888853894</v>
      </c>
      <c r="B129" s="32" t="str">
        <f t="shared" si="3"/>
        <v>|x|&gt;1</v>
      </c>
      <c r="G129" s="137" t="str">
        <v>|x|&gt;1</v>
      </c>
    </row>
    <row r="130" spans="1:14" hidden="1" outlineLevel="1">
      <c r="A130" s="17">
        <v>1524.1826948845828</v>
      </c>
      <c r="B130" s="32" t="str">
        <f t="shared" si="3"/>
        <v>|x|&gt;1</v>
      </c>
      <c r="G130" s="137" t="str">
        <v>|x|&gt;1</v>
      </c>
    </row>
    <row r="131" spans="1:14" hidden="1" outlineLevel="1">
      <c r="A131" s="17">
        <v>1900.4440038869452</v>
      </c>
      <c r="B131" s="32" t="str">
        <f t="shared" si="3"/>
        <v/>
      </c>
      <c r="G131" s="137" t="str">
        <v/>
      </c>
    </row>
    <row r="132" spans="1:14" hidden="1" outlineLevel="1">
      <c r="A132" s="17">
        <v>1984.0815718042713</v>
      </c>
      <c r="B132" s="32" t="str">
        <f t="shared" si="3"/>
        <v/>
      </c>
      <c r="G132" s="137" t="str">
        <v/>
      </c>
    </row>
    <row r="133" spans="1:14" hidden="1" outlineLevel="1">
      <c r="A133" s="17">
        <v>2395.8282841212472</v>
      </c>
      <c r="B133" s="32" t="str">
        <f t="shared" si="3"/>
        <v/>
      </c>
      <c r="G133" s="137" t="str">
        <v/>
      </c>
    </row>
    <row r="134" spans="1:14" hidden="1" outlineLevel="1">
      <c r="A134" s="17">
        <v>2591.1245629295772</v>
      </c>
      <c r="B134" s="32" t="str">
        <f t="shared" si="3"/>
        <v>|x|&gt;1</v>
      </c>
      <c r="G134" s="137" t="str">
        <v>|x|&gt;1</v>
      </c>
    </row>
    <row r="135" spans="1:14" hidden="1" outlineLevel="1">
      <c r="A135" s="17">
        <v>2046.851317843325</v>
      </c>
      <c r="B135" s="32" t="str">
        <f>_xlfn.XLOOKUP(
    ABS((A135-AVERAGE($A$116:$A$135))/_xlfn.STDEV.S($A$116:$A$135)),
    $E$117:$E$119,
    $D$117:$D$119,
    "",
    -1
)</f>
        <v/>
      </c>
      <c r="G135" s="137" t="str">
        <v/>
      </c>
    </row>
    <row r="136" spans="1:14" s="4" customFormat="1" ht="15.75" collapsed="1"/>
    <row r="137" spans="1:14" s="4" customFormat="1" ht="15.75">
      <c r="A137" s="82" t="s">
        <v>547</v>
      </c>
    </row>
    <row r="138" spans="1:14" s="4" customFormat="1" ht="15.75" hidden="1" outlineLevel="1">
      <c r="A138" s="82" t="s">
        <v>534</v>
      </c>
      <c r="B138" s="82"/>
      <c r="C138" s="82"/>
      <c r="D138" s="82"/>
      <c r="E138" s="82"/>
      <c r="F138" s="82"/>
      <c r="G138" s="82"/>
      <c r="H138" s="82"/>
      <c r="I138" s="82" t="s">
        <v>535</v>
      </c>
    </row>
    <row r="139" spans="1:14" s="4" customFormat="1" ht="15.75" hidden="1" outlineLevel="1">
      <c r="A139" s="84" t="s">
        <v>515</v>
      </c>
      <c r="B139" s="84"/>
      <c r="C139" s="84"/>
      <c r="D139" s="84"/>
      <c r="E139" s="84"/>
      <c r="F139" s="84"/>
      <c r="G139" s="84"/>
      <c r="I139" s="84" t="s">
        <v>377</v>
      </c>
      <c r="J139" s="84"/>
      <c r="K139" s="84"/>
      <c r="L139" s="84"/>
      <c r="M139" s="84"/>
      <c r="N139" s="84"/>
    </row>
    <row r="140" spans="1:14" s="4" customFormat="1" ht="15.75" hidden="1" outlineLevel="1">
      <c r="A140" s="84" t="s">
        <v>516</v>
      </c>
      <c r="B140" s="84"/>
      <c r="C140" s="84"/>
      <c r="D140" s="84"/>
      <c r="E140" s="84"/>
      <c r="F140" s="84"/>
      <c r="G140" s="84"/>
      <c r="I140" s="84" t="s">
        <v>521</v>
      </c>
      <c r="J140" s="84"/>
      <c r="K140" s="84"/>
      <c r="L140" s="84"/>
      <c r="M140" s="84"/>
      <c r="N140" s="84"/>
    </row>
    <row r="141" spans="1:14" s="4" customFormat="1" ht="15.75" hidden="1" outlineLevel="1">
      <c r="A141" s="84" t="s">
        <v>517</v>
      </c>
      <c r="B141" s="84"/>
      <c r="C141" s="84"/>
      <c r="D141" s="84"/>
      <c r="E141" s="84"/>
      <c r="F141" s="84"/>
      <c r="G141" s="84"/>
      <c r="I141" s="84" t="s">
        <v>522</v>
      </c>
      <c r="J141" s="84"/>
      <c r="K141" s="84"/>
      <c r="L141" s="84"/>
      <c r="M141" s="84"/>
      <c r="N141" s="84"/>
    </row>
    <row r="142" spans="1:14" s="4" customFormat="1" ht="15.75" hidden="1" outlineLevel="1">
      <c r="A142" s="84" t="s">
        <v>518</v>
      </c>
      <c r="B142" s="84"/>
      <c r="C142" s="84"/>
      <c r="D142" s="84"/>
      <c r="E142" s="84"/>
      <c r="F142" s="84"/>
      <c r="G142" s="84"/>
      <c r="I142" s="84" t="s">
        <v>523</v>
      </c>
      <c r="J142" s="84"/>
      <c r="K142" s="84"/>
      <c r="L142" s="84"/>
      <c r="M142" s="84"/>
      <c r="N142" s="84"/>
    </row>
    <row r="143" spans="1:14" s="4" customFormat="1" ht="15.75" hidden="1" outlineLevel="1">
      <c r="A143" s="84" t="s">
        <v>519</v>
      </c>
      <c r="B143" s="84"/>
      <c r="C143" s="84"/>
      <c r="D143" s="84"/>
      <c r="E143" s="84"/>
      <c r="F143" s="84"/>
      <c r="G143" s="84"/>
      <c r="I143" s="84" t="s">
        <v>524</v>
      </c>
      <c r="J143" s="84"/>
      <c r="K143" s="84"/>
      <c r="L143" s="84"/>
      <c r="M143" s="84"/>
      <c r="N143" s="84"/>
    </row>
    <row r="144" spans="1:14" s="4" customFormat="1" ht="15.75" hidden="1" outlineLevel="1">
      <c r="A144" s="84" t="s">
        <v>520</v>
      </c>
      <c r="B144" s="84"/>
      <c r="C144" s="84"/>
      <c r="D144" s="84"/>
      <c r="E144" s="84"/>
      <c r="F144" s="84"/>
      <c r="G144" s="84"/>
      <c r="I144" s="84" t="s">
        <v>525</v>
      </c>
      <c r="J144" s="84"/>
      <c r="K144" s="84"/>
      <c r="L144" s="84"/>
      <c r="M144" s="84"/>
      <c r="N144" s="84"/>
    </row>
    <row r="145" spans="1:14" s="4" customFormat="1" ht="15.75" hidden="1" outlineLevel="1">
      <c r="A145" s="84" t="s">
        <v>159</v>
      </c>
      <c r="B145" s="84"/>
      <c r="C145" s="84"/>
      <c r="D145" s="84"/>
      <c r="E145" s="84"/>
      <c r="F145" s="84"/>
      <c r="G145" s="84"/>
      <c r="I145" s="84" t="s">
        <v>526</v>
      </c>
      <c r="J145" s="84"/>
      <c r="K145" s="84"/>
      <c r="L145" s="84"/>
      <c r="M145" s="84"/>
      <c r="N145" s="84"/>
    </row>
    <row r="146" spans="1:14" s="4" customFormat="1" ht="15.75" hidden="1" outlineLevel="1">
      <c r="I146" s="84" t="s">
        <v>527</v>
      </c>
      <c r="J146" s="84"/>
      <c r="K146" s="84"/>
      <c r="L146" s="84"/>
      <c r="M146" s="84"/>
      <c r="N146" s="84"/>
    </row>
    <row r="147" spans="1:14" s="4" customFormat="1" ht="15.75" hidden="1" outlineLevel="1">
      <c r="I147" s="84" t="s">
        <v>528</v>
      </c>
      <c r="J147" s="84"/>
      <c r="K147" s="84"/>
      <c r="L147" s="84"/>
      <c r="M147" s="84"/>
      <c r="N147" s="84"/>
    </row>
    <row r="148" spans="1:14" s="4" customFormat="1" ht="15.75" hidden="1" outlineLevel="1">
      <c r="I148" s="84" t="s">
        <v>529</v>
      </c>
      <c r="J148" s="84"/>
      <c r="K148" s="84"/>
      <c r="L148" s="84"/>
      <c r="M148" s="84"/>
      <c r="N148" s="84"/>
    </row>
    <row r="149" spans="1:14" s="4" customFormat="1" ht="15.75" hidden="1" outlineLevel="1">
      <c r="I149" s="84" t="s">
        <v>530</v>
      </c>
      <c r="J149" s="84"/>
      <c r="K149" s="84"/>
      <c r="L149" s="84"/>
      <c r="M149" s="84"/>
      <c r="N149" s="84"/>
    </row>
    <row r="150" spans="1:14" s="4" customFormat="1" ht="15.75" hidden="1" outlineLevel="1">
      <c r="I150" s="84" t="s">
        <v>463</v>
      </c>
      <c r="J150" s="84"/>
      <c r="K150" s="84"/>
      <c r="L150" s="84"/>
      <c r="M150" s="84"/>
      <c r="N150" s="84"/>
    </row>
    <row r="151" spans="1:14" s="4" customFormat="1" ht="15.75" hidden="1" outlineLevel="1">
      <c r="I151" s="84" t="s">
        <v>531</v>
      </c>
      <c r="J151" s="84"/>
      <c r="K151" s="84"/>
      <c r="L151" s="84"/>
      <c r="M151" s="84"/>
      <c r="N151" s="84"/>
    </row>
    <row r="152" spans="1:14" s="4" customFormat="1" ht="15.75" hidden="1" outlineLevel="1">
      <c r="I152" s="84" t="s">
        <v>532</v>
      </c>
      <c r="J152" s="84"/>
      <c r="K152" s="84"/>
      <c r="L152" s="84"/>
      <c r="M152" s="84"/>
      <c r="N152" s="84"/>
    </row>
    <row r="153" spans="1:14" s="4" customFormat="1" ht="15.75" hidden="1" outlineLevel="1">
      <c r="I153" s="84" t="s">
        <v>533</v>
      </c>
      <c r="J153" s="84"/>
      <c r="K153" s="84"/>
      <c r="L153" s="84"/>
      <c r="M153" s="84"/>
      <c r="N153" s="84"/>
    </row>
    <row r="154" spans="1:14" s="4" customFormat="1" hidden="1" outlineLevel="1">
      <c r="B154" s="6"/>
      <c r="C154" s="6"/>
      <c r="D154" s="6"/>
      <c r="E154" s="6"/>
      <c r="F154" s="6"/>
      <c r="G154" s="6"/>
      <c r="H154" s="6"/>
      <c r="I154" s="84" t="s">
        <v>159</v>
      </c>
      <c r="J154" s="84"/>
      <c r="K154" s="84"/>
      <c r="L154" s="84"/>
      <c r="M154" s="84"/>
      <c r="N154" s="84"/>
    </row>
    <row r="155" spans="1:14" s="4" customFormat="1" ht="15.75" collapsed="1">
      <c r="B155" s="3"/>
      <c r="C155" s="3"/>
      <c r="D155" s="3"/>
      <c r="E155" s="3"/>
      <c r="F155" s="3"/>
      <c r="G155" s="3"/>
      <c r="H155" s="3"/>
      <c r="I155" s="3"/>
      <c r="J155" s="3"/>
    </row>
    <row r="156" spans="1:14" s="4" customFormat="1" ht="15.75">
      <c r="A156" s="82" t="s">
        <v>548</v>
      </c>
      <c r="B156" s="3"/>
      <c r="C156" s="3"/>
      <c r="D156" s="3"/>
      <c r="E156" s="3"/>
      <c r="F156" s="3"/>
      <c r="G156" s="3"/>
      <c r="H156" s="3"/>
      <c r="I156" s="3"/>
      <c r="J156" s="3"/>
    </row>
    <row r="157" spans="1:14" s="4" customFormat="1" ht="15.75" hidden="1" outlineLevel="1">
      <c r="A157" s="77" t="s">
        <v>541</v>
      </c>
      <c r="B157" s="3"/>
      <c r="C157" s="3"/>
      <c r="D157" s="3"/>
      <c r="E157" s="3"/>
      <c r="F157" s="3"/>
      <c r="G157" s="3"/>
      <c r="H157" s="3"/>
      <c r="I157" s="3"/>
      <c r="J157" s="3"/>
    </row>
    <row r="158" spans="1:14" s="4" customFormat="1" ht="15.75" hidden="1" outlineLevel="1"/>
    <row r="159" spans="1:14" s="4" customFormat="1" ht="15.75" hidden="1" outlineLevel="1">
      <c r="D159" s="2" t="s">
        <v>537</v>
      </c>
      <c r="E159" s="2" t="s">
        <v>538</v>
      </c>
      <c r="F159" s="2" t="s">
        <v>536</v>
      </c>
    </row>
    <row r="160" spans="1:14" s="4" customFormat="1" ht="15.75" hidden="1" outlineLevel="1">
      <c r="D160" s="134" t="str" cm="1">
        <f t="array" ref="D160:F162">_xlfn.LET(
    _xlpm.trad, $A$139:$G$145,
    _xlpm.let_dyn, $I$139:$N$154,
    _xlpm.style, {"Trad";"LET";"diff"},
    _xlpm.r_trad, ROWS(_xlpm.trad),
    _xlpm.r_let, ROWS(_xlpm.let_dyn),
    _xlpm.lines, _xlfn.VSTACK(_xlpm.r_trad, _xlpm.r_let, _xlpm.r_trad - _xlpm.r_let),
    _xlpm.get_chars, _xlfn.LAMBDA(_xlpm.x, SUM(LEN(_xlpm.x))),
    _xlpm.c_trad, _xlpm.get_chars(_xlpm.trad),
    _xlpm.c_let, _xlpm.get_chars(_xlpm.let_dyn),
    _xlpm.chars, _xlfn.VSTACK(_xlpm.c_trad, _xlpm.c_let, _xlpm.c_trad - _xlpm.c_let),
    _xlpm.return, _xlfn.HSTACK(_xlpm.style, _xlpm.lines, _xlpm.chars),
    _xlpm.return
)</f>
        <v>Trad</v>
      </c>
      <c r="E160" s="17">
        <v>7</v>
      </c>
      <c r="F160" s="17">
        <v>121</v>
      </c>
    </row>
    <row r="161" spans="1:8" s="4" customFormat="1" ht="15.75" hidden="1" outlineLevel="1">
      <c r="D161" s="134" t="str">
        <v>LET</v>
      </c>
      <c r="E161" s="17">
        <v>16</v>
      </c>
      <c r="F161" s="17">
        <v>343</v>
      </c>
    </row>
    <row r="162" spans="1:8" s="4" customFormat="1" ht="15.75" hidden="1" outlineLevel="1">
      <c r="D162" s="141" t="str">
        <v>diff</v>
      </c>
      <c r="E162" s="141">
        <v>-9</v>
      </c>
      <c r="F162" s="141">
        <v>-222</v>
      </c>
    </row>
    <row r="163" spans="1:8" s="4" customFormat="1" ht="15.75" collapsed="1"/>
    <row r="164" spans="1:8" s="4" customFormat="1" ht="15.75">
      <c r="A164" s="82" t="s">
        <v>546</v>
      </c>
    </row>
    <row r="165" spans="1:8" s="4" customFormat="1" ht="15.75" hidden="1" outlineLevel="1">
      <c r="A165" s="77" t="s">
        <v>539</v>
      </c>
    </row>
    <row r="166" spans="1:8" s="4" customFormat="1" ht="15.75" hidden="1" outlineLevel="1"/>
    <row r="167" spans="1:8" s="4" customFormat="1" ht="15.75" hidden="1" outlineLevel="1">
      <c r="D167" s="2" t="s">
        <v>537</v>
      </c>
      <c r="E167" s="2" t="s">
        <v>538</v>
      </c>
      <c r="F167" s="2" t="s">
        <v>536</v>
      </c>
    </row>
    <row r="168" spans="1:8" s="4" customFormat="1" ht="15.75" hidden="1" outlineLevel="1">
      <c r="A168" s="82" t="s">
        <v>540</v>
      </c>
      <c r="B168" s="17">
        <v>20</v>
      </c>
      <c r="D168" s="134" t="str" cm="1">
        <f t="array" ref="D168:F170">_xlfn.LET(
    _xlpm.trad, $A$139:$G$145,
    _xlpm.let_dyn, $I$139:$N$154,
    _xlpm.data_n, $B$168,
    _xlpm.style, {"Trad";"LET";"diff"},
    _xlpm.r_trad, ROWS(_xlpm.trad) * _xlpm.data_n,
    _xlpm.r_let, ROWS(_xlpm.let_dyn),
    _xlpm.lines, _xlfn.VSTACK(_xlpm.r_trad, _xlpm.r_let, _xlpm.r_trad - _xlpm.r_let),
    _xlpm.get_chars, _xlfn.LAMBDA(_xlpm.x, SUM(LEN(_xlpm.x))),
    _xlpm.c_trad, _xlpm.get_chars(_xlpm.trad) * _xlpm.data_n,
    _xlpm.c_let, _xlpm.get_chars(_xlpm.let_dyn),
    _xlpm.chars, _xlfn.VSTACK(_xlpm.c_trad, _xlpm.c_let, _xlpm.c_trad - _xlpm.c_let),
    _xlpm.return, _xlfn.HSTACK(_xlpm.style, _xlpm.lines, _xlpm.chars),
    _xlpm.return
)</f>
        <v>Trad</v>
      </c>
      <c r="E168" s="17">
        <v>140</v>
      </c>
      <c r="F168" s="17">
        <v>2420</v>
      </c>
    </row>
    <row r="169" spans="1:8" s="4" customFormat="1" ht="15.75" hidden="1" outlineLevel="1">
      <c r="D169" s="134" t="str">
        <v>LET</v>
      </c>
      <c r="E169" s="17">
        <v>16</v>
      </c>
      <c r="F169" s="17">
        <v>343</v>
      </c>
    </row>
    <row r="170" spans="1:8" s="4" customFormat="1" ht="15.75" hidden="1" outlineLevel="1">
      <c r="D170" s="141" t="str">
        <v>diff</v>
      </c>
      <c r="E170" s="141">
        <v>124</v>
      </c>
      <c r="F170" s="141">
        <v>2077</v>
      </c>
    </row>
    <row r="171" spans="1:8" s="4" customFormat="1" ht="15.75" collapsed="1"/>
    <row r="172" spans="1:8" s="4" customFormat="1" ht="15.75">
      <c r="A172" s="82" t="s">
        <v>545</v>
      </c>
    </row>
    <row r="173" spans="1:8" s="4" customFormat="1" ht="15.75" hidden="1" outlineLevel="1">
      <c r="A173" s="77" t="s">
        <v>544</v>
      </c>
    </row>
    <row r="174" spans="1:8" s="4" customFormat="1" ht="15.75" hidden="1" outlineLevel="1"/>
    <row r="175" spans="1:8" s="4" customFormat="1" ht="15.75" hidden="1" outlineLevel="1">
      <c r="D175" s="2" t="s">
        <v>537</v>
      </c>
      <c r="E175" s="2" t="s">
        <v>538</v>
      </c>
      <c r="F175" s="2" t="s">
        <v>536</v>
      </c>
      <c r="G175" s="2" t="s">
        <v>542</v>
      </c>
      <c r="H175" s="2" t="s">
        <v>543</v>
      </c>
    </row>
    <row r="176" spans="1:8" s="4" customFormat="1" ht="15.75" hidden="1" outlineLevel="1">
      <c r="A176" s="82" t="s">
        <v>540</v>
      </c>
      <c r="B176" s="17">
        <v>20</v>
      </c>
      <c r="D176" s="134" t="str" cm="1">
        <f t="array" ref="D176:H178">_xlfn.LET(
    _xlpm.trad, $A$139:$G$145,
    _xlpm.let_dyn, $I$139:$N$154,
    _xlpm.data_n, $B$176,
    _xlpm.style, {"Trad";"LET";"diff"},
    _xlpm.stack, _xlfn.LAMBDA(_xlpm.t,_xlpm.r, _xlfn.VSTACK(_xlpm.t, _xlpm.r, _xlpm.t -_xlpm.r)),
    _xlpm.lines, _xlfn.LET(
        _xlpm.r_trad, ROWS(_xlpm.trad) * _xlpm.data_n,
        _xlpm.r_let, ROWS(_xlpm.let_dyn),
        _xlpm.stack(_xlpm.r_trad, _xlpm.r_let)
    ),
    _xlpm.chars, _xlfn.LET(
        _xlpm.get_chars, _xlfn.LAMBDA(_xlpm.x, SUM(LEN(_xlpm.x))),
        _xlpm.c_trad, _xlpm.get_chars(_xlpm.trad) * _xlpm.data_n,
        _xlpm.c_let, _xlpm.get_chars(_xlpm.let_dyn),
        _xlpm.stack(_xlpm.c_trad, _xlpm.c_let)
    ),
    _xlpm.ref_data, _xlfn.LET(
        _xlpm.rd_trad, 3 * _xlpm.data_n,
        _xlpm.rd_let, 1,
        _xlpm.stack(_xlpm.rd_trad, _xlpm.rd_let)
    ),
    _xlpm.ref_rules, _xlfn.LET(
        _xlpm.rr_trad, 2 * _xlpm.data_n,
        _xlpm.rr_let, 1,
        _xlpm.stack(_xlpm.rr_trad, _xlpm.rr_let)
    ),
    _xlpm.return, _xlfn.HSTACK(_xlpm.style, _xlpm.lines, _xlpm.chars, _xlpm.ref_data, _xlpm.ref_rules),
    _xlpm.return
)</f>
        <v>Trad</v>
      </c>
      <c r="E176" s="17">
        <v>140</v>
      </c>
      <c r="F176" s="17">
        <v>2420</v>
      </c>
      <c r="G176" s="17">
        <v>60</v>
      </c>
      <c r="H176" s="17">
        <v>40</v>
      </c>
    </row>
    <row r="177" spans="1:15" s="4" customFormat="1" ht="15.75" hidden="1" outlineLevel="1">
      <c r="D177" s="134" t="str">
        <v>LET</v>
      </c>
      <c r="E177" s="17">
        <v>16</v>
      </c>
      <c r="F177" s="17">
        <v>343</v>
      </c>
      <c r="G177" s="17">
        <v>1</v>
      </c>
      <c r="H177" s="17">
        <v>1</v>
      </c>
    </row>
    <row r="178" spans="1:15" s="4" customFormat="1" ht="15.75" hidden="1" outlineLevel="1">
      <c r="D178" s="141" t="str">
        <v>diff</v>
      </c>
      <c r="E178" s="141">
        <v>124</v>
      </c>
      <c r="F178" s="141">
        <v>2077</v>
      </c>
      <c r="G178" s="141">
        <v>59</v>
      </c>
      <c r="H178" s="142">
        <v>39</v>
      </c>
    </row>
    <row r="179" spans="1:15" s="4" customFormat="1" ht="15.75" collapsed="1">
      <c r="H179" s="140"/>
    </row>
    <row r="180" spans="1:15" ht="20.25">
      <c r="A180" s="12" t="s">
        <v>472</v>
      </c>
    </row>
    <row r="181" spans="1:15" hidden="1" outlineLevel="1"/>
    <row r="182" spans="1:15" hidden="1" outlineLevel="1">
      <c r="D182" s="89" t="s">
        <v>167</v>
      </c>
      <c r="E182" s="89"/>
      <c r="F182" s="89"/>
      <c r="G182" s="89"/>
      <c r="H182" s="89"/>
    </row>
    <row r="183" spans="1:15" hidden="1" outlineLevel="1">
      <c r="D183" s="88" t="s">
        <v>177</v>
      </c>
      <c r="E183" s="88"/>
      <c r="F183" s="88"/>
      <c r="G183" s="88"/>
      <c r="H183" s="88"/>
    </row>
    <row r="184" spans="1:15" hidden="1" outlineLevel="1">
      <c r="D184" s="88"/>
      <c r="E184" s="88"/>
      <c r="F184" s="88"/>
      <c r="G184" s="88"/>
      <c r="H184" s="88"/>
    </row>
    <row r="185" spans="1:15" hidden="1" outlineLevel="1">
      <c r="D185" s="34"/>
      <c r="E185" s="34"/>
      <c r="F185" s="34"/>
      <c r="G185" s="34"/>
      <c r="H185" s="34"/>
    </row>
    <row r="186" spans="1:15" hidden="1" outlineLevel="1">
      <c r="D186" s="92" t="s">
        <v>89</v>
      </c>
      <c r="E186" s="92"/>
      <c r="F186" s="92"/>
      <c r="G186" s="92"/>
      <c r="H186" s="92"/>
    </row>
    <row r="187" spans="1:15" hidden="1" outlineLevel="1">
      <c r="D187" s="92" t="s">
        <v>168</v>
      </c>
      <c r="E187" s="92"/>
      <c r="F187" s="92"/>
      <c r="G187" s="92"/>
      <c r="H187" s="92"/>
    </row>
    <row r="188" spans="1:15" hidden="1" outlineLevel="1">
      <c r="D188" s="92" t="s">
        <v>169</v>
      </c>
      <c r="E188" s="92"/>
      <c r="F188" s="92"/>
      <c r="G188" s="92"/>
      <c r="H188" s="92"/>
    </row>
    <row r="189" spans="1:15" hidden="1" outlineLevel="1">
      <c r="D189" s="92" t="s">
        <v>170</v>
      </c>
      <c r="E189" s="92"/>
      <c r="F189" s="92"/>
      <c r="G189" s="92"/>
      <c r="H189" s="92"/>
    </row>
    <row r="190" spans="1:15" hidden="1" outlineLevel="1">
      <c r="D190" s="92" t="s">
        <v>171</v>
      </c>
      <c r="E190" s="92"/>
      <c r="F190" s="92"/>
      <c r="G190" s="92"/>
      <c r="H190" s="92"/>
    </row>
    <row r="191" spans="1:15" hidden="1" outlineLevel="1">
      <c r="B191" s="27" t="s">
        <v>102</v>
      </c>
      <c r="D191" s="34"/>
      <c r="E191" s="34"/>
      <c r="F191" s="34"/>
      <c r="G191" s="34"/>
      <c r="H191" s="34"/>
      <c r="J191" s="22" t="s">
        <v>4</v>
      </c>
      <c r="N191" s="36" t="s">
        <v>354</v>
      </c>
    </row>
    <row r="192" spans="1:15" ht="20.25" hidden="1" customHeight="1" outlineLevel="1">
      <c r="A192" s="56" t="s">
        <v>9</v>
      </c>
      <c r="B192" s="32">
        <f>($B$194*$B$195)/$B$193</f>
        <v>2000</v>
      </c>
      <c r="C192" s="57" t="s">
        <v>175</v>
      </c>
      <c r="D192" s="89" t="s">
        <v>178</v>
      </c>
      <c r="E192" s="89"/>
      <c r="F192" s="89"/>
      <c r="G192" s="89"/>
      <c r="H192" s="89"/>
      <c r="I192" s="30" t="s">
        <v>9</v>
      </c>
      <c r="J192" s="20">
        <f>_xlfn.LET(
    _xlpm.v_1, $B$193,
    _xlpm.c_2, $B$194,
    _xlpm.v_2, $B$195,
    _xlpm.c_1, (_xlpm.c_2 * _xlpm.v_2) / _xlpm.v_1,
    _xlpm.return, _xlpm.c_1,
    _xlpm.return
)</f>
        <v>2000</v>
      </c>
      <c r="K192" s="31" t="s">
        <v>175</v>
      </c>
      <c r="M192" s="19" t="s">
        <v>9</v>
      </c>
      <c r="N192" s="35">
        <v>2000</v>
      </c>
      <c r="O192" s="29" t="s">
        <v>175</v>
      </c>
    </row>
    <row r="193" spans="1:15" hidden="1" outlineLevel="1">
      <c r="A193" s="19" t="s">
        <v>12</v>
      </c>
      <c r="B193" s="17">
        <v>5</v>
      </c>
      <c r="C193" s="29" t="s">
        <v>176</v>
      </c>
      <c r="D193" s="88" t="s">
        <v>179</v>
      </c>
      <c r="E193" s="88"/>
      <c r="F193" s="88"/>
      <c r="G193" s="88"/>
      <c r="H193" s="88"/>
      <c r="I193" s="19" t="s">
        <v>12</v>
      </c>
      <c r="J193" s="17">
        <v>5</v>
      </c>
      <c r="K193" s="29" t="s">
        <v>176</v>
      </c>
      <c r="M193" s="19" t="s">
        <v>12</v>
      </c>
      <c r="N193" s="35">
        <v>5</v>
      </c>
      <c r="O193" s="29" t="s">
        <v>176</v>
      </c>
    </row>
    <row r="194" spans="1:15" hidden="1" outlineLevel="1">
      <c r="A194" s="19" t="s">
        <v>11</v>
      </c>
      <c r="B194" s="17">
        <v>500</v>
      </c>
      <c r="C194" s="29" t="s">
        <v>175</v>
      </c>
      <c r="D194" s="88"/>
      <c r="E194" s="88"/>
      <c r="F194" s="88"/>
      <c r="G194" s="88"/>
      <c r="H194" s="88"/>
      <c r="I194" s="19" t="s">
        <v>11</v>
      </c>
      <c r="J194" s="17">
        <v>500</v>
      </c>
      <c r="K194" s="29" t="s">
        <v>175</v>
      </c>
      <c r="M194" s="19" t="s">
        <v>11</v>
      </c>
      <c r="N194" s="35"/>
      <c r="O194" s="29" t="s">
        <v>175</v>
      </c>
    </row>
    <row r="195" spans="1:15" hidden="1" outlineLevel="1">
      <c r="A195" s="19" t="s">
        <v>10</v>
      </c>
      <c r="B195" s="17">
        <v>20</v>
      </c>
      <c r="C195" s="29" t="s">
        <v>176</v>
      </c>
      <c r="D195" s="34"/>
      <c r="E195" s="34"/>
      <c r="F195" s="34"/>
      <c r="G195" s="34"/>
      <c r="H195" s="34"/>
      <c r="I195" s="19" t="s">
        <v>10</v>
      </c>
      <c r="J195" s="17">
        <v>20</v>
      </c>
      <c r="K195" s="29" t="s">
        <v>176</v>
      </c>
      <c r="M195" s="19" t="s">
        <v>10</v>
      </c>
      <c r="N195" s="35">
        <v>20</v>
      </c>
      <c r="O195" s="29" t="s">
        <v>176</v>
      </c>
    </row>
    <row r="196" spans="1:15" hidden="1" outlineLevel="1">
      <c r="D196" s="34"/>
      <c r="E196" s="34"/>
      <c r="F196" s="34"/>
      <c r="G196" s="34"/>
      <c r="H196" s="34"/>
    </row>
    <row r="197" spans="1:15" ht="20.25" hidden="1" outlineLevel="1">
      <c r="A197" s="19" t="s">
        <v>9</v>
      </c>
      <c r="B197" s="17">
        <v>2000</v>
      </c>
      <c r="C197" s="29" t="s">
        <v>175</v>
      </c>
      <c r="D197" s="89" t="s">
        <v>180</v>
      </c>
      <c r="E197" s="89"/>
      <c r="F197" s="89"/>
      <c r="G197" s="89"/>
      <c r="H197" s="89"/>
      <c r="I197" s="19" t="s">
        <v>9</v>
      </c>
      <c r="J197" s="17">
        <v>2000</v>
      </c>
      <c r="K197" s="29" t="s">
        <v>175</v>
      </c>
      <c r="N197" s="35" cm="1">
        <f t="array" ref="N197">DILUTIONEQ(N192,N193,N194,N195)</f>
        <v>500</v>
      </c>
    </row>
    <row r="198" spans="1:15" hidden="1" outlineLevel="1">
      <c r="A198" s="56" t="s">
        <v>12</v>
      </c>
      <c r="B198" s="32">
        <f>($B$199*$B$200)/$B$197</f>
        <v>5</v>
      </c>
      <c r="C198" s="57" t="s">
        <v>176</v>
      </c>
      <c r="D198" s="88" t="s">
        <v>181</v>
      </c>
      <c r="E198" s="88"/>
      <c r="F198" s="88"/>
      <c r="G198" s="88"/>
      <c r="H198" s="88"/>
      <c r="I198" s="30" t="s">
        <v>12</v>
      </c>
      <c r="J198" s="20">
        <f>_xlfn.LET(
    _xlpm.c_1, $B$197,
    _xlpm.c_2, $B$199,
    _xlpm.v_2, $B$200,
    _xlpm.v_1, (_xlpm.c_2 * _xlpm.v_2) / _xlpm.c_1,
    _xlpm.return, _xlpm.v_1,
    _xlpm.return
)</f>
        <v>5</v>
      </c>
      <c r="K198" s="31" t="s">
        <v>176</v>
      </c>
    </row>
    <row r="199" spans="1:15" hidden="1" outlineLevel="1">
      <c r="A199" s="19" t="s">
        <v>11</v>
      </c>
      <c r="B199" s="17">
        <v>500</v>
      </c>
      <c r="C199" s="29" t="s">
        <v>175</v>
      </c>
      <c r="D199" s="88"/>
      <c r="E199" s="88"/>
      <c r="F199" s="88"/>
      <c r="G199" s="88"/>
      <c r="H199" s="88"/>
      <c r="I199" s="19" t="s">
        <v>11</v>
      </c>
      <c r="J199" s="17">
        <v>500</v>
      </c>
      <c r="K199" s="29" t="s">
        <v>175</v>
      </c>
    </row>
    <row r="200" spans="1:15" hidden="1" outlineLevel="1">
      <c r="A200" s="19" t="s">
        <v>10</v>
      </c>
      <c r="B200" s="17">
        <v>20</v>
      </c>
      <c r="C200" s="29" t="s">
        <v>176</v>
      </c>
      <c r="D200" s="34"/>
      <c r="E200" s="34"/>
      <c r="F200" s="34"/>
      <c r="G200" s="34"/>
      <c r="H200" s="34"/>
      <c r="I200" s="19" t="s">
        <v>10</v>
      </c>
      <c r="J200" s="17">
        <v>20</v>
      </c>
      <c r="K200" s="29" t="s">
        <v>176</v>
      </c>
    </row>
    <row r="201" spans="1:15" hidden="1" outlineLevel="1">
      <c r="D201" s="34"/>
      <c r="E201" s="34"/>
      <c r="F201" s="34"/>
      <c r="G201" s="34"/>
      <c r="H201" s="34"/>
    </row>
    <row r="202" spans="1:15" ht="20.25" hidden="1" outlineLevel="1">
      <c r="A202" s="19" t="s">
        <v>9</v>
      </c>
      <c r="B202" s="17">
        <v>2000</v>
      </c>
      <c r="C202" s="29" t="s">
        <v>175</v>
      </c>
      <c r="D202" s="89" t="s">
        <v>182</v>
      </c>
      <c r="E202" s="89"/>
      <c r="F202" s="89"/>
      <c r="G202" s="89"/>
      <c r="H202" s="89"/>
      <c r="I202" s="19" t="s">
        <v>9</v>
      </c>
      <c r="J202" s="17">
        <v>2000</v>
      </c>
      <c r="K202" s="29" t="s">
        <v>175</v>
      </c>
    </row>
    <row r="203" spans="1:15" hidden="1" outlineLevel="1">
      <c r="A203" s="19" t="s">
        <v>12</v>
      </c>
      <c r="B203" s="17">
        <v>5</v>
      </c>
      <c r="C203" s="29" t="s">
        <v>176</v>
      </c>
      <c r="D203" s="88" t="s">
        <v>183</v>
      </c>
      <c r="E203" s="88"/>
      <c r="F203" s="88"/>
      <c r="G203" s="88"/>
      <c r="H203" s="88"/>
      <c r="I203" s="19" t="s">
        <v>12</v>
      </c>
      <c r="J203" s="17">
        <v>5</v>
      </c>
      <c r="K203" s="29" t="s">
        <v>176</v>
      </c>
    </row>
    <row r="204" spans="1:15" hidden="1" outlineLevel="1">
      <c r="A204" s="56" t="s">
        <v>11</v>
      </c>
      <c r="B204" s="32">
        <f>($B$202*$B$203)/$B$205</f>
        <v>500</v>
      </c>
      <c r="C204" s="57" t="s">
        <v>175</v>
      </c>
      <c r="D204" s="88"/>
      <c r="E204" s="88"/>
      <c r="F204" s="88"/>
      <c r="G204" s="88"/>
      <c r="H204" s="88"/>
      <c r="I204" s="30" t="s">
        <v>11</v>
      </c>
      <c r="J204" s="20">
        <f>_xlfn.LET(
    _xlpm.c_1, $B$202,
    _xlpm.v_1, $B$203,
    _xlpm.v_2, $B$205,
    _xlpm.c_2, (_xlpm.c_1 * _xlpm.v_1) / _xlpm.v_2,
    _xlpm.return, _xlpm.c_2,
    _xlpm.return
)</f>
        <v>500</v>
      </c>
      <c r="K204" s="31" t="s">
        <v>175</v>
      </c>
      <c r="N204" s="27" t="s">
        <v>355</v>
      </c>
    </row>
    <row r="205" spans="1:15" hidden="1" outlineLevel="1">
      <c r="A205" s="19" t="s">
        <v>10</v>
      </c>
      <c r="B205" s="17">
        <v>20</v>
      </c>
      <c r="C205" s="29" t="s">
        <v>176</v>
      </c>
      <c r="D205" s="34"/>
      <c r="E205" s="34"/>
      <c r="F205" s="34"/>
      <c r="G205" s="34"/>
      <c r="H205" s="34"/>
      <c r="I205" s="19" t="s">
        <v>10</v>
      </c>
      <c r="J205" s="17">
        <v>20</v>
      </c>
      <c r="K205" s="29" t="s">
        <v>176</v>
      </c>
      <c r="M205" s="19" t="s">
        <v>9</v>
      </c>
      <c r="N205" s="32">
        <v>2000</v>
      </c>
      <c r="O205" s="29" t="s">
        <v>175</v>
      </c>
    </row>
    <row r="206" spans="1:15" hidden="1" outlineLevel="1">
      <c r="D206" s="34"/>
      <c r="E206" s="34"/>
      <c r="F206" s="34"/>
      <c r="G206" s="34"/>
      <c r="H206" s="34"/>
      <c r="M206" s="19" t="s">
        <v>12</v>
      </c>
      <c r="N206" s="32">
        <v>5</v>
      </c>
      <c r="O206" s="29" t="s">
        <v>176</v>
      </c>
    </row>
    <row r="207" spans="1:15" ht="20.25" hidden="1" outlineLevel="1">
      <c r="A207" s="19" t="s">
        <v>9</v>
      </c>
      <c r="B207" s="17">
        <v>2000</v>
      </c>
      <c r="C207" s="29" t="s">
        <v>175</v>
      </c>
      <c r="D207" s="89" t="s">
        <v>184</v>
      </c>
      <c r="E207" s="89"/>
      <c r="F207" s="89"/>
      <c r="G207" s="89"/>
      <c r="H207" s="89"/>
      <c r="I207" s="19" t="s">
        <v>9</v>
      </c>
      <c r="J207" s="17">
        <v>2000</v>
      </c>
      <c r="K207" s="29" t="s">
        <v>175</v>
      </c>
      <c r="M207" s="19" t="s">
        <v>11</v>
      </c>
      <c r="N207" s="32"/>
      <c r="O207" s="29" t="s">
        <v>175</v>
      </c>
    </row>
    <row r="208" spans="1:15" ht="18.75" hidden="1" customHeight="1" outlineLevel="1">
      <c r="A208" s="19" t="s">
        <v>12</v>
      </c>
      <c r="B208" s="17">
        <v>5</v>
      </c>
      <c r="C208" s="29" t="s">
        <v>176</v>
      </c>
      <c r="D208" s="88" t="s">
        <v>185</v>
      </c>
      <c r="E208" s="88"/>
      <c r="F208" s="88"/>
      <c r="G208" s="88"/>
      <c r="H208" s="88"/>
      <c r="I208" s="19" t="s">
        <v>12</v>
      </c>
      <c r="J208" s="17">
        <v>5</v>
      </c>
      <c r="K208" s="29" t="s">
        <v>176</v>
      </c>
      <c r="M208" s="19" t="s">
        <v>10</v>
      </c>
      <c r="N208" s="32">
        <v>20</v>
      </c>
      <c r="O208" s="29" t="s">
        <v>176</v>
      </c>
    </row>
    <row r="209" spans="1:14" ht="18.75" hidden="1" customHeight="1" outlineLevel="1">
      <c r="A209" s="19" t="s">
        <v>11</v>
      </c>
      <c r="B209" s="17">
        <v>500</v>
      </c>
      <c r="C209" s="29" t="s">
        <v>175</v>
      </c>
      <c r="D209" s="88"/>
      <c r="E209" s="88"/>
      <c r="F209" s="88"/>
      <c r="G209" s="88"/>
      <c r="H209" s="88"/>
      <c r="I209" s="19" t="s">
        <v>11</v>
      </c>
      <c r="J209" s="17">
        <v>500</v>
      </c>
      <c r="K209" s="29" t="s">
        <v>175</v>
      </c>
    </row>
    <row r="210" spans="1:14" hidden="1" outlineLevel="1">
      <c r="A210" s="56" t="s">
        <v>10</v>
      </c>
      <c r="B210" s="32">
        <f>($B$207*$B$208)/$B$209</f>
        <v>20</v>
      </c>
      <c r="C210" s="57" t="s">
        <v>176</v>
      </c>
      <c r="I210" s="30" t="s">
        <v>10</v>
      </c>
      <c r="J210" s="20">
        <f>_xlfn.LET(
    _xlpm.c_1, $B$207,
    _xlpm.v_1, $B$208,
    _xlpm.c_2, $B$209,
    _xlpm.v_2, (_xlpm.c_1 * _xlpm.v_1) / _xlpm.c_2,
    _xlpm.return, _xlpm.v_2,
    _xlpm.return
)</f>
        <v>20</v>
      </c>
      <c r="K210" s="31" t="s">
        <v>176</v>
      </c>
      <c r="N210" s="32" cm="1">
        <f t="array" ref="N210">_xlfn.IFS(
(--(OR($N$205="",ISBLANK($N$205)))+
--(OR($N$206="",ISBLANK($N$206)))+
--(OR($N$207="",ISBLANK($N$207)))+
--(OR($N$208="",ISBLANK($N$208))))&lt;&gt;1,
"#UNKs!",
OR($N$205="",ISBLANK($N$205)),
($N$207*$N$208)/$N$206,
OR($N$206="",ISBLANK($N$206)),
($N$207*$N$208)/$N$205,
OR($N$207="",ISBLANK($N$207)),
($N$205*$N$206)/$N$208,
OR($N$208="",ISBLANK($N$208)),
($N$205*$N$206)/$N$207,
TRUE,"#OMITs!"
)</f>
        <v>500</v>
      </c>
    </row>
    <row r="211" spans="1:14" collapsed="1"/>
    <row r="212" spans="1:14" ht="20.25">
      <c r="A212" s="12" t="s">
        <v>549</v>
      </c>
    </row>
    <row r="213" spans="1:14" hidden="1" outlineLevel="1">
      <c r="C213" s="36"/>
      <c r="E213" s="91" t="s">
        <v>360</v>
      </c>
      <c r="F213" s="91"/>
      <c r="H213" s="91" t="s">
        <v>360</v>
      </c>
      <c r="I213" s="91"/>
    </row>
    <row r="214" spans="1:14" hidden="1" outlineLevel="1">
      <c r="A214" s="15" t="s">
        <v>2</v>
      </c>
      <c r="C214" s="37"/>
      <c r="E214" s="90" t="s">
        <v>361</v>
      </c>
      <c r="F214" s="90"/>
      <c r="H214" s="90" t="s">
        <v>362</v>
      </c>
      <c r="I214" s="90"/>
      <c r="N214" s="27"/>
    </row>
    <row r="215" spans="1:14" hidden="1" outlineLevel="1">
      <c r="A215" s="17">
        <v>2028.0182475332299</v>
      </c>
      <c r="E215" s="65" t="str" cm="1">
        <f t="array" ref="E215:F238">DESC_STATS(A215:A234)</f>
        <v>sum</v>
      </c>
      <c r="F215" s="17">
        <v>43507.391702698158</v>
      </c>
      <c r="H215" s="65" t="str" cm="1">
        <f t="array" ref="H215:I218">DESC_STATS(A215:A234, {"mean","std","rsd","iqr"})</f>
        <v>mean</v>
      </c>
      <c r="I215" s="17">
        <v>2175.369585134908</v>
      </c>
      <c r="N215" s="28"/>
    </row>
    <row r="216" spans="1:14" hidden="1" outlineLevel="1">
      <c r="A216" s="17">
        <v>1684.07512373445</v>
      </c>
      <c r="E216" s="66" t="str">
        <v>mean</v>
      </c>
      <c r="F216" s="17">
        <v>2175.369585134908</v>
      </c>
      <c r="H216" s="66" t="str">
        <v>std</v>
      </c>
      <c r="I216" s="17">
        <v>408.88375186505942</v>
      </c>
    </row>
    <row r="217" spans="1:14" hidden="1" outlineLevel="1">
      <c r="A217" s="17">
        <v>2682.192876565904</v>
      </c>
      <c r="E217" s="66" t="str">
        <v>med</v>
      </c>
      <c r="F217" s="17">
        <v>2223.501940197837</v>
      </c>
      <c r="H217" s="66" t="str">
        <v>rsd</v>
      </c>
      <c r="I217" s="17">
        <v>0.18796059054015965</v>
      </c>
    </row>
    <row r="218" spans="1:14" hidden="1" outlineLevel="1">
      <c r="A218" s="17">
        <v>2609.2819714745278</v>
      </c>
      <c r="E218" s="66" t="str">
        <v>mode</v>
      </c>
      <c r="F218" s="17" t="e">
        <v>#N/A</v>
      </c>
      <c r="H218" s="66" t="str">
        <v>iqr</v>
      </c>
      <c r="I218" s="17">
        <v>700.25387639326573</v>
      </c>
    </row>
    <row r="219" spans="1:14" hidden="1" outlineLevel="1">
      <c r="A219" s="17">
        <v>2396.9667916141302</v>
      </c>
      <c r="E219" s="66" t="str">
        <v>mad</v>
      </c>
      <c r="F219" s="17">
        <v>-5.9117155615240337E-13</v>
      </c>
      <c r="H219" s="66"/>
      <c r="I219" s="17"/>
    </row>
    <row r="220" spans="1:14" hidden="1" outlineLevel="1">
      <c r="A220" s="17">
        <v>1523.33077273302</v>
      </c>
      <c r="E220" s="66" t="str">
        <v>sem</v>
      </c>
      <c r="F220" s="17">
        <v>91.429186406542925</v>
      </c>
      <c r="H220" s="66"/>
      <c r="I220" s="17"/>
    </row>
    <row r="221" spans="1:14" hidden="1" outlineLevel="1">
      <c r="A221" s="17">
        <v>1564.8975195861099</v>
      </c>
      <c r="E221" s="66" t="str">
        <v>std</v>
      </c>
      <c r="F221" s="17">
        <v>408.88375186505942</v>
      </c>
      <c r="H221" s="66"/>
      <c r="I221" s="17"/>
    </row>
    <row r="222" spans="1:14" hidden="1" outlineLevel="1">
      <c r="A222" s="17">
        <v>1828.693274835317</v>
      </c>
      <c r="E222" s="66" t="str">
        <v>var</v>
      </c>
      <c r="F222" s="17">
        <v>167185.92253924749</v>
      </c>
      <c r="H222" s="66"/>
      <c r="I222" s="17"/>
    </row>
    <row r="223" spans="1:14" hidden="1" outlineLevel="1">
      <c r="A223" s="17">
        <v>2579.9720763798796</v>
      </c>
      <c r="E223" s="66" t="str">
        <v>rsd</v>
      </c>
      <c r="F223" s="17">
        <v>0.18796059054015965</v>
      </c>
      <c r="H223" s="66"/>
      <c r="I223" s="17"/>
    </row>
    <row r="224" spans="1:14" hidden="1" outlineLevel="1">
      <c r="A224" s="17">
        <v>2184.2125647719422</v>
      </c>
      <c r="E224" s="66" t="str">
        <v>iqr</v>
      </c>
      <c r="F224" s="17">
        <v>700.25387639326573</v>
      </c>
      <c r="H224" s="66"/>
      <c r="I224" s="17"/>
    </row>
    <row r="225" spans="1:12" hidden="1" outlineLevel="1">
      <c r="A225" s="17">
        <v>2343.289913321687</v>
      </c>
      <c r="E225" s="66" t="str">
        <v>p02</v>
      </c>
      <c r="F225" s="17">
        <v>1523.3631457747795</v>
      </c>
      <c r="H225" s="66"/>
      <c r="I225" s="17"/>
    </row>
    <row r="226" spans="1:12" hidden="1" outlineLevel="1">
      <c r="A226" s="17">
        <v>2705.91363016888</v>
      </c>
      <c r="E226" s="66" t="str">
        <v>p2</v>
      </c>
      <c r="F226" s="17">
        <v>1523.7030627132528</v>
      </c>
      <c r="H226" s="66"/>
      <c r="I226" s="17"/>
    </row>
    <row r="227" spans="1:12" hidden="1" outlineLevel="1">
      <c r="A227" s="17">
        <v>2262.7913156237323</v>
      </c>
      <c r="E227" s="66" t="str">
        <v>p16</v>
      </c>
      <c r="F227" s="17">
        <v>1687.1121049075682</v>
      </c>
      <c r="H227" s="66"/>
      <c r="I227" s="17"/>
    </row>
    <row r="228" spans="1:12" hidden="1" outlineLevel="1">
      <c r="A228" s="17">
        <v>2671.2431888853894</v>
      </c>
      <c r="E228" s="66" t="str">
        <v>p25</v>
      </c>
      <c r="F228" s="17">
        <v>1882.5063216240383</v>
      </c>
      <c r="H228" s="66"/>
      <c r="I228" s="17"/>
    </row>
    <row r="229" spans="1:12" hidden="1" outlineLevel="1">
      <c r="A229" s="17">
        <v>1524.1826948845828</v>
      </c>
      <c r="E229" s="66" t="str">
        <v>p75</v>
      </c>
      <c r="F229" s="17">
        <v>2582.760198017304</v>
      </c>
      <c r="H229" s="66"/>
      <c r="I229" s="17"/>
      <c r="K229" s="63"/>
      <c r="L229" s="64"/>
    </row>
    <row r="230" spans="1:12" hidden="1" outlineLevel="1">
      <c r="A230" s="17">
        <v>1900.4440038869452</v>
      </c>
      <c r="E230" s="66" t="str">
        <v>p84</v>
      </c>
      <c r="F230" s="17">
        <v>2608.9006658950839</v>
      </c>
      <c r="H230" s="66"/>
      <c r="I230" s="17"/>
      <c r="K230" s="63"/>
      <c r="L230" s="64"/>
    </row>
    <row r="231" spans="1:12" hidden="1" outlineLevel="1">
      <c r="A231" s="17">
        <v>1984.0815718042713</v>
      </c>
      <c r="E231" s="66" t="str">
        <v>p98</v>
      </c>
      <c r="F231" s="17">
        <v>2695.5476608443796</v>
      </c>
      <c r="H231" s="66"/>
      <c r="I231" s="17"/>
      <c r="K231" s="63"/>
      <c r="L231" s="64"/>
    </row>
    <row r="232" spans="1:12" hidden="1" outlineLevel="1">
      <c r="A232" s="17">
        <v>2395.8282841212472</v>
      </c>
      <c r="E232" s="66" t="str">
        <v>p99</v>
      </c>
      <c r="F232" s="17">
        <v>2705.012241531967</v>
      </c>
      <c r="H232" s="66"/>
      <c r="I232" s="17"/>
      <c r="K232" s="63"/>
      <c r="L232" s="64"/>
    </row>
    <row r="233" spans="1:12" hidden="1" outlineLevel="1">
      <c r="A233" s="17">
        <v>2591.1245629295772</v>
      </c>
      <c r="E233" s="66" t="str">
        <v>min</v>
      </c>
      <c r="F233" s="17">
        <v>1523.33077273302</v>
      </c>
      <c r="H233" s="66"/>
      <c r="I233" s="17"/>
      <c r="K233" s="63"/>
      <c r="L233" s="64"/>
    </row>
    <row r="234" spans="1:12" hidden="1" outlineLevel="1">
      <c r="A234" s="17">
        <v>2046.851317843325</v>
      </c>
      <c r="E234" s="66" t="str">
        <v>max</v>
      </c>
      <c r="F234" s="17">
        <v>2705.91363016888</v>
      </c>
      <c r="H234" s="66"/>
      <c r="I234" s="17"/>
      <c r="K234" s="63"/>
      <c r="L234" s="64"/>
    </row>
    <row r="235" spans="1:12" hidden="1" outlineLevel="1">
      <c r="E235" s="66" t="str">
        <v>rng</v>
      </c>
      <c r="F235" s="17">
        <v>1182.58285743586</v>
      </c>
      <c r="H235" s="66"/>
      <c r="I235" s="17"/>
      <c r="K235" s="63"/>
      <c r="L235" s="64"/>
    </row>
    <row r="236" spans="1:12" hidden="1" outlineLevel="1">
      <c r="E236" s="66" t="str">
        <v>kurt</v>
      </c>
      <c r="F236" s="17">
        <v>-1.2561182414371426</v>
      </c>
      <c r="H236" s="66"/>
      <c r="I236" s="17"/>
    </row>
    <row r="237" spans="1:12" hidden="1" outlineLevel="1">
      <c r="E237" s="66" t="str">
        <v>skew</v>
      </c>
      <c r="F237" s="17">
        <v>-0.27884711906788689</v>
      </c>
      <c r="H237" s="66"/>
      <c r="I237" s="17"/>
    </row>
    <row r="238" spans="1:12" hidden="1" outlineLevel="1">
      <c r="E238" s="66" t="str">
        <v>vmr</v>
      </c>
      <c r="F238" s="17">
        <v>76.85403146283268</v>
      </c>
      <c r="H238" s="66"/>
      <c r="I238" s="17"/>
    </row>
    <row r="239" spans="1:12" collapsed="1"/>
    <row r="240" spans="1:12" ht="20.25">
      <c r="A240" s="12" t="s">
        <v>474</v>
      </c>
    </row>
    <row r="241" spans="1:9">
      <c r="A241" s="75" t="s">
        <v>476</v>
      </c>
    </row>
    <row r="242" spans="1:9" s="3" customFormat="1" ht="15" hidden="1" outlineLevel="1">
      <c r="A242" s="51" t="s">
        <v>477</v>
      </c>
    </row>
    <row r="243" spans="1:9" s="3" customFormat="1" ht="15" hidden="1" outlineLevel="1">
      <c r="A243" s="51" t="s">
        <v>481</v>
      </c>
    </row>
    <row r="244" spans="1:9" s="3" customFormat="1" ht="15" hidden="1" outlineLevel="1">
      <c r="A244" s="54" t="s">
        <v>479</v>
      </c>
    </row>
    <row r="245" spans="1:9" s="3" customFormat="1" ht="15" hidden="1" outlineLevel="1">
      <c r="A245" s="54" t="s">
        <v>480</v>
      </c>
    </row>
    <row r="246" spans="1:9" s="3" customFormat="1" ht="15" hidden="1" outlineLevel="1">
      <c r="A246" s="51" t="s">
        <v>484</v>
      </c>
    </row>
    <row r="247" spans="1:9" s="3" customFormat="1" ht="15" hidden="1" outlineLevel="1">
      <c r="A247" s="54" t="s">
        <v>483</v>
      </c>
    </row>
    <row r="248" spans="1:9" s="3" customFormat="1" ht="15" hidden="1" outlineLevel="1">
      <c r="A248" s="54" t="s">
        <v>482</v>
      </c>
    </row>
    <row r="249" spans="1:9" s="3" customFormat="1" ht="15" hidden="1" outlineLevel="1">
      <c r="A249" s="54" t="s">
        <v>485</v>
      </c>
    </row>
    <row r="250" spans="1:9" s="3" customFormat="1" ht="15" hidden="1" outlineLevel="1">
      <c r="A250" s="54"/>
    </row>
    <row r="251" spans="1:9" s="3" customFormat="1" ht="15" hidden="1" outlineLevel="1">
      <c r="A251" s="77" t="str">
        <f>"What improvements can be made to the LET formulas in cells " &amp; ADDRESS(ROW(J264),COLUMN(J264),4) &amp; ":" &amp; ADDRESS(ROW(J273),COLUMN(J273),4) &amp; "?"</f>
        <v>What improvements can be made to the LET formulas in cells J264:J273?</v>
      </c>
    </row>
    <row r="252" spans="1:9" s="3" customFormat="1" ht="15" hidden="1" outlineLevel="1">
      <c r="A252" s="77" t="s">
        <v>478</v>
      </c>
    </row>
    <row r="253" spans="1:9" s="3" customFormat="1" ht="15" hidden="1" outlineLevel="1">
      <c r="A253" s="77" t="s">
        <v>486</v>
      </c>
    </row>
    <row r="254" spans="1:9" s="3" customFormat="1" ht="15" collapsed="1">
      <c r="A254" s="77"/>
    </row>
    <row r="255" spans="1:9" s="3" customFormat="1" ht="15.75">
      <c r="A255" s="75" t="s">
        <v>2</v>
      </c>
    </row>
    <row r="256" spans="1:9" hidden="1" outlineLevel="1">
      <c r="C256" s="86" t="s">
        <v>419</v>
      </c>
      <c r="D256" s="86"/>
      <c r="E256" s="86"/>
      <c r="F256" s="86"/>
      <c r="G256" s="86"/>
      <c r="H256" s="86"/>
      <c r="I256" s="86"/>
    </row>
    <row r="257" spans="2:18" hidden="1" outlineLevel="1">
      <c r="B257" s="81" t="s">
        <v>375</v>
      </c>
      <c r="C257" s="73">
        <v>300</v>
      </c>
      <c r="D257" s="73">
        <v>133</v>
      </c>
      <c r="E257" s="73">
        <v>92</v>
      </c>
      <c r="F257" s="72">
        <v>75.5</v>
      </c>
      <c r="G257" s="71">
        <v>0.72499999999999998</v>
      </c>
      <c r="H257" s="72">
        <v>13.7</v>
      </c>
      <c r="I257" s="73">
        <v>75</v>
      </c>
    </row>
    <row r="258" spans="2:18" hidden="1" outlineLevel="1">
      <c r="B258" s="70"/>
      <c r="C258" s="70"/>
      <c r="D258" s="70"/>
      <c r="E258" s="70"/>
      <c r="F258" s="70"/>
      <c r="G258" s="70"/>
      <c r="H258" s="70"/>
      <c r="I258" s="70"/>
    </row>
    <row r="259" spans="2:18" hidden="1" outlineLevel="1">
      <c r="B259" s="70"/>
      <c r="C259" s="86" t="s">
        <v>418</v>
      </c>
      <c r="D259" s="86"/>
      <c r="E259" s="86"/>
      <c r="F259" s="86"/>
      <c r="G259" s="86"/>
      <c r="H259" s="86"/>
      <c r="I259" s="86"/>
      <c r="M259" s="74" t="s">
        <v>420</v>
      </c>
    </row>
    <row r="260" spans="2:18" hidden="1" outlineLevel="1">
      <c r="B260" s="81" t="s">
        <v>374</v>
      </c>
      <c r="C260" s="73">
        <v>50</v>
      </c>
      <c r="D260" s="73">
        <v>10</v>
      </c>
      <c r="E260" s="73">
        <v>7</v>
      </c>
      <c r="F260" s="72">
        <v>1.1000000000000001</v>
      </c>
      <c r="G260" s="71">
        <v>0.03</v>
      </c>
      <c r="H260" s="72">
        <v>0.4</v>
      </c>
      <c r="I260" s="73">
        <v>20</v>
      </c>
      <c r="M260" s="73">
        <v>1</v>
      </c>
    </row>
    <row r="261" spans="2:18" hidden="1" outlineLevel="1">
      <c r="B261" s="81" t="s">
        <v>50</v>
      </c>
      <c r="C261" s="73">
        <v>100</v>
      </c>
      <c r="D261" s="73">
        <v>20</v>
      </c>
      <c r="E261" s="73">
        <v>11</v>
      </c>
      <c r="F261" s="72">
        <v>2.1</v>
      </c>
      <c r="G261" s="71">
        <v>0.06</v>
      </c>
      <c r="H261" s="72">
        <v>0.8</v>
      </c>
      <c r="I261" s="73">
        <v>35</v>
      </c>
      <c r="M261" s="73">
        <v>3</v>
      </c>
    </row>
    <row r="262" spans="2:18" hidden="1" outlineLevel="1">
      <c r="C262" s="70"/>
      <c r="D262" s="70"/>
      <c r="E262" s="70"/>
      <c r="F262" s="70"/>
      <c r="G262" s="70"/>
      <c r="H262" s="70"/>
      <c r="I262" s="70"/>
    </row>
    <row r="263" spans="2:18" ht="20.25" hidden="1" outlineLevel="1">
      <c r="B263" s="60" t="s">
        <v>367</v>
      </c>
      <c r="C263" s="60" t="s">
        <v>368</v>
      </c>
      <c r="D263" s="60" t="s">
        <v>369</v>
      </c>
      <c r="E263" s="60" t="s">
        <v>370</v>
      </c>
      <c r="F263" s="60" t="s">
        <v>371</v>
      </c>
      <c r="G263" s="60" t="s">
        <v>372</v>
      </c>
      <c r="H263" s="60" t="s">
        <v>416</v>
      </c>
      <c r="I263" s="60" t="s">
        <v>373</v>
      </c>
      <c r="J263" s="76" t="s">
        <v>376</v>
      </c>
      <c r="K263" s="76" t="s">
        <v>401</v>
      </c>
      <c r="M263" s="79" t="s">
        <v>413</v>
      </c>
    </row>
    <row r="264" spans="2:18" hidden="1" outlineLevel="1">
      <c r="B264" s="16">
        <v>1</v>
      </c>
      <c r="C264" s="73">
        <v>300</v>
      </c>
      <c r="D264" s="73"/>
      <c r="E264" s="73">
        <v>91.637370333648832</v>
      </c>
      <c r="F264" s="73">
        <v>73.602300538765675</v>
      </c>
      <c r="G264" s="71">
        <v>0.73072805928399798</v>
      </c>
      <c r="H264" s="73"/>
      <c r="I264" s="73">
        <v>77.457247310105274</v>
      </c>
      <c r="J264" s="20" t="str">
        <f>_xlfn.LET(
    _xlpm.FN, IF(ABS(C264-$C$257) &gt;= $C$261, 3, IF(ABS(C264-$C$257) &gt;= $C$260, 1, 0)),
    _xlpm.Cd, IF(ABS(D264-$D$257) &gt;= $D$261, 3, IF(ABS(D264-$D$257) &gt;= $D$260, 1, 0)),
    _xlpm.HVK, IF(ABS(E264-$E$257) &gt;= $E$261, 3, IF(ABS(E264-$E$257) &gt;= $E$260, 1, 0)),
    _xlpm.Mill, IF(ABS(F264-$F$257) &gt;= $F$261, 3, IF(ABS(F264-$F$257) &gt;= $F$260, 1, 0)),
    _xlpm.Ash, IF(ABS(G264-$G$257) &gt;= $G$261, 3, IF(ABS(G264-$G$257) &gt;= $G$260, 1, 0)),
    _xlpm.Pro, IF(ABS(H264-$H$257) &gt;= $H$261, 3, IF(ABS(H264-$H$257) &gt;= $H$260, 1, 0)),
    _xlpm.GI, IF(ABS(I264-$I$257) &gt;= $I$261, 3, IF(ABS(I264-$I$257) &gt;= $I$260, 1, 0)),
    _xlpm.demerit, SUM(_xlpm.FN, _xlpm.Cd, _xlpm.HVK, _xlpm.Mill, _xlpm.Ash, _xlpm.Pro, _xlpm.GI),
    IF(
        OR(C264="", D264="", E264="", F264="", G264="", H264="", I264=""),
        "",
        IF(_xlpm.demerit &lt; 3, "Pass", "Discuss")
    )
)</f>
        <v/>
      </c>
      <c r="K264" s="20" t="str" cm="1">
        <f t="array" ref="K264">_xlfn.LET(
    _xlpm.s_flag, 1,
    _xlpm.s_poor, 3,
    _xlpm.max_demrits, 3,
    _xlpm.get_score, _xlfn.LAMBDA(_xlpm.val,_xlpm.exp,_xlpm.flag,_xlpm.poor,
        _xlfn.LET(
            _xlpm.abs_diff, ABS(_xlpm.val - _xlpm.exp),
            IF(_xlpm.abs_diff &gt;= _xlpm.poor, _xlpm.s_poor, IF(_xlpm.abs_diff &gt;= _xlpm.flag, _xlpm.s_flag, 0))
        )
    ),
    _xlpm.FN, _xlpm.get_score(C264, $C$257, $C$260, $C$261),
    _xlpm.Cd, _xlpm.get_score(D264, $D$257, $D$260, $D$261),
    _xlpm.HVK, _xlpm.get_score(E264, $E$257, $E$260, $E$261),
    _xlpm.Mill, _xlpm.get_score(F264, $F$257, $F$260, $F$261),
    _xlpm.Ash, _xlpm.get_score(G264, $G$257, $G$260, $G$261),
    _xlpm.Pro, _xlpm.get_score(H264, $H$257, $H$260, $H$261),
    _xlpm.GI, _xlpm.get_score(I264, $I$257, $I$260, $I$261),
    _xlpm.demerit, SUM(_xlpm.FN, _xlpm.Cd, _xlpm.HVK, _xlpm.Mill, _xlpm.Ash, _xlpm.Pro, _xlpm.GI),
    _xlpm.is_blk, OR(C264="", D264="", E264="", F264="", G264="", H264="", I264=""),
    _xlpm.msg, IF(_xlpm.demerit &lt; _xlpm.max_demrits, "Pass", "Discuss"),
    _xlpm.return, IF(_xlpm.is_blk, "", _xlpm.msg),
    _xlpm.return
)</f>
        <v/>
      </c>
      <c r="M264" s="35" t="str" cm="1">
        <f t="array" ref="M264:M273">MERIT_ASSESSMENT(C264:I273,C257:I257,C263:I263,C260:I261,M260:M261,M261)</f>
        <v>[1] BLK: Cd, Pro</v>
      </c>
      <c r="N264" s="70"/>
      <c r="O264" s="70"/>
      <c r="P264" s="70"/>
      <c r="Q264" s="70"/>
      <c r="R264" s="70"/>
    </row>
    <row r="265" spans="2:18" hidden="1" outlineLevel="1">
      <c r="B265" s="16">
        <v>2</v>
      </c>
      <c r="C265" s="73">
        <v>252.47478343469157</v>
      </c>
      <c r="D265" s="73">
        <v>151.67218293889272</v>
      </c>
      <c r="E265" s="73">
        <v>88.902798516441791</v>
      </c>
      <c r="F265" s="72">
        <v>75.767237563058785</v>
      </c>
      <c r="G265" s="71">
        <v>0.71669489687928178</v>
      </c>
      <c r="H265" s="72">
        <v>13.94533886238805</v>
      </c>
      <c r="I265" s="73">
        <v>65.132971042994271</v>
      </c>
      <c r="J265" s="20" t="str">
        <f>_xlfn.LET(
    _xlpm.FN, IF(ABS(C265-$C$257) &gt;= $C$261, 3, IF(ABS(C265-$C$257) &gt;= $C$260, 1, 0)),
    _xlpm.Cd, IF(ABS(D265-$D$257) &gt;= $D$261, 3, IF(ABS(D265-$D$257) &gt;= $D$260, 1, 0)),
    _xlpm.HVK, IF(ABS(E265-$E$257) &gt;= $E$261, 3, IF(ABS(E265-$E$257) &gt;= $E$260, 1, 0)),
    _xlpm.Mill, IF(ABS(F265-$F$257) &gt;= $F$261, 3, IF(ABS(F265-$F$257) &gt;= $F$260, 1, 0)),
    _xlpm.Ash, IF(ABS(G265-$G$257) &gt;= $G$261, 3, IF(ABS(G265-$G$257) &gt;= $G$260, 1, 0)),
    _xlpm.Pro, IF(ABS(H265-$H$257) &gt;= $H$261, 3, IF(ABS(H265-$H$257) &gt;= $H$260, 1, 0)),
    _xlpm.GI, IF(ABS(I265-$I$257) &gt;= $I$261, 3, IF(ABS(I265-$I$257) &gt;= $I$260, 1, 0)),
    _xlpm.demerit, SUM(_xlpm.FN, _xlpm.Cd, _xlpm.HVK, _xlpm.Mill, _xlpm.Ash, _xlpm.Pro, _xlpm.GI),
    _xlpm.is_blk, OR(C265="", D265="", E265="", F265="", G265="", H265="", I265=""),
    _xlpm.return, IF(_xlpm.is_blk, "", IF(_xlpm.demerit &lt; 3, "Pass", "Discuss")),
    _xlpm.return
)</f>
        <v>Pass</v>
      </c>
      <c r="K265" s="20" t="str" cm="1">
        <f t="array" ref="K265">_xlfn.LET(
    _xlpm.flag, 1,
    _xlpm.poor, 3,
    _xlpm.max_demrits, 3,
    _xlpm.get_score, _xlfn.LAMBDA(_xlpm.x,_xlpm.e,_xlpm.f,_xlpm.p,
        _xlfn.LET(
            _xlpm.d, ABS(_xlpm.x-_xlpm.e),
            IF(_xlpm.d &gt;= _xlpm.p, _xlpm.poor, IF(_xlpm.d &gt;= _xlpm.f, _xlpm.flag, 0))
        )
    ),
    _xlpm.FN, _xlpm.get_score(C265, $C$257, $C$260, $C$261),
    _xlpm.Cd, _xlpm.get_score(D265, $D$257, $D$260, $D$261),
    _xlpm.HVK, _xlpm.get_score(E265, $E$257, $E$260, $E$261),
    _xlpm.Mill, _xlpm.get_score(F265, $F$257, $F$260, $F$261),
    _xlpm.Ash, _xlpm.get_score(G265, $G$257, $G$260, $G$261),
    _xlpm.Pro, _xlpm.get_score(H265, $H$257, $H$260, $H$261),
    _xlpm.GI, _xlpm.get_score(I265, $I$257, $I$260, $I$261),
    _xlpm.demerit, SUM(_xlpm.FN, _xlpm.Cd, _xlpm.HVK, _xlpm.Mill, _xlpm.Ash, _xlpm.Pro, _xlpm.GI),
    _xlpm.is_blk, OR(C265="", D265="", E265="", F265="", G265="", H265="", I265=""),
    _xlpm.return, IF(
        _xlpm.is_blk,
        "",
        IF(_xlpm.demerit &lt; _xlpm.max_demrits, "Pass", "Discuss")
    ),
    _xlpm.return
)</f>
        <v>Pass</v>
      </c>
      <c r="M265" s="35" t="str">
        <v>Pass</v>
      </c>
      <c r="N265" s="70"/>
      <c r="O265" s="70"/>
      <c r="P265" s="70"/>
      <c r="Q265" s="70"/>
      <c r="R265" s="70"/>
    </row>
    <row r="266" spans="2:18" hidden="1" outlineLevel="1">
      <c r="B266" s="16">
        <v>3</v>
      </c>
      <c r="C266" s="73">
        <v>213.46422899626384</v>
      </c>
      <c r="D266" s="73">
        <v>125.59439746584815</v>
      </c>
      <c r="E266" s="73">
        <v>98.482591058522615</v>
      </c>
      <c r="F266" s="72">
        <v>73.581147959717129</v>
      </c>
      <c r="G266" s="71">
        <v>0.78072805928399802</v>
      </c>
      <c r="H266" s="72">
        <v>14.316034904126106</v>
      </c>
      <c r="I266" s="73">
        <v>82.264297765365811</v>
      </c>
      <c r="J266" s="20" t="str">
        <f>_xlfn.LET(
    _xlpm.FN, IF(ABS(C266-$C$257) &gt;= $C$261, 3, IF(ABS(C266-$C$257) &gt;= $C$260, 1, 0)),
    _xlpm.Cd, IF(ABS(D266-$D$257) &gt;= $D$261, 3, IF(ABS(D266-$D$257) &gt;= $D$260, 1, 0)),
    _xlpm.HVK, IF(ABS(E266-$E$257) &gt;= $E$261, 3, IF(ABS(E266-$E$257) &gt;= $E$260, 1, 0)),
    _xlpm.Mill, IF(ABS(F266-$F$257) &gt;= $F$261, 3, IF(ABS(F266-$F$257) &gt;= $F$260, 1, 0)),
    _xlpm.Ash, IF(ABS(G266-$G$257) &gt;= $G$261, 3, IF(ABS(G266-$G$257) &gt;= $G$260, 1, 0)),
    _xlpm.Pro, IF(ABS(H266-$H$257) &gt;= $H$261, 3, IF(ABS(H266-$H$257) &gt;= $H$260, 1, 0)),
    _xlpm.GI, IF(ABS(I266-$I$257) &gt;= $I$261, 3, IF(ABS(I266-$I$257) &gt;= $I$260, 1, 0)),
    _xlpm.demerit, SUM(_xlpm.FN, _xlpm.Cd, _xlpm.HVK, _xlpm.Mill, _xlpm.Ash, _xlpm.Pro, _xlpm.GI),
    _xlpm.is_blk, OR(C266="", D266="", E266="", F266="", G266="", H266="", I266=""),
    _xlpm.return, IF(_xlpm.is_blk, "", IF(_xlpm.demerit &lt; 3, "Pass", "Discuss")),
    _xlpm.return
)</f>
        <v>Discuss</v>
      </c>
      <c r="K266" s="20" t="str" cm="1">
        <f t="array" ref="K266">_xlfn.LET(
    _xlpm.flag, 1,
    _xlpm.poor, 3,
    _xlpm.max_demrits, 3,
    _xlpm.get_score, _xlfn.LAMBDA(_xlpm.x,_xlpm.e,_xlpm.f,_xlpm.p,
        _xlfn.LET(
            _xlpm.d, ABS(_xlpm.x-_xlpm.e),
            IF(_xlpm.d &gt;= _xlpm.p, _xlpm.poor, IF(_xlpm.d &gt;= _xlpm.f, _xlpm.flag, 0))
        )
    ),
    _xlpm.FN, _xlpm.get_score(C266, $C$257, $C$260, $C$261),
    _xlpm.Cd, _xlpm.get_score(D266, $D$257, $D$260, $D$261),
    _xlpm.HVK, _xlpm.get_score(E266, $E$257, $E$260, $E$261),
    _xlpm.Mill, _xlpm.get_score(F266, $F$257, $F$260, $F$261),
    _xlpm.Ash, _xlpm.get_score(G266, $G$257, $G$260, $G$261),
    _xlpm.Pro, _xlpm.get_score(H266, $H$257, $H$260, $H$261),
    _xlpm.GI, _xlpm.get_score(I266, $I$257, $I$260, $I$261),
    _xlpm.demerit, SUM(_xlpm.FN, _xlpm.Cd, _xlpm.HVK, _xlpm.Mill, _xlpm.Ash, _xlpm.Pro, _xlpm.GI),
    _xlpm.is_blk, OR(C266="", D266="", E266="", F266="", G266="", H266="", I266=""),
    _xlpm.return, IF(
        _xlpm.is_blk,
        "",
        IF(_xlpm.demerit &lt; _xlpm.max_demrits, "Pass", "Discuss")
    ),
    _xlpm.return
)</f>
        <v>Discuss</v>
      </c>
      <c r="M266" s="35" t="str">
        <v>Discuss</v>
      </c>
      <c r="N266" s="70"/>
      <c r="O266" s="70"/>
      <c r="P266" s="70"/>
      <c r="Q266" s="70"/>
      <c r="R266" s="70"/>
    </row>
    <row r="267" spans="2:18" hidden="1" outlineLevel="1">
      <c r="B267" s="16">
        <v>4</v>
      </c>
      <c r="C267" s="73">
        <v>341.20761126744736</v>
      </c>
      <c r="D267" s="73">
        <v>133.2086923019134</v>
      </c>
      <c r="E267" s="73">
        <v>86.693425350941794</v>
      </c>
      <c r="F267" s="72"/>
      <c r="G267" s="71">
        <v>0.72795989823961282</v>
      </c>
      <c r="H267" s="72">
        <v>13.952207409018637</v>
      </c>
      <c r="I267" s="73">
        <v>99.974401537749728</v>
      </c>
      <c r="J267" s="20" t="str">
        <f>_xlfn.LET(
    _xlpm.FN, IF(ABS(C267-$C$257) &gt;= $C$261, 3, IF(ABS(C267-$C$257) &gt;= $C$260, 1, 0)),
    _xlpm.Cd, IF(ABS(D267-$D$257) &gt;= $D$261, 3, IF(ABS(D267-$D$257) &gt;= $D$260, 1, 0)),
    _xlpm.HVK, IF(ABS(E267-$E$257) &gt;= $E$261, 3, IF(ABS(E267-$E$257) &gt;= $E$260, 1, 0)),
    _xlpm.Mill, IF(ABS(F267-$F$257) &gt;= $F$261, 3, IF(ABS(F267-$F$257) &gt;= $F$260, 1, 0)),
    _xlpm.Ash, IF(ABS(G267-$G$257) &gt;= $G$261, 3, IF(ABS(G267-$G$257) &gt;= $G$260, 1, 0)),
    _xlpm.Pro, IF(ABS(H267-$H$257) &gt;= $H$261, 3, IF(ABS(H267-$H$257) &gt;= $H$260, 1, 0)),
    _xlpm.GI, IF(ABS(I267-$I$257) &gt;= $I$261, 3, IF(ABS(I267-$I$257) &gt;= $I$260, 1, 0)),
    _xlpm.demerit, SUM(_xlpm.FN, _xlpm.Cd, _xlpm.HVK, _xlpm.Mill, _xlpm.Ash, _xlpm.Pro, _xlpm.GI),
    _xlpm.is_blk, OR(C267="", D267="", E267="", F267="", G267="", H267="", I267=""),
    _xlpm.return, IF(_xlpm.is_blk, "", IF(_xlpm.demerit &lt; 3, "Pass", "Discuss")),
    _xlpm.return
)</f>
        <v/>
      </c>
      <c r="K267" s="20" t="str" cm="1">
        <f t="array" ref="K267">_xlfn.LET(
    _xlpm.flag, 1,
    _xlpm.poor, 3,
    _xlpm.max_demrits, 3,
    _xlpm.get_score, _xlfn.LAMBDA(_xlpm.x,_xlpm.e,_xlpm.f,_xlpm.p,
        _xlfn.LET(
            _xlpm.d, ABS(_xlpm.x-_xlpm.e),
            IF(_xlpm.d &gt;= _xlpm.p, _xlpm.poor, IF(_xlpm.d &gt;= _xlpm.f, _xlpm.flag, 0))
        )
    ),
    _xlpm.FN, _xlpm.get_score(C267, $C$257, $C$260, $C$261),
    _xlpm.Cd, _xlpm.get_score(D267, $D$257, $D$260, $D$261),
    _xlpm.HVK, _xlpm.get_score(E267, $E$257, $E$260, $E$261),
    _xlpm.Mill, _xlpm.get_score(F267, $F$257, $F$260, $F$261),
    _xlpm.Ash, _xlpm.get_score(G267, $G$257, $G$260, $G$261),
    _xlpm.Pro, _xlpm.get_score(H267, $H$257, $H$260, $H$261),
    _xlpm.GI, _xlpm.get_score(I267, $I$257, $I$260, $I$261),
    _xlpm.demerit, SUM(_xlpm.FN, _xlpm.Cd, _xlpm.HVK, _xlpm.Mill, _xlpm.Ash, _xlpm.Pro, _xlpm.GI),
    _xlpm.is_blk, OR(C267="", D267="", E267="", F267="", G267="", H267="", I267=""),
    _xlpm.return, IF(
        _xlpm.is_blk,
        "",
        IF(_xlpm.demerit &lt; _xlpm.max_demrits, "Pass", "Discuss")
    ),
    _xlpm.return
)</f>
        <v/>
      </c>
      <c r="M267" s="35" t="str">
        <v>[1] BLK: Mill</v>
      </c>
      <c r="N267" s="70"/>
      <c r="O267" s="70"/>
      <c r="P267" s="70"/>
      <c r="Q267" s="70"/>
      <c r="R267" s="70"/>
    </row>
    <row r="268" spans="2:18" hidden="1" outlineLevel="1">
      <c r="B268" s="16">
        <v>5</v>
      </c>
      <c r="C268" s="73">
        <v>351.32841376593097</v>
      </c>
      <c r="D268" s="73">
        <v>131.53836892284707</v>
      </c>
      <c r="E268" s="73">
        <v>102.09997748388687</v>
      </c>
      <c r="F268" s="72">
        <v>75.853527801233142</v>
      </c>
      <c r="G268" s="71">
        <v>0.70615194820177007</v>
      </c>
      <c r="H268" s="72">
        <v>13.765138605002608</v>
      </c>
      <c r="I268" s="73">
        <v>51.652073730114722</v>
      </c>
      <c r="J268" s="20" t="str">
        <f>_xlfn.LET(
    _xlpm.FN, IF(ABS(C268-$C$257) &gt;= $C$261, 3, IF(ABS(C268-$C$257) &gt;= $C$260, 1, 0)),
    _xlpm.Cd, IF(ABS(D268-$D$257) &gt;= $D$261, 3, IF(ABS(D268-$D$257) &gt;= $D$260, 1, 0)),
    _xlpm.HVK, IF(ABS(E268-$E$257) &gt;= $E$261, 3, IF(ABS(E268-$E$257) &gt;= $E$260, 1, 0)),
    _xlpm.Mill, IF(ABS(F268-$F$257) &gt;= $F$261, 3, IF(ABS(F268-$F$257) &gt;= $F$260, 1, 0)),
    _xlpm.Ash, IF(ABS(G268-$G$257) &gt;= $G$261, 3, IF(ABS(G268-$G$257) &gt;= $G$260, 1, 0)),
    _xlpm.Pro, IF(ABS(H268-$H$257) &gt;= $H$261, 3, IF(ABS(H268-$H$257) &gt;= $H$260, 1, 0)),
    _xlpm.GI, IF(ABS(I268-$I$257) &gt;= $I$261, 3, IF(ABS(I268-$I$257) &gt;= $I$260, 1, 0)),
    _xlpm.demerit, SUM(_xlpm.FN, _xlpm.Cd, _xlpm.HVK, _xlpm.Mill, _xlpm.Ash, _xlpm.Pro, _xlpm.GI),
    _xlpm.is_blk, OR(C268="", D268="", E268="", F268="", G268="", H268="", I268=""),
    _xlpm.return, IF(_xlpm.is_blk, "", IF(_xlpm.demerit &lt; 3, "Pass", "Discuss")),
    _xlpm.return
)</f>
        <v>Discuss</v>
      </c>
      <c r="K268" s="20" t="str" cm="1">
        <f t="array" ref="K268">_xlfn.LET(
    _xlpm.flag, 1,
    _xlpm.poor, 3,
    _xlpm.max_demrits, 3,
    _xlpm.get_score, _xlfn.LAMBDA(_xlpm.x,_xlpm.e,_xlpm.f,_xlpm.p,
        _xlfn.LET(
            _xlpm.d, ABS(_xlpm.x-_xlpm.e),
            IF(_xlpm.d &gt;= _xlpm.p, _xlpm.poor, IF(_xlpm.d &gt;= _xlpm.f, _xlpm.flag, 0))
        )
    ),
    _xlpm.FN, _xlpm.get_score(C268, $C$257, $C$260, $C$261),
    _xlpm.Cd, _xlpm.get_score(D268, $D$257, $D$260, $D$261),
    _xlpm.HVK, _xlpm.get_score(E268, $E$257, $E$260, $E$261),
    _xlpm.Mill, _xlpm.get_score(F268, $F$257, $F$260, $F$261),
    _xlpm.Ash, _xlpm.get_score(G268, $G$257, $G$260, $G$261),
    _xlpm.Pro, _xlpm.get_score(H268, $H$257, $H$260, $H$261),
    _xlpm.GI, _xlpm.get_score(I268, $I$257, $I$260, $I$261),
    _xlpm.demerit, SUM(_xlpm.FN, _xlpm.Cd, _xlpm.HVK, _xlpm.Mill, _xlpm.Ash, _xlpm.Pro, _xlpm.GI),
    _xlpm.is_blk, OR(C268="", D268="", E268="", F268="", G268="", H268="", I268=""),
    _xlpm.return, IF(
        _xlpm.is_blk,
        "",
        IF(_xlpm.demerit &lt; _xlpm.max_demrits, "Pass", "Discuss")
    ),
    _xlpm.return
)</f>
        <v>Discuss</v>
      </c>
      <c r="M268" s="35" t="str">
        <v>Discuss</v>
      </c>
      <c r="N268" s="70"/>
      <c r="O268" s="70"/>
      <c r="P268" s="70"/>
      <c r="Q268" s="70"/>
      <c r="R268" s="70"/>
    </row>
    <row r="269" spans="2:18" hidden="1" outlineLevel="1">
      <c r="B269" s="16">
        <v>6</v>
      </c>
      <c r="C269" s="73">
        <v>245.68333218507468</v>
      </c>
      <c r="D269" s="73">
        <v>118.37164773229574</v>
      </c>
      <c r="E269" s="73">
        <v>101.25252425241891</v>
      </c>
      <c r="F269" s="72">
        <v>75.695207626663191</v>
      </c>
      <c r="G269" s="71">
        <v>0.68641903562536288</v>
      </c>
      <c r="H269" s="72">
        <v>13.416568720417708</v>
      </c>
      <c r="I269" s="73">
        <v>61.312827715505193</v>
      </c>
      <c r="J269" s="20" t="str">
        <f>_xlfn.LET(
    _xlpm.FN, IF(ABS(C269-$C$257) &gt;= $C$261, 3, IF(ABS(C269-$C$257) &gt;= $C$260, 1, 0)),
    _xlpm.Cd, IF(ABS(D269-$D$257) &gt;= $D$261, 3, IF(ABS(D269-$D$257) &gt;= $D$260, 1, 0)),
    _xlpm.HVK, IF(ABS(E269-$E$257) &gt;= $E$261, 3, IF(ABS(E269-$E$257) &gt;= $E$260, 1, 0)),
    _xlpm.Mill, IF(ABS(F269-$F$257) &gt;= $F$261, 3, IF(ABS(F269-$F$257) &gt;= $F$260, 1, 0)),
    _xlpm.Ash, IF(ABS(G269-$G$257) &gt;= $G$261, 3, IF(ABS(G269-$G$257) &gt;= $G$260, 1, 0)),
    _xlpm.Pro, IF(ABS(H269-$H$257) &gt;= $H$261, 3, IF(ABS(H269-$H$257) &gt;= $H$260, 1, 0)),
    _xlpm.GI, IF(ABS(I269-$I$257) &gt;= $I$261, 3, IF(ABS(I269-$I$257) &gt;= $I$260, 1, 0)),
    _xlpm.demerit, SUM(_xlpm.FN, _xlpm.Cd, _xlpm.HVK, _xlpm.Mill, _xlpm.Ash, _xlpm.Pro, _xlpm.GI),
    _xlpm.is_blk, OR(C269="", D269="", E269="", F269="", G269="", H269="", I269=""),
    _xlpm.return, IF(_xlpm.is_blk, "", IF(_xlpm.demerit &lt; 3, "Pass", "Discuss")),
    _xlpm.return
)</f>
        <v>Discuss</v>
      </c>
      <c r="K269" s="20" t="str" cm="1">
        <f t="array" ref="K269">_xlfn.LET(
    _xlpm.flag, 1,
    _xlpm.poor, 3,
    _xlpm.max_demrits, 3,
    _xlpm.get_score, _xlfn.LAMBDA(_xlpm.x,_xlpm.e,_xlpm.f,_xlpm.p,
        _xlfn.LET(
            _xlpm.d, ABS(_xlpm.x-_xlpm.e),
            IF(_xlpm.d &gt;= _xlpm.p, _xlpm.poor, IF(_xlpm.d &gt;= _xlpm.f, _xlpm.flag, 0))
        )
    ),
    _xlpm.FN, _xlpm.get_score(C269, $C$257, $C$260, $C$261),
    _xlpm.Cd, _xlpm.get_score(D269, $D$257, $D$260, $D$261),
    _xlpm.HVK, _xlpm.get_score(E269, $E$257, $E$260, $E$261),
    _xlpm.Mill, _xlpm.get_score(F269, $F$257, $F$260, $F$261),
    _xlpm.Ash, _xlpm.get_score(G269, $G$257, $G$260, $G$261),
    _xlpm.Pro, _xlpm.get_score(H269, $H$257, $H$260, $H$261),
    _xlpm.GI, _xlpm.get_score(I269, $I$257, $I$260, $I$261),
    _xlpm.demerit, SUM(_xlpm.FN, _xlpm.Cd, _xlpm.HVK, _xlpm.Mill, _xlpm.Ash, _xlpm.Pro, _xlpm.GI),
    _xlpm.is_blk, OR(C269="", D269="", E269="", F269="", G269="", H269="", I269=""),
    _xlpm.return, IF(
        _xlpm.is_blk,
        "",
        IF(_xlpm.demerit &lt; _xlpm.max_demrits, "Pass", "Discuss")
    ),
    _xlpm.return
)</f>
        <v>Discuss</v>
      </c>
      <c r="M269" s="35" t="str">
        <v>Discuss</v>
      </c>
      <c r="N269" s="70"/>
      <c r="O269" s="70"/>
      <c r="P269" s="70"/>
      <c r="Q269" s="70"/>
      <c r="R269" s="70"/>
    </row>
    <row r="270" spans="2:18" hidden="1" outlineLevel="1">
      <c r="B270" s="16">
        <v>7</v>
      </c>
      <c r="C270" s="73">
        <v>251.01321729027342</v>
      </c>
      <c r="D270" s="73">
        <v>150.2945365740716</v>
      </c>
      <c r="E270" s="73">
        <v>86.888279992290435</v>
      </c>
      <c r="F270" s="72">
        <v>75.550837282399684</v>
      </c>
      <c r="G270" s="71">
        <v>0.72664455529797767</v>
      </c>
      <c r="H270" s="72">
        <v>13.124143350752684</v>
      </c>
      <c r="I270" s="73">
        <v>64.354046079966366</v>
      </c>
      <c r="J270" s="20" t="str">
        <f>_xlfn.LET(
    _xlpm.FN, IF(ABS(C270-$C$257) &gt;= $C$261, 3, IF(ABS(C270-$C$257) &gt;= $C$260, 1, 0)),
    _xlpm.Cd, IF(ABS(D270-$D$257) &gt;= $D$261, 3, IF(ABS(D270-$D$257) &gt;= $D$260, 1, 0)),
    _xlpm.HVK, IF(ABS(E270-$E$257) &gt;= $E$261, 3, IF(ABS(E270-$E$257) &gt;= $E$260, 1, 0)),
    _xlpm.Mill, IF(ABS(F270-$F$257) &gt;= $F$261, 3, IF(ABS(F270-$F$257) &gt;= $F$260, 1, 0)),
    _xlpm.Ash, IF(ABS(G270-$G$257) &gt;= $G$261, 3, IF(ABS(G270-$G$257) &gt;= $G$260, 1, 0)),
    _xlpm.Pro, IF(ABS(H270-$H$257) &gt;= $H$261, 3, IF(ABS(H270-$H$257) &gt;= $H$260, 1, 0)),
    _xlpm.GI, IF(ABS(I270-$I$257) &gt;= $I$261, 3, IF(ABS(I270-$I$257) &gt;= $I$260, 1, 0)),
    _xlpm.demerit, SUM(_xlpm.FN, _xlpm.Cd, _xlpm.HVK, _xlpm.Mill, _xlpm.Ash, _xlpm.Pro, _xlpm.GI),
    _xlpm.is_blk, OR(C270="", D270="", E270="", F270="", G270="", H270="", I270=""),
    _xlpm.return, IF(_xlpm.is_blk, "", IF(_xlpm.demerit &lt; 3, "Pass", "Discuss")),
    _xlpm.return
)</f>
        <v>Pass</v>
      </c>
      <c r="K270" s="20" t="str" cm="1">
        <f t="array" ref="K270">_xlfn.LET(
    _xlpm.flag, 1,
    _xlpm.poor, 3,
    _xlpm.max_demrits, 3,
    _xlpm.get_score, _xlfn.LAMBDA(_xlpm.x,_xlpm.e,_xlpm.f,_xlpm.p,
        _xlfn.LET(
            _xlpm.d, ABS(_xlpm.x-_xlpm.e),
            IF(_xlpm.d &gt;= _xlpm.p, _xlpm.poor, IF(_xlpm.d &gt;= _xlpm.f, _xlpm.flag, 0))
        )
    ),
    _xlpm.FN, _xlpm.get_score(C270, $C$257, $C$260, $C$261),
    _xlpm.Cd, _xlpm.get_score(D270, $D$257, $D$260, $D$261),
    _xlpm.HVK, _xlpm.get_score(E270, $E$257, $E$260, $E$261),
    _xlpm.Mill, _xlpm.get_score(F270, $F$257, $F$260, $F$261),
    _xlpm.Ash, _xlpm.get_score(G270, $G$257, $G$260, $G$261),
    _xlpm.Pro, _xlpm.get_score(H270, $H$257, $H$260, $H$261),
    _xlpm.GI, _xlpm.get_score(I270, $I$257, $I$260, $I$261),
    _xlpm.demerit, SUM(_xlpm.FN, _xlpm.Cd, _xlpm.HVK, _xlpm.Mill, _xlpm.Ash, _xlpm.Pro, _xlpm.GI),
    _xlpm.is_blk, OR(C270="", D270="", E270="", F270="", G270="", H270="", I270=""),
    _xlpm.return, IF(
        _xlpm.is_blk,
        "",
        IF(_xlpm.demerit &lt; _xlpm.max_demrits, "Pass", "Discuss")
    ),
    _xlpm.return
)</f>
        <v>Pass</v>
      </c>
      <c r="M270" s="35" t="str">
        <v>Pass</v>
      </c>
      <c r="N270" s="70"/>
      <c r="O270" s="70"/>
      <c r="P270" s="70"/>
      <c r="Q270" s="70"/>
      <c r="R270" s="70"/>
    </row>
    <row r="271" spans="2:18" hidden="1" outlineLevel="1">
      <c r="B271" s="16">
        <v>8</v>
      </c>
      <c r="C271" s="73">
        <v>233.21189606191479</v>
      </c>
      <c r="D271" s="73">
        <v>144.55325284966796</v>
      </c>
      <c r="E271" s="73">
        <v>85.540957115263396</v>
      </c>
      <c r="F271" s="72">
        <v>73.80414357283199</v>
      </c>
      <c r="G271" s="71">
        <v>0.7631998053372574</v>
      </c>
      <c r="H271" s="72">
        <v>13.581195590802825</v>
      </c>
      <c r="I271" s="73">
        <v>108.17519966791183</v>
      </c>
      <c r="J271" s="20" t="str">
        <f>_xlfn.LET(
    _xlpm.FN, IF(ABS(C271-$C$257) &gt;= $C$261, 3, IF(ABS(C271-$C$257) &gt;= $C$260, 1, 0)),
    _xlpm.Cd, IF(ABS(D271-$D$257) &gt;= $D$261, 3, IF(ABS(D271-$D$257) &gt;= $D$260, 1, 0)),
    _xlpm.HVK, IF(ABS(E271-$E$257) &gt;= $E$261, 3, IF(ABS(E271-$E$257) &gt;= $E$260, 1, 0)),
    _xlpm.Mill, IF(ABS(F271-$F$257) &gt;= $F$261, 3, IF(ABS(F271-$F$257) &gt;= $F$260, 1, 0)),
    _xlpm.Ash, IF(ABS(G271-$G$257) &gt;= $G$261, 3, IF(ABS(G271-$G$257) &gt;= $G$260, 1, 0)),
    _xlpm.Pro, IF(ABS(H271-$H$257) &gt;= $H$261, 3, IF(ABS(H271-$H$257) &gt;= $H$260, 1, 0)),
    _xlpm.GI, IF(ABS(I271-$I$257) &gt;= $I$261, 3, IF(ABS(I271-$I$257) &gt;= $I$260, 1, 0)),
    _xlpm.demerit, SUM(_xlpm.FN, _xlpm.Cd, _xlpm.HVK, _xlpm.Mill, _xlpm.Ash, _xlpm.Pro, _xlpm.GI),
    _xlpm.is_blk, OR(C271="", D271="", E271="", F271="", G271="", H271="", I271=""),
    _xlpm.return, IF(_xlpm.is_blk, "", IF(_xlpm.demerit &lt; 3, "Pass", "Discuss")),
    _xlpm.return
)</f>
        <v>Discuss</v>
      </c>
      <c r="K271" s="20" t="str" cm="1">
        <f t="array" ref="K271">_xlfn.LET(
    _xlpm.flag, 1,
    _xlpm.poor, 3,
    _xlpm.max_demrits, 3,
    _xlpm.get_score, _xlfn.LAMBDA(_xlpm.x,_xlpm.e,_xlpm.f,_xlpm.p,
        _xlfn.LET(
            _xlpm.d, ABS(_xlpm.x-_xlpm.e),
            IF(_xlpm.d &gt;= _xlpm.p, _xlpm.poor, IF(_xlpm.d &gt;= _xlpm.f, _xlpm.flag, 0))
        )
    ),
    _xlpm.FN, _xlpm.get_score(C271, $C$257, $C$260, $C$261),
    _xlpm.Cd, _xlpm.get_score(D271, $D$257, $D$260, $D$261),
    _xlpm.HVK, _xlpm.get_score(E271, $E$257, $E$260, $E$261),
    _xlpm.Mill, _xlpm.get_score(F271, $F$257, $F$260, $F$261),
    _xlpm.Ash, _xlpm.get_score(G271, $G$257, $G$260, $G$261),
    _xlpm.Pro, _xlpm.get_score(H271, $H$257, $H$260, $H$261),
    _xlpm.GI, _xlpm.get_score(I271, $I$257, $I$260, $I$261),
    _xlpm.demerit, SUM(_xlpm.FN, _xlpm.Cd, _xlpm.HVK, _xlpm.Mill, _xlpm.Ash, _xlpm.Pro, _xlpm.GI),
    _xlpm.is_blk, OR(C271="", D271="", E271="", F271="", G271="", H271="", I271=""),
    _xlpm.return, IF(
        _xlpm.is_blk,
        "",
        IF(_xlpm.demerit &lt; _xlpm.max_demrits, "Pass", "Discuss")
    ),
    _xlpm.return
)</f>
        <v>Discuss</v>
      </c>
      <c r="M271" s="35" t="str">
        <v>Discuss</v>
      </c>
      <c r="N271" s="70"/>
      <c r="O271" s="70"/>
      <c r="P271" s="70"/>
      <c r="Q271" s="70"/>
      <c r="R271" s="70"/>
    </row>
    <row r="272" spans="2:18" hidden="1" outlineLevel="1">
      <c r="B272" s="16">
        <v>9</v>
      </c>
      <c r="C272" s="73">
        <v>311.65639883181854</v>
      </c>
      <c r="D272" s="73">
        <v>148.48438905046515</v>
      </c>
      <c r="E272" s="73">
        <v>88.020320592807991</v>
      </c>
      <c r="F272" s="72">
        <v>76.936436650059505</v>
      </c>
      <c r="G272" s="71">
        <v>0.6835003300197785</v>
      </c>
      <c r="H272" s="72">
        <v>14.215069148517996</v>
      </c>
      <c r="I272" s="73">
        <v>68.209767155999259</v>
      </c>
      <c r="J272" s="20" t="str">
        <f>_xlfn.LET(
    _xlpm.FN, IF(ABS(C272-$C$257) &gt;= $C$261, 3, IF(ABS(C272-$C$257) &gt;= $C$260, 1, 0)),
    _xlpm.Cd, IF(ABS(D272-$D$257) &gt;= $D$261, 3, IF(ABS(D272-$D$257) &gt;= $D$260, 1, 0)),
    _xlpm.HVK, IF(ABS(E272-$E$257) &gt;= $E$261, 3, IF(ABS(E272-$E$257) &gt;= $E$260, 1, 0)),
    _xlpm.Mill, IF(ABS(F272-$F$257) &gt;= $F$261, 3, IF(ABS(F272-$F$257) &gt;= $F$260, 1, 0)),
    _xlpm.Ash, IF(ABS(G272-$G$257) &gt;= $G$261, 3, IF(ABS(G272-$G$257) &gt;= $G$260, 1, 0)),
    _xlpm.Pro, IF(ABS(H272-$H$257) &gt;= $H$261, 3, IF(ABS(H272-$H$257) &gt;= $H$260, 1, 0)),
    _xlpm.GI, IF(ABS(I272-$I$257) &gt;= $I$261, 3, IF(ABS(I272-$I$257) &gt;= $I$260, 1, 0)),
    _xlpm.demerit, SUM(_xlpm.FN, _xlpm.Cd, _xlpm.HVK, _xlpm.Mill, _xlpm.Ash, _xlpm.Pro, _xlpm.GI),
    _xlpm.is_blk, OR(C272="", D272="", E272="", F272="", G272="", H272="", I272=""),
    _xlpm.return, IF(_xlpm.is_blk, "", IF(_xlpm.demerit &lt; 3, "Pass", "Discuss")),
    _xlpm.return
)</f>
        <v>Discuss</v>
      </c>
      <c r="K272" s="20" t="str" cm="1">
        <f t="array" ref="K272">_xlfn.LET(
    _xlpm.flag, 1,
    _xlpm.poor, 3,
    _xlpm.max_demrits, 3,
    _xlpm.get_score, _xlfn.LAMBDA(_xlpm.x,_xlpm.e,_xlpm.f,_xlpm.p,
        _xlfn.LET(
            _xlpm.d, ABS(_xlpm.x-_xlpm.e),
            IF(_xlpm.d &gt;= _xlpm.p, _xlpm.poor, IF(_xlpm.d &gt;= _xlpm.f, _xlpm.flag, 0))
        )
    ),
    _xlpm.FN, _xlpm.get_score(C272, $C$257, $C$260, $C$261),
    _xlpm.Cd, _xlpm.get_score(D272, $D$257, $D$260, $D$261),
    _xlpm.HVK, _xlpm.get_score(E272, $E$257, $E$260, $E$261),
    _xlpm.Mill, _xlpm.get_score(F272, $F$257, $F$260, $F$261),
    _xlpm.Ash, _xlpm.get_score(G272, $G$257, $G$260, $G$261),
    _xlpm.Pro, _xlpm.get_score(H272, $H$257, $H$260, $H$261),
    _xlpm.GI, _xlpm.get_score(I272, $I$257, $I$260, $I$261),
    _xlpm.demerit, SUM(_xlpm.FN, _xlpm.Cd, _xlpm.HVK, _xlpm.Mill, _xlpm.Ash, _xlpm.Pro, _xlpm.GI),
    _xlpm.is_blk, OR(C272="", D272="", E272="", F272="", G272="", H272="", I272=""),
    _xlpm.return, IF(
        _xlpm.is_blk,
        "",
        IF(_xlpm.demerit &lt; _xlpm.max_demrits, "Pass", "Discuss")
    ),
    _xlpm.return
)</f>
        <v>Discuss</v>
      </c>
      <c r="M272" s="35" t="str">
        <v>Discuss</v>
      </c>
      <c r="N272" s="70"/>
      <c r="O272" s="70"/>
      <c r="P272" s="70"/>
      <c r="Q272" s="70"/>
      <c r="R272" s="70"/>
    </row>
    <row r="273" spans="1:18" hidden="1" outlineLevel="1">
      <c r="B273" s="16">
        <v>10</v>
      </c>
      <c r="C273" s="73">
        <v>208.63001752298692</v>
      </c>
      <c r="D273" s="73">
        <v>148.2169590328684</v>
      </c>
      <c r="E273" s="73">
        <v>92.064754354087569</v>
      </c>
      <c r="F273" s="72">
        <v>76.005595721051407</v>
      </c>
      <c r="G273" s="71">
        <v>0.73769156211905695</v>
      </c>
      <c r="H273" s="72">
        <v>13.714044379541743</v>
      </c>
      <c r="I273" s="73">
        <v>81.347353850303946</v>
      </c>
      <c r="J273" s="20" t="str">
        <f>_xlfn.LET(
    _xlpm.FN, IF(ABS(C273-$C$257) &gt;= $C$261, 3, IF(ABS(C273-$C$257) &gt;= $C$260, 1, 0)),
    _xlpm.Cd, IF(ABS(D273-$D$257) &gt;= $D$261, 3, IF(ABS(D273-$D$257) &gt;= $D$260, 1, 0)),
    _xlpm.HVK, IF(ABS(E273-$E$257) &gt;= $E$261, 3, IF(ABS(E273-$E$257) &gt;= $E$260, 1, 0)),
    _xlpm.Mill, IF(ABS(F273-$F$257) &gt;= $F$261, 3, IF(ABS(F273-$F$257) &gt;= $F$260, 1, 0)),
    _xlpm.Ash, IF(ABS(G273-$G$257) &gt;= $G$261, 3, IF(ABS(G273-$G$257) &gt;= $G$260, 1, 0)),
    _xlpm.Pro, IF(ABS(H273-$H$257) &gt;= $H$261, 3, IF(ABS(H273-$H$257) &gt;= $H$260, 1, 0)),
    _xlpm.GI, IF(ABS(I273-$I$257) &gt;= $I$261, 3, IF(ABS(I273-$I$257) &gt;= $I$260, 1, 0)),
    _xlpm.demerit, SUM(_xlpm.FN, _xlpm.Cd, _xlpm.HVK, _xlpm.Mill, _xlpm.Ash, _xlpm.Pro, _xlpm.GI),
    _xlpm.is_blk, OR(C273="", D273="", E273="", F273="", G273="", H273="", I273=""),
    _xlpm.return, IF(_xlpm.is_blk, "", IF(_xlpm.demerit &lt; 3, "Pass", "Discuss")),
    _xlpm.return
)</f>
        <v>Pass</v>
      </c>
      <c r="K273" s="20" t="str" cm="1">
        <f t="array" ref="K273">_xlfn.LET(
    _xlpm.flag, 1,
    _xlpm.poor, 3,
    _xlpm.max_demrits, 3,
    _xlpm.get_score, _xlfn.LAMBDA(_xlpm.x,_xlpm.e,_xlpm.f,_xlpm.p,
        _xlfn.LET(
            _xlpm.d, ABS(_xlpm.x-_xlpm.e),
            IF(_xlpm.d &gt;= _xlpm.p, _xlpm.poor, IF(_xlpm.d &gt;= _xlpm.f, _xlpm.flag, 0))
        )
    ),
    _xlpm.FN, _xlpm.get_score(C273, $C$257, $C$260, $C$261),
    _xlpm.Cd, _xlpm.get_score(D273, $D$257, $D$260, $D$261),
    _xlpm.HVK, _xlpm.get_score(E273, $E$257, $E$260, $E$261),
    _xlpm.Mill, _xlpm.get_score(F273, $F$257, $F$260, $F$261),
    _xlpm.Ash, _xlpm.get_score(G273, $G$257, $G$260, $G$261),
    _xlpm.Pro, _xlpm.get_score(H273, $H$257, $H$260, $H$261),
    _xlpm.GI, _xlpm.get_score(I273, $I$257, $I$260, $I$261),
    _xlpm.demerit, SUM(_xlpm.FN, _xlpm.Cd, _xlpm.HVK, _xlpm.Mill, _xlpm.Ash, _xlpm.Pro, _xlpm.GI),
    _xlpm.is_blk, OR(C273="", D273="", E273="", F273="", G273="", H273="", I273=""),
    _xlpm.return, IF(
        _xlpm.is_blk,
        "",
        IF(_xlpm.demerit &lt; _xlpm.max_demrits, "Pass", "Discuss")
    ),
    _xlpm.return
)</f>
        <v>Pass</v>
      </c>
      <c r="M273" s="35" t="str">
        <v>Pass</v>
      </c>
      <c r="N273" s="70"/>
      <c r="O273" s="70"/>
      <c r="P273" s="70"/>
      <c r="Q273" s="70"/>
      <c r="R273" s="70"/>
    </row>
    <row r="274" spans="1:18" s="3" customFormat="1" ht="15" collapsed="1"/>
    <row r="275" spans="1:18">
      <c r="A275" s="78" t="s">
        <v>402</v>
      </c>
    </row>
    <row r="276" spans="1:18" s="3" customFormat="1" ht="15" hidden="1" outlineLevel="1">
      <c r="A276" s="84" t="s">
        <v>377</v>
      </c>
      <c r="B276" s="84"/>
      <c r="C276" s="84"/>
      <c r="D276" s="84"/>
      <c r="E276" s="84"/>
      <c r="F276" s="84"/>
      <c r="G276" s="84"/>
      <c r="H276" s="84"/>
      <c r="I276" s="84"/>
      <c r="J276" s="84"/>
    </row>
    <row r="277" spans="1:18" s="3" customFormat="1" ht="15" hidden="1" outlineLevel="1">
      <c r="A277" s="84" t="s">
        <v>378</v>
      </c>
      <c r="B277" s="84"/>
      <c r="C277" s="84"/>
      <c r="D277" s="84"/>
      <c r="E277" s="84"/>
      <c r="F277" s="84"/>
      <c r="G277" s="84"/>
      <c r="H277" s="84"/>
      <c r="I277" s="84"/>
      <c r="J277" s="84"/>
    </row>
    <row r="278" spans="1:18" s="3" customFormat="1" ht="15" hidden="1" outlineLevel="1">
      <c r="A278" s="84" t="s">
        <v>379</v>
      </c>
      <c r="B278" s="84"/>
      <c r="C278" s="84"/>
      <c r="D278" s="84"/>
      <c r="E278" s="84"/>
      <c r="F278" s="84"/>
      <c r="G278" s="84"/>
      <c r="H278" s="84"/>
      <c r="I278" s="84"/>
      <c r="J278" s="84"/>
    </row>
    <row r="279" spans="1:18" s="3" customFormat="1" ht="15" hidden="1" outlineLevel="1">
      <c r="A279" s="84" t="s">
        <v>380</v>
      </c>
      <c r="B279" s="84"/>
      <c r="C279" s="84"/>
      <c r="D279" s="84"/>
      <c r="E279" s="84"/>
      <c r="F279" s="84"/>
      <c r="G279" s="84"/>
      <c r="H279" s="84"/>
      <c r="I279" s="84"/>
      <c r="J279" s="84"/>
    </row>
    <row r="280" spans="1:18" s="3" customFormat="1" ht="15" hidden="1" outlineLevel="1">
      <c r="A280" s="84" t="s">
        <v>381</v>
      </c>
      <c r="B280" s="84"/>
      <c r="C280" s="84"/>
      <c r="D280" s="84"/>
      <c r="E280" s="84"/>
      <c r="F280" s="84"/>
      <c r="G280" s="84"/>
      <c r="H280" s="84"/>
      <c r="I280" s="84"/>
      <c r="J280" s="84"/>
    </row>
    <row r="281" spans="1:18" s="3" customFormat="1" ht="15" hidden="1" outlineLevel="1">
      <c r="A281" s="84" t="s">
        <v>382</v>
      </c>
      <c r="B281" s="84"/>
      <c r="C281" s="84"/>
      <c r="D281" s="84"/>
      <c r="E281" s="84"/>
      <c r="F281" s="84"/>
      <c r="G281" s="84"/>
      <c r="H281" s="84"/>
      <c r="I281" s="84"/>
      <c r="J281" s="84"/>
    </row>
    <row r="282" spans="1:18" s="3" customFormat="1" ht="15" hidden="1" outlineLevel="1">
      <c r="A282" s="84" t="s">
        <v>383</v>
      </c>
      <c r="B282" s="84"/>
      <c r="C282" s="84"/>
      <c r="D282" s="84"/>
      <c r="E282" s="84"/>
      <c r="F282" s="84"/>
      <c r="G282" s="84"/>
      <c r="H282" s="84"/>
      <c r="I282" s="84"/>
      <c r="J282" s="84"/>
    </row>
    <row r="283" spans="1:18" s="3" customFormat="1" ht="15" hidden="1" outlineLevel="1">
      <c r="A283" s="84" t="s">
        <v>384</v>
      </c>
      <c r="B283" s="84"/>
      <c r="C283" s="84"/>
      <c r="D283" s="84"/>
      <c r="E283" s="84"/>
      <c r="F283" s="84"/>
      <c r="G283" s="84"/>
      <c r="H283" s="84"/>
      <c r="I283" s="84"/>
      <c r="J283" s="84"/>
    </row>
    <row r="284" spans="1:18" s="3" customFormat="1" ht="15" hidden="1" outlineLevel="1">
      <c r="A284" s="84" t="s">
        <v>385</v>
      </c>
      <c r="B284" s="84"/>
      <c r="C284" s="84"/>
      <c r="D284" s="84"/>
      <c r="E284" s="84"/>
      <c r="F284" s="84"/>
      <c r="G284" s="84"/>
      <c r="H284" s="84"/>
      <c r="I284" s="84"/>
      <c r="J284" s="84"/>
    </row>
    <row r="285" spans="1:18" s="3" customFormat="1" ht="15" hidden="1" outlineLevel="1">
      <c r="A285" s="84" t="s">
        <v>386</v>
      </c>
      <c r="B285" s="84"/>
      <c r="C285" s="84"/>
      <c r="D285" s="84"/>
      <c r="E285" s="84"/>
      <c r="F285" s="84"/>
      <c r="G285" s="84"/>
      <c r="H285" s="84"/>
      <c r="I285" s="84"/>
      <c r="J285" s="84"/>
    </row>
    <row r="286" spans="1:18" s="3" customFormat="1" ht="15" hidden="1" outlineLevel="1">
      <c r="A286" s="84" t="s">
        <v>387</v>
      </c>
      <c r="B286" s="84"/>
      <c r="C286" s="84"/>
      <c r="D286" s="84"/>
      <c r="E286" s="84"/>
      <c r="F286" s="84"/>
      <c r="G286" s="84"/>
      <c r="H286" s="84"/>
      <c r="I286" s="84"/>
      <c r="J286" s="84"/>
    </row>
    <row r="287" spans="1:18" s="3" customFormat="1" ht="15" hidden="1" outlineLevel="1">
      <c r="A287" s="84" t="s">
        <v>388</v>
      </c>
      <c r="B287" s="84"/>
      <c r="C287" s="84"/>
      <c r="D287" s="84"/>
      <c r="E287" s="84"/>
      <c r="F287" s="84"/>
      <c r="G287" s="84"/>
      <c r="H287" s="84"/>
      <c r="I287" s="84"/>
      <c r="J287" s="84"/>
    </row>
    <row r="288" spans="1:18" s="3" customFormat="1" ht="15" hidden="1" outlineLevel="1">
      <c r="A288" s="84" t="s">
        <v>389</v>
      </c>
      <c r="B288" s="84"/>
      <c r="C288" s="84"/>
      <c r="D288" s="84"/>
      <c r="E288" s="84"/>
      <c r="F288" s="84"/>
      <c r="G288" s="84"/>
      <c r="H288" s="84"/>
      <c r="I288" s="84"/>
      <c r="J288" s="84"/>
    </row>
    <row r="289" spans="1:15" s="3" customFormat="1" ht="15" hidden="1" outlineLevel="1">
      <c r="A289" s="84" t="s">
        <v>390</v>
      </c>
      <c r="B289" s="84"/>
      <c r="C289" s="84"/>
      <c r="D289" s="84"/>
      <c r="E289" s="84"/>
      <c r="F289" s="84"/>
      <c r="G289" s="84"/>
      <c r="H289" s="84"/>
      <c r="I289" s="84"/>
      <c r="J289" s="84"/>
    </row>
    <row r="290" spans="1:15" s="3" customFormat="1" ht="15" hidden="1" outlineLevel="1">
      <c r="A290" s="84" t="s">
        <v>159</v>
      </c>
      <c r="B290" s="84"/>
      <c r="C290" s="84"/>
      <c r="D290" s="84"/>
      <c r="E290" s="84"/>
      <c r="F290" s="84"/>
      <c r="G290" s="84"/>
      <c r="H290" s="84"/>
      <c r="I290" s="84"/>
      <c r="J290" s="84"/>
      <c r="K290" s="77"/>
    </row>
    <row r="291" spans="1:15" collapsed="1">
      <c r="A291" s="82" t="s">
        <v>391</v>
      </c>
      <c r="K291" s="82" t="s">
        <v>396</v>
      </c>
    </row>
    <row r="292" spans="1:15" s="3" customFormat="1" ht="15" hidden="1" outlineLevel="1">
      <c r="A292" s="51" t="s">
        <v>394</v>
      </c>
      <c r="K292" s="51" t="s">
        <v>397</v>
      </c>
      <c r="L292" s="77"/>
      <c r="M292" s="77"/>
      <c r="N292" s="77"/>
      <c r="O292" s="77"/>
    </row>
    <row r="293" spans="1:15" s="3" customFormat="1" ht="15" hidden="1" outlineLevel="1">
      <c r="A293" s="54" t="s">
        <v>392</v>
      </c>
      <c r="K293" s="51" t="s">
        <v>398</v>
      </c>
      <c r="L293" s="77"/>
      <c r="M293" s="77"/>
      <c r="N293" s="77"/>
      <c r="O293" s="77"/>
    </row>
    <row r="294" spans="1:15" s="3" customFormat="1" ht="15" hidden="1" outlineLevel="1">
      <c r="A294" s="54" t="s">
        <v>427</v>
      </c>
      <c r="K294" s="54" t="s">
        <v>425</v>
      </c>
      <c r="L294" s="77"/>
      <c r="M294" s="77"/>
      <c r="N294" s="77"/>
      <c r="O294" s="77"/>
    </row>
    <row r="295" spans="1:15" s="3" customFormat="1" ht="15" hidden="1" outlineLevel="1">
      <c r="A295" s="54" t="s">
        <v>395</v>
      </c>
      <c r="K295" s="54" t="s">
        <v>426</v>
      </c>
      <c r="L295" s="77"/>
      <c r="M295" s="77"/>
      <c r="N295" s="77"/>
      <c r="O295" s="77"/>
    </row>
    <row r="296" spans="1:15" s="3" customFormat="1" ht="15" hidden="1" outlineLevel="1">
      <c r="A296" s="87" t="s">
        <v>423</v>
      </c>
      <c r="B296" s="87"/>
      <c r="C296" s="87"/>
      <c r="D296" s="87"/>
      <c r="E296" s="87"/>
      <c r="F296" s="87"/>
      <c r="G296" s="87"/>
      <c r="H296" s="87"/>
      <c r="I296" s="87"/>
      <c r="J296" s="87"/>
      <c r="K296" s="54" t="s">
        <v>399</v>
      </c>
      <c r="L296" s="77"/>
      <c r="M296" s="77"/>
      <c r="N296" s="77"/>
      <c r="O296" s="77"/>
    </row>
    <row r="297" spans="1:15" s="3" customFormat="1" ht="15" hidden="1" outlineLevel="1">
      <c r="A297" s="87" t="s">
        <v>424</v>
      </c>
      <c r="B297" s="87"/>
      <c r="C297" s="87"/>
      <c r="D297" s="87"/>
      <c r="E297" s="87"/>
      <c r="F297" s="87"/>
      <c r="G297" s="87"/>
      <c r="H297" s="87"/>
      <c r="I297" s="87"/>
      <c r="J297" s="87"/>
      <c r="K297" s="54" t="s">
        <v>400</v>
      </c>
      <c r="L297" s="77"/>
      <c r="M297" s="77"/>
      <c r="N297" s="77"/>
      <c r="O297" s="77"/>
    </row>
    <row r="298" spans="1:15" s="3" customFormat="1" ht="15" hidden="1" outlineLevel="1">
      <c r="A298" s="51" t="s">
        <v>421</v>
      </c>
      <c r="K298" s="54" t="s">
        <v>403</v>
      </c>
      <c r="L298" s="77"/>
      <c r="M298" s="77"/>
      <c r="N298" s="77"/>
      <c r="O298" s="77"/>
    </row>
    <row r="299" spans="1:15" s="3" customFormat="1" ht="15" hidden="1" outlineLevel="1">
      <c r="A299" s="51" t="s">
        <v>422</v>
      </c>
      <c r="K299" s="54" t="s">
        <v>404</v>
      </c>
      <c r="L299" s="77"/>
      <c r="M299" s="77"/>
      <c r="N299" s="77"/>
      <c r="O299" s="77"/>
    </row>
    <row r="300" spans="1:15" s="3" customFormat="1" ht="15" hidden="1" outlineLevel="1">
      <c r="A300" s="51" t="s">
        <v>393</v>
      </c>
      <c r="L300" s="77"/>
      <c r="M300" s="77"/>
      <c r="N300" s="77"/>
      <c r="O300" s="77"/>
    </row>
    <row r="301" spans="1:15" s="3" customFormat="1" ht="15" collapsed="1">
      <c r="A301" s="51"/>
    </row>
    <row r="302" spans="1:15">
      <c r="A302" s="80" t="s">
        <v>471</v>
      </c>
    </row>
    <row r="303" spans="1:15" s="3" customFormat="1" ht="15" hidden="1" outlineLevel="1">
      <c r="A303" s="84" t="s">
        <v>377</v>
      </c>
      <c r="B303" s="84"/>
      <c r="C303" s="84"/>
      <c r="D303" s="84"/>
      <c r="E303" s="84"/>
      <c r="F303" s="84"/>
      <c r="G303" s="84"/>
      <c r="H303" s="84"/>
      <c r="I303" s="84"/>
      <c r="J303" s="84"/>
    </row>
    <row r="304" spans="1:15" s="3" customFormat="1" ht="15" hidden="1" outlineLevel="1">
      <c r="A304" s="84" t="s">
        <v>428</v>
      </c>
      <c r="B304" s="84"/>
      <c r="C304" s="84"/>
      <c r="D304" s="84"/>
      <c r="E304" s="84"/>
      <c r="F304" s="84"/>
      <c r="G304" s="84"/>
      <c r="H304" s="84"/>
      <c r="I304" s="84"/>
      <c r="J304" s="84"/>
    </row>
    <row r="305" spans="1:10" s="3" customFormat="1" ht="15" hidden="1" outlineLevel="1">
      <c r="A305" s="84" t="s">
        <v>429</v>
      </c>
      <c r="B305" s="84"/>
      <c r="C305" s="84"/>
      <c r="D305" s="84"/>
      <c r="E305" s="84"/>
      <c r="F305" s="84"/>
      <c r="G305" s="84"/>
      <c r="H305" s="84"/>
      <c r="I305" s="84"/>
      <c r="J305" s="84"/>
    </row>
    <row r="306" spans="1:10" s="3" customFormat="1" ht="15" hidden="1" outlineLevel="1">
      <c r="A306" s="84" t="s">
        <v>405</v>
      </c>
      <c r="B306" s="84"/>
      <c r="C306" s="84"/>
      <c r="D306" s="84"/>
      <c r="E306" s="84"/>
      <c r="F306" s="84"/>
      <c r="G306" s="84"/>
      <c r="H306" s="84"/>
      <c r="I306" s="84"/>
      <c r="J306" s="84"/>
    </row>
    <row r="307" spans="1:10" s="3" customFormat="1" ht="15" hidden="1" outlineLevel="1">
      <c r="A307" s="84" t="s">
        <v>430</v>
      </c>
      <c r="B307" s="84"/>
      <c r="C307" s="84"/>
      <c r="D307" s="84"/>
      <c r="E307" s="84"/>
      <c r="F307" s="84"/>
      <c r="G307" s="84"/>
      <c r="H307" s="84"/>
      <c r="I307" s="84"/>
      <c r="J307" s="84"/>
    </row>
    <row r="308" spans="1:10" s="3" customFormat="1" ht="15" hidden="1" outlineLevel="1">
      <c r="A308" s="84" t="s">
        <v>406</v>
      </c>
      <c r="B308" s="84"/>
      <c r="C308" s="84"/>
      <c r="D308" s="84"/>
      <c r="E308" s="84"/>
      <c r="F308" s="84"/>
      <c r="G308" s="84"/>
      <c r="H308" s="84"/>
      <c r="I308" s="84"/>
      <c r="J308" s="84"/>
    </row>
    <row r="309" spans="1:10" s="3" customFormat="1" ht="15" hidden="1" outlineLevel="1">
      <c r="A309" s="84" t="s">
        <v>431</v>
      </c>
      <c r="B309" s="84"/>
      <c r="C309" s="84"/>
      <c r="D309" s="84"/>
      <c r="E309" s="84"/>
      <c r="F309" s="84"/>
      <c r="G309" s="84"/>
      <c r="H309" s="84"/>
      <c r="I309" s="84"/>
      <c r="J309" s="84"/>
    </row>
    <row r="310" spans="1:10" s="3" customFormat="1" ht="15" hidden="1" outlineLevel="1">
      <c r="A310" s="84" t="s">
        <v>432</v>
      </c>
      <c r="B310" s="84"/>
      <c r="C310" s="84"/>
      <c r="D310" s="84"/>
      <c r="E310" s="84"/>
      <c r="F310" s="84"/>
      <c r="G310" s="84"/>
      <c r="H310" s="84"/>
      <c r="I310" s="84"/>
      <c r="J310" s="84"/>
    </row>
    <row r="311" spans="1:10" s="3" customFormat="1" ht="15" hidden="1" outlineLevel="1">
      <c r="A311" s="84" t="s">
        <v>407</v>
      </c>
      <c r="B311" s="84"/>
      <c r="C311" s="84"/>
      <c r="D311" s="84"/>
      <c r="E311" s="84"/>
      <c r="F311" s="84"/>
      <c r="G311" s="84"/>
      <c r="H311" s="84"/>
      <c r="I311" s="84"/>
      <c r="J311" s="84"/>
    </row>
    <row r="312" spans="1:10" s="3" customFormat="1" ht="15" hidden="1" outlineLevel="1">
      <c r="A312" s="84" t="s">
        <v>408</v>
      </c>
      <c r="B312" s="84"/>
      <c r="C312" s="84"/>
      <c r="D312" s="84"/>
      <c r="E312" s="84"/>
      <c r="F312" s="84"/>
      <c r="G312" s="84"/>
      <c r="H312" s="84"/>
      <c r="I312" s="84"/>
      <c r="J312" s="84"/>
    </row>
    <row r="313" spans="1:10" s="3" customFormat="1" ht="15" hidden="1" outlineLevel="1">
      <c r="A313" s="84" t="s">
        <v>433</v>
      </c>
      <c r="B313" s="84"/>
      <c r="C313" s="84"/>
      <c r="D313" s="84"/>
      <c r="E313" s="84"/>
      <c r="F313" s="84"/>
      <c r="G313" s="84"/>
      <c r="H313" s="84"/>
      <c r="I313" s="84"/>
      <c r="J313" s="84"/>
    </row>
    <row r="314" spans="1:10" s="3" customFormat="1" ht="15" hidden="1" outlineLevel="1">
      <c r="A314" s="84" t="s">
        <v>434</v>
      </c>
      <c r="B314" s="84"/>
      <c r="C314" s="84"/>
      <c r="D314" s="84"/>
      <c r="E314" s="84"/>
      <c r="F314" s="84"/>
      <c r="G314" s="84"/>
      <c r="H314" s="84"/>
      <c r="I314" s="84"/>
      <c r="J314" s="84"/>
    </row>
    <row r="315" spans="1:10" s="3" customFormat="1" ht="15" hidden="1" outlineLevel="1">
      <c r="A315" s="84" t="s">
        <v>435</v>
      </c>
      <c r="B315" s="84"/>
      <c r="C315" s="84"/>
      <c r="D315" s="84"/>
      <c r="E315" s="84"/>
      <c r="F315" s="84"/>
      <c r="G315" s="84"/>
      <c r="H315" s="84"/>
      <c r="I315" s="84"/>
      <c r="J315" s="84"/>
    </row>
    <row r="316" spans="1:10" s="3" customFormat="1" ht="15" hidden="1" outlineLevel="1">
      <c r="A316" s="84" t="s">
        <v>436</v>
      </c>
      <c r="B316" s="84"/>
      <c r="C316" s="84"/>
      <c r="D316" s="84"/>
      <c r="E316" s="84"/>
      <c r="F316" s="84"/>
      <c r="G316" s="84"/>
      <c r="H316" s="84"/>
      <c r="I316" s="84"/>
      <c r="J316" s="84"/>
    </row>
    <row r="317" spans="1:10" s="3" customFormat="1" ht="15" hidden="1" outlineLevel="1">
      <c r="A317" s="84" t="s">
        <v>437</v>
      </c>
      <c r="B317" s="84"/>
      <c r="C317" s="84"/>
      <c r="D317" s="84"/>
      <c r="E317" s="84"/>
      <c r="F317" s="84"/>
      <c r="G317" s="84"/>
      <c r="H317" s="84"/>
      <c r="I317" s="84"/>
      <c r="J317" s="84"/>
    </row>
    <row r="318" spans="1:10" s="3" customFormat="1" ht="15" hidden="1" outlineLevel="1">
      <c r="A318" s="84" t="s">
        <v>438</v>
      </c>
      <c r="B318" s="84"/>
      <c r="C318" s="84"/>
      <c r="D318" s="84"/>
      <c r="E318" s="84"/>
      <c r="F318" s="84"/>
      <c r="G318" s="84"/>
      <c r="H318" s="84"/>
      <c r="I318" s="84"/>
      <c r="J318" s="84"/>
    </row>
    <row r="319" spans="1:10" s="3" customFormat="1" ht="15" hidden="1" outlineLevel="1">
      <c r="A319" s="84" t="s">
        <v>439</v>
      </c>
      <c r="B319" s="84"/>
      <c r="C319" s="84"/>
      <c r="D319" s="84"/>
      <c r="E319" s="84"/>
      <c r="F319" s="84"/>
      <c r="G319" s="84"/>
      <c r="H319" s="84"/>
      <c r="I319" s="84"/>
      <c r="J319" s="84"/>
    </row>
    <row r="320" spans="1:10" s="3" customFormat="1" ht="15" hidden="1" outlineLevel="1">
      <c r="A320" s="84" t="s">
        <v>385</v>
      </c>
      <c r="B320" s="84"/>
      <c r="C320" s="84"/>
      <c r="D320" s="84"/>
      <c r="E320" s="84"/>
      <c r="F320" s="84"/>
      <c r="G320" s="84"/>
      <c r="H320" s="84"/>
      <c r="I320" s="84"/>
      <c r="J320" s="84"/>
    </row>
    <row r="321" spans="1:11" s="3" customFormat="1" ht="15" hidden="1" outlineLevel="1">
      <c r="A321" s="84" t="s">
        <v>440</v>
      </c>
      <c r="B321" s="84"/>
      <c r="C321" s="84"/>
      <c r="D321" s="84"/>
      <c r="E321" s="84"/>
      <c r="F321" s="84"/>
      <c r="G321" s="84"/>
      <c r="H321" s="84"/>
      <c r="I321" s="84"/>
      <c r="J321" s="84"/>
    </row>
    <row r="322" spans="1:11" s="3" customFormat="1" ht="15" hidden="1" outlineLevel="1">
      <c r="A322" s="84" t="s">
        <v>409</v>
      </c>
      <c r="B322" s="84"/>
      <c r="C322" s="84"/>
      <c r="D322" s="84"/>
      <c r="E322" s="84"/>
      <c r="F322" s="84"/>
      <c r="G322" s="84"/>
      <c r="H322" s="84"/>
      <c r="I322" s="84"/>
      <c r="J322" s="84"/>
    </row>
    <row r="323" spans="1:11" s="3" customFormat="1" ht="15" hidden="1" outlineLevel="1">
      <c r="A323" s="84" t="s">
        <v>410</v>
      </c>
      <c r="B323" s="84"/>
      <c r="C323" s="84"/>
      <c r="D323" s="84"/>
      <c r="E323" s="84"/>
      <c r="F323" s="84"/>
      <c r="G323" s="84"/>
      <c r="H323" s="84"/>
      <c r="I323" s="84"/>
      <c r="J323" s="84"/>
    </row>
    <row r="324" spans="1:11" s="3" customFormat="1" ht="15" hidden="1" outlineLevel="1">
      <c r="A324" s="84" t="s">
        <v>411</v>
      </c>
      <c r="B324" s="84"/>
      <c r="C324" s="84"/>
      <c r="D324" s="84"/>
      <c r="E324" s="84"/>
      <c r="F324" s="84"/>
      <c r="G324" s="84"/>
      <c r="H324" s="84"/>
      <c r="I324" s="84"/>
      <c r="J324" s="84"/>
    </row>
    <row r="325" spans="1:11" s="3" customFormat="1" ht="15" hidden="1" outlineLevel="1">
      <c r="A325" s="84" t="s">
        <v>159</v>
      </c>
      <c r="B325" s="84"/>
      <c r="C325" s="84"/>
      <c r="D325" s="84"/>
      <c r="E325" s="84"/>
      <c r="F325" s="84"/>
      <c r="G325" s="84"/>
      <c r="H325" s="84"/>
      <c r="I325" s="84"/>
      <c r="J325" s="84"/>
    </row>
    <row r="326" spans="1:11" s="3" customFormat="1" ht="15" collapsed="1">
      <c r="A326" s="82" t="s">
        <v>391</v>
      </c>
      <c r="K326" s="82" t="s">
        <v>396</v>
      </c>
    </row>
    <row r="327" spans="1:11" s="3" customFormat="1" ht="15" hidden="1" outlineLevel="1">
      <c r="A327" s="51" t="s">
        <v>487</v>
      </c>
      <c r="K327" s="51" t="s">
        <v>412</v>
      </c>
    </row>
    <row r="328" spans="1:11" s="3" customFormat="1" ht="15" hidden="1" outlineLevel="1">
      <c r="A328" s="51" t="s">
        <v>488</v>
      </c>
      <c r="K328" s="51" t="s">
        <v>415</v>
      </c>
    </row>
    <row r="329" spans="1:11" s="3" customFormat="1" ht="15" hidden="1" outlineLevel="1">
      <c r="A329" s="51" t="s">
        <v>550</v>
      </c>
      <c r="K329" s="51" t="s">
        <v>417</v>
      </c>
    </row>
    <row r="330" spans="1:11" s="3" customFormat="1" ht="15" hidden="1" outlineLevel="1">
      <c r="A330" s="54" t="s">
        <v>414</v>
      </c>
    </row>
    <row r="331" spans="1:11" s="3" customFormat="1" ht="15" collapsed="1">
      <c r="A331" s="51"/>
      <c r="K331" s="54"/>
    </row>
    <row r="332" spans="1:11" s="3" customFormat="1" ht="16.5">
      <c r="A332" s="83" t="s">
        <v>475</v>
      </c>
      <c r="K332" s="54"/>
    </row>
    <row r="333" spans="1:11" s="3" customFormat="1" ht="15" hidden="1" outlineLevel="1">
      <c r="A333" s="85" t="s">
        <v>469</v>
      </c>
      <c r="B333" s="84"/>
      <c r="C333" s="84"/>
      <c r="D333" s="84"/>
      <c r="E333" s="84"/>
      <c r="F333" s="84"/>
      <c r="G333" s="84"/>
      <c r="H333" s="84"/>
      <c r="I333" s="84"/>
      <c r="J333" s="84"/>
      <c r="K333" s="54"/>
    </row>
    <row r="334" spans="1:11" s="3" customFormat="1" ht="15" hidden="1" outlineLevel="1">
      <c r="A334" s="84" t="s">
        <v>468</v>
      </c>
      <c r="B334" s="84"/>
      <c r="C334" s="84"/>
      <c r="D334" s="84"/>
      <c r="E334" s="84"/>
      <c r="F334" s="84"/>
      <c r="G334" s="84"/>
      <c r="H334" s="84"/>
      <c r="I334" s="84"/>
      <c r="J334" s="84"/>
      <c r="K334" s="54"/>
    </row>
    <row r="335" spans="1:11" s="3" customFormat="1" ht="15" hidden="1" outlineLevel="1">
      <c r="A335" s="84" t="s">
        <v>441</v>
      </c>
      <c r="B335" s="84"/>
      <c r="C335" s="84"/>
      <c r="D335" s="84"/>
      <c r="E335" s="84"/>
      <c r="F335" s="84"/>
      <c r="G335" s="84"/>
      <c r="H335" s="84"/>
      <c r="I335" s="84"/>
      <c r="J335" s="84"/>
      <c r="K335" s="54"/>
    </row>
    <row r="336" spans="1:11" s="3" customFormat="1" ht="15" hidden="1" outlineLevel="1">
      <c r="A336" s="84" t="s">
        <v>442</v>
      </c>
      <c r="B336" s="84"/>
      <c r="C336" s="84"/>
      <c r="D336" s="84"/>
      <c r="E336" s="84"/>
      <c r="F336" s="84"/>
      <c r="G336" s="84"/>
      <c r="H336" s="84"/>
      <c r="I336" s="84"/>
      <c r="J336" s="84"/>
    </row>
    <row r="337" spans="1:10" s="3" customFormat="1" ht="15" hidden="1" outlineLevel="1">
      <c r="A337" s="84" t="s">
        <v>443</v>
      </c>
      <c r="B337" s="84"/>
      <c r="C337" s="84"/>
      <c r="D337" s="84"/>
      <c r="E337" s="84"/>
      <c r="F337" s="84"/>
      <c r="G337" s="84"/>
      <c r="H337" s="84"/>
      <c r="I337" s="84"/>
      <c r="J337" s="84"/>
    </row>
    <row r="338" spans="1:10" s="3" customFormat="1" ht="15" hidden="1" outlineLevel="1">
      <c r="A338" s="84" t="s">
        <v>444</v>
      </c>
      <c r="B338" s="84"/>
      <c r="C338" s="84"/>
      <c r="D338" s="84"/>
      <c r="E338" s="84"/>
      <c r="F338" s="84"/>
      <c r="G338" s="84"/>
      <c r="H338" s="84"/>
      <c r="I338" s="84"/>
      <c r="J338" s="84"/>
    </row>
    <row r="339" spans="1:10" s="3" customFormat="1" ht="15" hidden="1" outlineLevel="1">
      <c r="A339" s="84" t="s">
        <v>445</v>
      </c>
      <c r="B339" s="84"/>
      <c r="C339" s="84"/>
      <c r="D339" s="84"/>
      <c r="E339" s="84"/>
      <c r="F339" s="84"/>
      <c r="G339" s="84"/>
      <c r="H339" s="84"/>
      <c r="I339" s="84"/>
      <c r="J339" s="84"/>
    </row>
    <row r="340" spans="1:10" s="3" customFormat="1" ht="15" hidden="1" outlineLevel="1">
      <c r="A340" s="84" t="s">
        <v>446</v>
      </c>
      <c r="B340" s="84"/>
      <c r="C340" s="84"/>
      <c r="D340" s="84"/>
      <c r="E340" s="84"/>
      <c r="F340" s="84"/>
      <c r="G340" s="84"/>
      <c r="H340" s="84"/>
      <c r="I340" s="84"/>
      <c r="J340" s="84"/>
    </row>
    <row r="341" spans="1:10" s="3" customFormat="1" ht="15" hidden="1" outlineLevel="1">
      <c r="A341" s="84" t="s">
        <v>447</v>
      </c>
      <c r="B341" s="84"/>
      <c r="C341" s="84"/>
      <c r="D341" s="84"/>
      <c r="E341" s="84"/>
      <c r="F341" s="84"/>
      <c r="G341" s="84"/>
      <c r="H341" s="84"/>
      <c r="I341" s="84"/>
      <c r="J341" s="84"/>
    </row>
    <row r="342" spans="1:10" s="3" customFormat="1" ht="15" hidden="1" outlineLevel="1">
      <c r="A342" s="84" t="s">
        <v>448</v>
      </c>
      <c r="B342" s="84"/>
      <c r="C342" s="84"/>
      <c r="D342" s="84"/>
      <c r="E342" s="84"/>
      <c r="F342" s="84"/>
      <c r="G342" s="84"/>
      <c r="H342" s="84"/>
      <c r="I342" s="84"/>
      <c r="J342" s="84"/>
    </row>
    <row r="343" spans="1:10" s="3" customFormat="1" ht="15" hidden="1" outlineLevel="1">
      <c r="A343" s="84" t="s">
        <v>449</v>
      </c>
      <c r="B343" s="84"/>
      <c r="C343" s="84"/>
      <c r="D343" s="84"/>
      <c r="E343" s="84"/>
      <c r="F343" s="84"/>
      <c r="G343" s="84"/>
      <c r="H343" s="84"/>
      <c r="I343" s="84"/>
      <c r="J343" s="84"/>
    </row>
    <row r="344" spans="1:10" s="3" customFormat="1" ht="15" hidden="1" outlineLevel="1">
      <c r="A344" s="84" t="s">
        <v>450</v>
      </c>
      <c r="B344" s="84"/>
      <c r="C344" s="84"/>
      <c r="D344" s="84"/>
      <c r="E344" s="84"/>
      <c r="F344" s="84"/>
      <c r="G344" s="84"/>
      <c r="H344" s="84"/>
      <c r="I344" s="84"/>
      <c r="J344" s="84"/>
    </row>
    <row r="345" spans="1:10" s="3" customFormat="1" ht="15" hidden="1" outlineLevel="1">
      <c r="A345" s="84" t="s">
        <v>451</v>
      </c>
      <c r="B345" s="84"/>
      <c r="C345" s="84"/>
      <c r="D345" s="84"/>
      <c r="E345" s="84"/>
      <c r="F345" s="84"/>
      <c r="G345" s="84"/>
      <c r="H345" s="84"/>
      <c r="I345" s="84"/>
      <c r="J345" s="84"/>
    </row>
    <row r="346" spans="1:10" s="3" customFormat="1" ht="15" hidden="1" outlineLevel="1">
      <c r="A346" s="84" t="s">
        <v>452</v>
      </c>
      <c r="B346" s="84"/>
      <c r="C346" s="84"/>
      <c r="D346" s="84"/>
      <c r="E346" s="84"/>
      <c r="F346" s="84"/>
      <c r="G346" s="84"/>
      <c r="H346" s="84"/>
      <c r="I346" s="84"/>
      <c r="J346" s="84"/>
    </row>
    <row r="347" spans="1:10" s="3" customFormat="1" ht="15" hidden="1" outlineLevel="1">
      <c r="A347" s="84" t="s">
        <v>453</v>
      </c>
      <c r="B347" s="84"/>
      <c r="C347" s="84"/>
      <c r="D347" s="84"/>
      <c r="E347" s="84"/>
      <c r="F347" s="84"/>
      <c r="G347" s="84"/>
      <c r="H347" s="84"/>
      <c r="I347" s="84"/>
      <c r="J347" s="84"/>
    </row>
    <row r="348" spans="1:10" s="3" customFormat="1" ht="15" hidden="1" outlineLevel="1">
      <c r="A348" s="84" t="s">
        <v>454</v>
      </c>
      <c r="B348" s="84"/>
      <c r="C348" s="84"/>
      <c r="D348" s="84"/>
      <c r="E348" s="84"/>
      <c r="F348" s="84"/>
      <c r="G348" s="84"/>
      <c r="H348" s="84"/>
      <c r="I348" s="84"/>
      <c r="J348" s="84"/>
    </row>
    <row r="349" spans="1:10" s="3" customFormat="1" ht="15" hidden="1" outlineLevel="1">
      <c r="A349" s="84" t="s">
        <v>455</v>
      </c>
      <c r="B349" s="84"/>
      <c r="C349" s="84"/>
      <c r="D349" s="84"/>
      <c r="E349" s="84"/>
      <c r="F349" s="84"/>
      <c r="G349" s="84"/>
      <c r="H349" s="84"/>
      <c r="I349" s="84"/>
      <c r="J349" s="84"/>
    </row>
    <row r="350" spans="1:10" s="3" customFormat="1" ht="15" hidden="1" outlineLevel="1">
      <c r="A350" s="84" t="s">
        <v>456</v>
      </c>
      <c r="B350" s="84"/>
      <c r="C350" s="84"/>
      <c r="D350" s="84"/>
      <c r="E350" s="84"/>
      <c r="F350" s="84"/>
      <c r="G350" s="84"/>
      <c r="H350" s="84"/>
      <c r="I350" s="84"/>
      <c r="J350" s="84"/>
    </row>
    <row r="351" spans="1:10" s="3" customFormat="1" ht="15" hidden="1" outlineLevel="1">
      <c r="A351" s="84" t="s">
        <v>457</v>
      </c>
      <c r="B351" s="84"/>
      <c r="C351" s="84"/>
      <c r="D351" s="84"/>
      <c r="E351" s="84"/>
      <c r="F351" s="84"/>
      <c r="G351" s="84"/>
      <c r="H351" s="84"/>
      <c r="I351" s="84"/>
      <c r="J351" s="84"/>
    </row>
    <row r="352" spans="1:10" s="3" customFormat="1" ht="15" hidden="1" outlineLevel="1">
      <c r="A352" s="84" t="s">
        <v>407</v>
      </c>
      <c r="B352" s="84"/>
      <c r="C352" s="84"/>
      <c r="D352" s="84"/>
      <c r="E352" s="84"/>
      <c r="F352" s="84"/>
      <c r="G352" s="84"/>
      <c r="H352" s="84"/>
      <c r="I352" s="84"/>
      <c r="J352" s="84"/>
    </row>
    <row r="353" spans="1:10" s="3" customFormat="1" ht="15" hidden="1" outlineLevel="1">
      <c r="A353" s="84" t="s">
        <v>408</v>
      </c>
      <c r="B353" s="84"/>
      <c r="C353" s="84"/>
      <c r="D353" s="84"/>
      <c r="E353" s="84"/>
      <c r="F353" s="84"/>
      <c r="G353" s="84"/>
      <c r="H353" s="84"/>
      <c r="I353" s="84"/>
      <c r="J353" s="84"/>
    </row>
    <row r="354" spans="1:10" s="3" customFormat="1" ht="15" hidden="1" outlineLevel="1">
      <c r="A354" s="84" t="s">
        <v>458</v>
      </c>
      <c r="B354" s="84"/>
      <c r="C354" s="84"/>
      <c r="D354" s="84"/>
      <c r="E354" s="84"/>
      <c r="F354" s="84"/>
      <c r="G354" s="84"/>
      <c r="H354" s="84"/>
      <c r="I354" s="84"/>
      <c r="J354" s="84"/>
    </row>
    <row r="355" spans="1:10" s="3" customFormat="1" ht="15" hidden="1" outlineLevel="1">
      <c r="A355" s="84" t="s">
        <v>459</v>
      </c>
      <c r="B355" s="84"/>
      <c r="C355" s="84"/>
      <c r="D355" s="84"/>
      <c r="E355" s="84"/>
      <c r="F355" s="84"/>
      <c r="G355" s="84"/>
      <c r="H355" s="84"/>
      <c r="I355" s="84"/>
      <c r="J355" s="84"/>
    </row>
    <row r="356" spans="1:10" s="3" customFormat="1" ht="15" hidden="1" outlineLevel="1">
      <c r="A356" s="84" t="s">
        <v>460</v>
      </c>
      <c r="B356" s="84"/>
      <c r="C356" s="84"/>
      <c r="D356" s="84"/>
      <c r="E356" s="84"/>
      <c r="F356" s="84"/>
      <c r="G356" s="84"/>
      <c r="H356" s="84"/>
      <c r="I356" s="84"/>
      <c r="J356" s="84"/>
    </row>
    <row r="357" spans="1:10" s="3" customFormat="1" ht="15" hidden="1" outlineLevel="1">
      <c r="A357" s="84" t="s">
        <v>461</v>
      </c>
      <c r="B357" s="84"/>
      <c r="C357" s="84"/>
      <c r="D357" s="84"/>
      <c r="E357" s="84"/>
      <c r="F357" s="84"/>
      <c r="G357" s="84"/>
      <c r="H357" s="84"/>
      <c r="I357" s="84"/>
      <c r="J357" s="84"/>
    </row>
    <row r="358" spans="1:10" s="3" customFormat="1" ht="15" hidden="1" outlineLevel="1">
      <c r="A358" s="84" t="s">
        <v>462</v>
      </c>
      <c r="B358" s="84"/>
      <c r="C358" s="84"/>
      <c r="D358" s="84"/>
      <c r="E358" s="84"/>
      <c r="F358" s="84"/>
      <c r="G358" s="84"/>
      <c r="H358" s="84"/>
      <c r="I358" s="84"/>
      <c r="J358" s="84"/>
    </row>
    <row r="359" spans="1:10" s="3" customFormat="1" ht="15" hidden="1" outlineLevel="1">
      <c r="A359" s="84" t="s">
        <v>463</v>
      </c>
      <c r="B359" s="84"/>
      <c r="C359" s="84"/>
      <c r="D359" s="84"/>
      <c r="E359" s="84"/>
      <c r="F359" s="84"/>
      <c r="G359" s="84"/>
      <c r="H359" s="84"/>
      <c r="I359" s="84"/>
      <c r="J359" s="84"/>
    </row>
    <row r="360" spans="1:10" s="3" customFormat="1" ht="15" hidden="1" outlineLevel="1">
      <c r="A360" s="84" t="s">
        <v>408</v>
      </c>
      <c r="B360" s="84"/>
      <c r="C360" s="84"/>
      <c r="D360" s="84"/>
      <c r="E360" s="84"/>
      <c r="F360" s="84"/>
      <c r="G360" s="84"/>
      <c r="H360" s="84"/>
      <c r="I360" s="84"/>
      <c r="J360" s="84"/>
    </row>
    <row r="361" spans="1:10" s="3" customFormat="1" ht="15" hidden="1" outlineLevel="1">
      <c r="A361" s="84" t="s">
        <v>464</v>
      </c>
      <c r="B361" s="84"/>
      <c r="C361" s="84"/>
      <c r="D361" s="84"/>
      <c r="E361" s="84"/>
      <c r="F361" s="84"/>
      <c r="G361" s="84"/>
      <c r="H361" s="84"/>
      <c r="I361" s="84"/>
      <c r="J361" s="84"/>
    </row>
    <row r="362" spans="1:10" s="3" customFormat="1" ht="15" hidden="1" outlineLevel="1">
      <c r="A362" s="84" t="s">
        <v>465</v>
      </c>
      <c r="B362" s="84"/>
      <c r="C362" s="84"/>
      <c r="D362" s="84"/>
      <c r="E362" s="84"/>
      <c r="F362" s="84"/>
      <c r="G362" s="84"/>
      <c r="H362" s="84"/>
      <c r="I362" s="84"/>
      <c r="J362" s="84"/>
    </row>
    <row r="363" spans="1:10" s="3" customFormat="1" ht="15" hidden="1" outlineLevel="1">
      <c r="A363" s="84" t="s">
        <v>466</v>
      </c>
      <c r="B363" s="84"/>
      <c r="C363" s="84"/>
      <c r="D363" s="84"/>
      <c r="E363" s="84"/>
      <c r="F363" s="84"/>
      <c r="G363" s="84"/>
      <c r="H363" s="84"/>
      <c r="I363" s="84"/>
      <c r="J363" s="84"/>
    </row>
    <row r="364" spans="1:10" s="3" customFormat="1" ht="15" hidden="1" outlineLevel="1">
      <c r="A364" s="84" t="s">
        <v>467</v>
      </c>
      <c r="B364" s="84"/>
      <c r="C364" s="84"/>
      <c r="D364" s="84"/>
      <c r="E364" s="84"/>
      <c r="F364" s="84"/>
      <c r="G364" s="84"/>
      <c r="H364" s="84"/>
      <c r="I364" s="84"/>
      <c r="J364" s="84"/>
    </row>
    <row r="365" spans="1:10" s="3" customFormat="1" ht="15" hidden="1" outlineLevel="1">
      <c r="A365" s="84" t="s">
        <v>411</v>
      </c>
      <c r="B365" s="84"/>
      <c r="C365" s="84"/>
      <c r="D365" s="84"/>
      <c r="E365" s="84"/>
      <c r="F365" s="84"/>
      <c r="G365" s="84"/>
      <c r="H365" s="84"/>
      <c r="I365" s="84"/>
      <c r="J365" s="84"/>
    </row>
    <row r="366" spans="1:10" s="3" customFormat="1" ht="15" hidden="1" outlineLevel="1">
      <c r="A366" s="84" t="s">
        <v>470</v>
      </c>
      <c r="B366" s="84"/>
      <c r="C366" s="84"/>
      <c r="D366" s="84"/>
      <c r="E366" s="84"/>
      <c r="F366" s="84"/>
      <c r="G366" s="84"/>
      <c r="H366" s="84"/>
      <c r="I366" s="84"/>
      <c r="J366" s="84"/>
    </row>
    <row r="367" spans="1:10" collapsed="1"/>
  </sheetData>
  <mergeCells count="186">
    <mergeCell ref="I152:N152"/>
    <mergeCell ref="I153:N153"/>
    <mergeCell ref="I154:N154"/>
    <mergeCell ref="A139:G139"/>
    <mergeCell ref="A140:G140"/>
    <mergeCell ref="A141:G141"/>
    <mergeCell ref="A142:G142"/>
    <mergeCell ref="A143:G143"/>
    <mergeCell ref="A144:G144"/>
    <mergeCell ref="A145:G145"/>
    <mergeCell ref="I139:N139"/>
    <mergeCell ref="I140:N140"/>
    <mergeCell ref="I141:N141"/>
    <mergeCell ref="I142:N142"/>
    <mergeCell ref="I143:N143"/>
    <mergeCell ref="I144:N144"/>
    <mergeCell ref="I145:N145"/>
    <mergeCell ref="I146:N146"/>
    <mergeCell ref="I147:N147"/>
    <mergeCell ref="I148:N148"/>
    <mergeCell ref="I149:N149"/>
    <mergeCell ref="I150:N150"/>
    <mergeCell ref="I151:N151"/>
    <mergeCell ref="D1:E1"/>
    <mergeCell ref="G1:H1"/>
    <mergeCell ref="J1:K1"/>
    <mergeCell ref="M1:N1"/>
    <mergeCell ref="D182:H182"/>
    <mergeCell ref="D183:H184"/>
    <mergeCell ref="D186:H186"/>
    <mergeCell ref="D187:H187"/>
    <mergeCell ref="D188:H188"/>
    <mergeCell ref="D104:H104"/>
    <mergeCell ref="D100:H101"/>
    <mergeCell ref="D97:H97"/>
    <mergeCell ref="D90:H90"/>
    <mergeCell ref="D91:H91"/>
    <mergeCell ref="D92:H92"/>
    <mergeCell ref="D93:H93"/>
    <mergeCell ref="D94:H94"/>
    <mergeCell ref="D95:H95"/>
    <mergeCell ref="D115:E115"/>
    <mergeCell ref="D33:H33"/>
    <mergeCell ref="D43:H43"/>
    <mergeCell ref="D44:H44"/>
    <mergeCell ref="D42:H42"/>
    <mergeCell ref="D27:H27"/>
    <mergeCell ref="D28:H29"/>
    <mergeCell ref="D31:H31"/>
    <mergeCell ref="D32:H32"/>
    <mergeCell ref="D34:H34"/>
    <mergeCell ref="D23:H23"/>
    <mergeCell ref="D24:H24"/>
    <mergeCell ref="D25:H25"/>
    <mergeCell ref="D22:H22"/>
    <mergeCell ref="D4:H4"/>
    <mergeCell ref="D5:H6"/>
    <mergeCell ref="D8:H8"/>
    <mergeCell ref="D9:H9"/>
    <mergeCell ref="D10:H10"/>
    <mergeCell ref="D11:H11"/>
    <mergeCell ref="D18:H18"/>
    <mergeCell ref="D19:H19"/>
    <mergeCell ref="D20:H20"/>
    <mergeCell ref="D21:H21"/>
    <mergeCell ref="D58:H58"/>
    <mergeCell ref="D45:H45"/>
    <mergeCell ref="D46:H46"/>
    <mergeCell ref="D47:H47"/>
    <mergeCell ref="D48:H48"/>
    <mergeCell ref="D49:H49"/>
    <mergeCell ref="D51:H51"/>
    <mergeCell ref="D52:H53"/>
    <mergeCell ref="D55:H55"/>
    <mergeCell ref="D56:H56"/>
    <mergeCell ref="D57:H57"/>
    <mergeCell ref="D75:H75"/>
    <mergeCell ref="D76:H77"/>
    <mergeCell ref="D79:H79"/>
    <mergeCell ref="D80:H80"/>
    <mergeCell ref="D66:H66"/>
    <mergeCell ref="D67:H67"/>
    <mergeCell ref="D68:H68"/>
    <mergeCell ref="D69:H69"/>
    <mergeCell ref="D70:H70"/>
    <mergeCell ref="D71:H71"/>
    <mergeCell ref="D72:H72"/>
    <mergeCell ref="D73:H73"/>
    <mergeCell ref="D81:H81"/>
    <mergeCell ref="D82:H82"/>
    <mergeCell ref="D105:H105"/>
    <mergeCell ref="D106:H106"/>
    <mergeCell ref="D107:H107"/>
    <mergeCell ref="D99:H99"/>
    <mergeCell ref="D103:H103"/>
    <mergeCell ref="D96:H96"/>
    <mergeCell ref="E214:F214"/>
    <mergeCell ref="E213:F213"/>
    <mergeCell ref="H213:I213"/>
    <mergeCell ref="H214:I214"/>
    <mergeCell ref="D198:H199"/>
    <mergeCell ref="D202:H202"/>
    <mergeCell ref="D203:H204"/>
    <mergeCell ref="D207:H207"/>
    <mergeCell ref="D208:H209"/>
    <mergeCell ref="D189:H189"/>
    <mergeCell ref="D190:H190"/>
    <mergeCell ref="D193:H194"/>
    <mergeCell ref="D192:H192"/>
    <mergeCell ref="D197:H197"/>
    <mergeCell ref="A276:J276"/>
    <mergeCell ref="A277:J277"/>
    <mergeCell ref="A278:J278"/>
    <mergeCell ref="A279:J279"/>
    <mergeCell ref="A280:J280"/>
    <mergeCell ref="A281:J281"/>
    <mergeCell ref="A282:J282"/>
    <mergeCell ref="A283:J283"/>
    <mergeCell ref="A284:J284"/>
    <mergeCell ref="A285:J285"/>
    <mergeCell ref="A286:J286"/>
    <mergeCell ref="A287:J287"/>
    <mergeCell ref="A288:J288"/>
    <mergeCell ref="A289:J289"/>
    <mergeCell ref="A290:J290"/>
    <mergeCell ref="A303:J303"/>
    <mergeCell ref="A304:J304"/>
    <mergeCell ref="A305:J305"/>
    <mergeCell ref="A324:J324"/>
    <mergeCell ref="A325:J325"/>
    <mergeCell ref="C259:I259"/>
    <mergeCell ref="C256:I256"/>
    <mergeCell ref="A297:J297"/>
    <mergeCell ref="A296:J296"/>
    <mergeCell ref="A315:J315"/>
    <mergeCell ref="A316:J316"/>
    <mergeCell ref="A317:J317"/>
    <mergeCell ref="A318:J318"/>
    <mergeCell ref="A319:J319"/>
    <mergeCell ref="A320:J320"/>
    <mergeCell ref="A321:J321"/>
    <mergeCell ref="A322:J322"/>
    <mergeCell ref="A323:J323"/>
    <mergeCell ref="A306:J306"/>
    <mergeCell ref="A307:J307"/>
    <mergeCell ref="A308:J308"/>
    <mergeCell ref="A309:J309"/>
    <mergeCell ref="A310:J310"/>
    <mergeCell ref="A311:J311"/>
    <mergeCell ref="A312:J312"/>
    <mergeCell ref="A313:J313"/>
    <mergeCell ref="A314:J314"/>
    <mergeCell ref="A333:J333"/>
    <mergeCell ref="A334:J334"/>
    <mergeCell ref="A335:J335"/>
    <mergeCell ref="A336:J336"/>
    <mergeCell ref="A337:J337"/>
    <mergeCell ref="A338:J338"/>
    <mergeCell ref="A339:J339"/>
    <mergeCell ref="A340:J340"/>
    <mergeCell ref="A341:J341"/>
    <mergeCell ref="A342:J342"/>
    <mergeCell ref="A343:J343"/>
    <mergeCell ref="A344:J344"/>
    <mergeCell ref="A345:J345"/>
    <mergeCell ref="A346:J346"/>
    <mergeCell ref="A347:J347"/>
    <mergeCell ref="A348:J348"/>
    <mergeCell ref="A349:J349"/>
    <mergeCell ref="A350:J350"/>
    <mergeCell ref="A360:J360"/>
    <mergeCell ref="A361:J361"/>
    <mergeCell ref="A362:J362"/>
    <mergeCell ref="A363:J363"/>
    <mergeCell ref="A364:J364"/>
    <mergeCell ref="A365:J365"/>
    <mergeCell ref="A366:J366"/>
    <mergeCell ref="A351:J351"/>
    <mergeCell ref="A352:J352"/>
    <mergeCell ref="A353:J353"/>
    <mergeCell ref="A354:J354"/>
    <mergeCell ref="A355:J355"/>
    <mergeCell ref="A356:J356"/>
    <mergeCell ref="A357:J357"/>
    <mergeCell ref="A358:J358"/>
    <mergeCell ref="A359:J359"/>
  </mergeCells>
  <conditionalFormatting sqref="E215:F238">
    <cfRule type="expression" dxfId="3" priority="5">
      <formula>E215=""</formula>
    </cfRule>
  </conditionalFormatting>
  <conditionalFormatting sqref="H215:I238">
    <cfRule type="expression" dxfId="2" priority="4">
      <formula>H215=""</formula>
    </cfRule>
  </conditionalFormatting>
  <conditionalFormatting sqref="N192:N195">
    <cfRule type="expression" dxfId="1" priority="7">
      <formula>N192&lt;&gt;""</formula>
    </cfRule>
  </conditionalFormatting>
  <conditionalFormatting sqref="N205:N208">
    <cfRule type="expression" dxfId="0" priority="6">
      <formula>N205&lt;&gt;""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FkATQBE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D7A8D956-6E0E-47D1-9180-8F905735AA0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Excel Labs</vt:lpstr>
      <vt:lpstr>LET</vt:lpstr>
      <vt:lpstr>LAMBDA</vt:lpstr>
      <vt:lpstr>Examples</vt:lpstr>
    </vt:vector>
  </TitlesOfParts>
  <Company>CGC-CCG Office SAC Bilingue - patched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Bestvater (CGC/CCG)</dc:creator>
  <cp:lastModifiedBy>Michael Bestvater</cp:lastModifiedBy>
  <dcterms:created xsi:type="dcterms:W3CDTF">2025-10-31T14:22:38Z</dcterms:created>
  <dcterms:modified xsi:type="dcterms:W3CDTF">2026-07-03T19:06:10Z</dcterms:modified>
</cp:coreProperties>
</file>