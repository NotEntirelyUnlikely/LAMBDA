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133gc-my.sharepoint.com/personal/mbestvater_cgc_ca/Documents/Documents/TOTE/Other/Divisions/"/>
    </mc:Choice>
  </mc:AlternateContent>
  <xr:revisionPtr revIDLastSave="22" documentId="8_{4ABE16D6-271E-4BAB-9523-D69DC39B341F}" xr6:coauthVersionLast="47" xr6:coauthVersionMax="47" xr10:uidLastSave="{205DE1E0-30F1-41D7-8EC6-F4CBE1F9B5C8}"/>
  <bookViews>
    <workbookView xWindow="-120" yWindow="-120" windowWidth="29040" windowHeight="15720" xr2:uid="{4D0E33E1-7266-473A-9600-B07945ED9C0E}"/>
  </bookViews>
  <sheets>
    <sheet name="Cup Combo" sheetId="2" r:id="rId1"/>
  </sheets>
  <definedNames>
    <definedName name="BEST_COMBO">_xlfn.LAMBDA(_xlpm.subsample_masses,_xlpm.mf,_xlfn.LET(_xlpm.n_sub, ROWS(_xlfn.TOCOL(_xlpm.subsample_masses)), _xlpm.n_comb, 2 ^ _xlpm.n_sub, _xlpm.seq_comb, _xlfn.SEQUENCE(_xlpm.n_comb - 1), _xlpm.seq_div, _xlfn.SEQUENCE(, _xlpm.n_sub), _xlpm.x_0, _xlfn.BASE(_xlpm.seq_comb, 2), _xlpm.x_1, TEXT(_xlpm.x_0, REPT("0", _xlpm.n_sub)), _xlpm.x_2, MID(_xlpm.x_1, _xlpm.seq_div, 1) + 0, _xlpm.x_3, _xlpm.x_2 = 1, _xlpm.x_4, IF(_xlpm.x_3, _xlpm.subsample_masses, ""), _xlpm.x_5, _xlfn.BYROW(_xlpm.x_4, _xlfn.LAMBDA(_xlpm.r, SUM(_xlpm.r))), _xlpm.p_diff, (_xlpm.x_5 - _xlpm.mf) / _xlpm.mf, _xlpm.p_min, _xlpm.p_diff = MIN(ABS(_xlpm.p_diff)), _xlpm.best_i, MIN(_xlfn._xlws.FILTER(_xlpm.seq_comb, _xlpm.p_min)), _xlpm.best_f, _xlpm.seq_comb = _xlpm.best_i, _xlpm.arr_sub, IF(_xlpm.x_3, _xlpm.seq_div, ""), _xlpm.f_arr_sub, _xlfn._xlws.FILTER(_xlpm.arr_sub, _xlpm.best_f), _xlpm.f_arr_m, _xlfn._xlws.FILTER(_xlpm.x_4, _xlpm.best_f), _xlpm.f_arr_sum, _xlfn._xlws.FILTER(_xlpm.x_5, _xlpm.best_f), _xlpm.arr_sum, _xlfn.VSTACK("Sum", _xlpm.f_arr_sum), _xlpm.result_arr, _xlfn.HSTACK(_xlfn.VSTACK(_xlpm.f_arr_sub, _xlpm.f_arr_m), _xlpm.arr_sum), _xlpm.result, _xlpm.result_arr, _xlpm.result))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 a="1"/>
  <c r="C14" i="2" s="1"/>
  <c r="C16" i="2" s="1" a="1"/>
  <c r="C1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<sst xmlns="http://schemas.openxmlformats.org/spreadsheetml/2006/main" count="32" uniqueCount="21">
  <si>
    <t>Enter cup masses for equipment</t>
  </si>
  <si>
    <t>eqp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</si>
  <si>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</si>
  <si>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</si>
  <si>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</si>
  <si>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</si>
  <si>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</si>
  <si>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</si>
  <si>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</si>
  <si>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</si>
  <si>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</si>
  <si>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</si>
  <si>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RSD 4</t>
  </si>
  <si>
    <t>PT100 1</t>
  </si>
  <si>
    <t>equipment</t>
  </si>
  <si>
    <t>best combo</t>
  </si>
  <si>
    <t>spl mass</t>
  </si>
  <si>
    <t>cup + spl mass</t>
  </si>
  <si>
    <t>RSD 3</t>
  </si>
  <si>
    <t>mf</t>
  </si>
  <si>
    <t>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</si>
</sst>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1"/>
      <color theme="1"/>
      <name val="Aptos"/>
      <family val="2"/>
    </font>
    <font>
      <sz val="11"/>
      <color rgb="FF3F3F76"/>
      <name val="Aptos"/>
      <family val="2"/>
    </font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onsolas"/>
      <family val="3"/>
    </font>
    <font>
      <b/>
      <sz val="28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i/>
      <sz val="11"/>
      <color theme="1" tint="0.499984740745262"/>
      <name val="Aptos"/>
      <family val="2"/>
    </font>
    <font>
      <sz val="11"/>
      <color theme="4" tint="-0.249977111117893"/>
      <name val="Aptos Narrow"/>
      <family val="2"/>
      <scheme val="minor"/>
    </font>
    <font>
      <i/>
      <sz val="10"/>
      <color theme="1" tint="0.499984740745262"/>
      <name val="Aptos"/>
      <family val="2"/>
    </font>
    <font>
      <i/>
      <sz val="10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9" fontId="14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0" fontId="3" fillId="0" borderId="0" xfId="2" applyFont="1"/>
    <xf numFmtId="164" fontId="3" fillId="0" borderId="0" xfId="2" applyNumberFormat="1" applyFont="1" applyAlignment="1">
      <alignment horizontal="center"/>
    </xf>
    <xf numFmtId="0" fontId="4" fillId="0" borderId="0" xfId="2" applyFont="1"/>
    <xf numFmtId="0" fontId="3" fillId="0" borderId="0" xfId="2" applyFont="1" applyAlignment="1">
      <alignment horizontal="center"/>
    </xf>
    <xf numFmtId="164" fontId="2" fillId="0" borderId="0" xfId="2" applyNumberFormat="1"/>
    <xf numFmtId="0" fontId="2" fillId="0" borderId="0" xfId="2" applyAlignment="1">
      <alignment horizontal="center" vertical="center"/>
    </xf>
    <xf numFmtId="164" fontId="2" fillId="0" borderId="0" xfId="2" applyNumberFormat="1" applyAlignment="1">
      <alignment horizontal="center"/>
    </xf>
    <xf numFmtId="0" fontId="6" fillId="0" borderId="0" xfId="2" applyFont="1"/>
    <xf numFmtId="0" fontId="7" fillId="0" borderId="0" xfId="0" applyFont="1" applyAlignment="1">
      <alignment vertical="center"/>
    </xf>
    <xf numFmtId="0" fontId="8" fillId="0" borderId="4" xfId="2" applyFont="1" applyBorder="1" applyAlignment="1">
      <alignment horizontal="center" vertical="center"/>
    </xf>
    <xf numFmtId="164" fontId="9" fillId="0" borderId="5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164" fontId="9" fillId="0" borderId="2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11" fillId="0" borderId="0" xfId="2" applyNumberFormat="1" applyFont="1" applyAlignment="1">
      <alignment horizontal="center" vertical="center"/>
    </xf>
    <xf numFmtId="2" fontId="1" fillId="2" borderId="1" xfId="1" applyNumberFormat="1" applyAlignment="1">
      <alignment horizontal="center"/>
    </xf>
    <xf numFmtId="164" fontId="1" fillId="2" borderId="1" xfId="1" applyNumberFormat="1" applyAlignment="1">
      <alignment horizontal="center" vertical="center"/>
    </xf>
    <xf numFmtId="0" fontId="12" fillId="0" borderId="0" xfId="0" applyFont="1" applyAlignment="1">
      <alignment horizontal="right"/>
    </xf>
    <xf numFmtId="0" fontId="13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right" vertical="center"/>
    </xf>
    <xf numFmtId="165" fontId="1" fillId="2" borderId="1" xfId="3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4">
    <cellStyle name="Input" xfId="1" builtinId="20"/>
    <cellStyle name="Normal" xfId="0" builtinId="0"/>
    <cellStyle name="Normal 2" xfId="2" xr:uid="{88585CA4-B07C-42C4-9B4D-98ACBCE647A5}"/>
    <cellStyle name="Percent" xfId="3" builtinId="5"/>
  </cellStyles>
  <dxfs count="26">
    <dxf>
      <font>
        <color rgb="FFC00000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314C0C-00C6-453D-B9D7-E552C23AD989}" name="tbl_cupmass" displayName="tbl_cupmass" ref="B2:L5" totalsRowShown="0" headerRowDxfId="25" dataDxfId="24">
  <autoFilter ref="B2:L5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DAF3B26-AC7E-4C2D-8A1C-939BAFF473BD}" name="eqp" dataDxfId="23"/>
    <tableColumn id="2" xr3:uid="{08BDC220-F942-4F7C-8874-1B4D6DC63317}" name="1" dataDxfId="22"/>
    <tableColumn id="3" xr3:uid="{2F997688-314D-4FCD-B743-D1AC7BC227E7}" name="2" dataDxfId="21"/>
    <tableColumn id="4" xr3:uid="{B53EFC98-6FFC-4FBF-B317-2EF03FEB6CF7}" name="3" dataDxfId="20"/>
    <tableColumn id="5" xr3:uid="{AA6BF160-E317-4323-876D-D32FA7D5EE45}" name="4" dataDxfId="19"/>
    <tableColumn id="6" xr3:uid="{8A702BB8-4330-45A7-BF26-B5F542AA0F7D}" name="5" dataDxfId="18"/>
    <tableColumn id="7" xr3:uid="{357C9860-AC91-4425-A58B-CF9306D9E88F}" name="6" dataDxfId="17"/>
    <tableColumn id="8" xr3:uid="{3B37BF8E-BAB2-492F-AADD-532420269CE3}" name="7" dataDxfId="16"/>
    <tableColumn id="9" xr3:uid="{EF2D2B17-10DA-4209-AD99-E6C63AD12EFD}" name="8" dataDxfId="15"/>
    <tableColumn id="10" xr3:uid="{ED1AE082-ECF2-41E1-885D-F82894425FE5}" name="9" dataDxfId="14"/>
    <tableColumn id="11" xr3:uid="{22653F14-B5D6-4A63-91DC-01458C4E7AA2}" name="10" dataDxfId="13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CB9FC-D7DA-412E-931F-DBE9F8F946B8}" name="tbl_mass" displayName="tbl_mass" ref="C11:L12" totalsRowShown="0" headerRowDxfId="12" dataDxfId="11">
  <autoFilter ref="C11:L12" xr:uid="{D01CB9FC-D7DA-412E-931F-DBE9F8F946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5EFDCE-1C15-464E-AE49-F0DDFD1C4468}" name="1" dataDxfId="10"/>
    <tableColumn id="2" xr3:uid="{9C39C1EA-A632-4B2E-BB28-4F433ED6323B}" name="2" dataDxfId="9"/>
    <tableColumn id="3" xr3:uid="{014243DF-2923-43E0-AE85-A4212F27F219}" name="3" dataDxfId="8"/>
    <tableColumn id="4" xr3:uid="{B85CD790-9E5C-4FA0-A44A-42FB64CAC8FF}" name="4" dataDxfId="7"/>
    <tableColumn id="5" xr3:uid="{6E601E5D-F442-4575-88F1-E915644D75A9}" name="5" dataDxfId="6"/>
    <tableColumn id="6" xr3:uid="{F79ECB64-D5F1-4973-BFEB-41D4E0186EF1}" name="6" dataDxfId="5"/>
    <tableColumn id="7" xr3:uid="{BA30B6AB-9EBE-4E4F-A755-6708A2FA5355}" name="7" dataDxfId="4"/>
    <tableColumn id="8" xr3:uid="{F6F7089A-69D7-4AEB-B322-157BC8D0308D}" name="8" dataDxfId="3"/>
    <tableColumn id="9" xr3:uid="{56D95473-AE9E-46D7-A68B-FE0925E083CD}" name="9" dataDxfId="2"/>
    <tableColumn id="10" xr3:uid="{FB36502F-179D-49E7-8925-583FEF9F4FD1}" name="10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3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5BB3F1-F6FD-4468-95E3-EDF88073AABA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03C7173D-461B-40E3-BE65-FC66AA20AF92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6C06-D826-41EB-B960-9A1622E38643}">
  <sheetPr codeName="Sheet14">
    <tabColor theme="8" tint="0.79998168889431442"/>
  </sheetPr>
  <dimension ref="B1:O39"/>
  <sheetViews>
    <sheetView showGridLines="0" tabSelected="1" topLeftCell="H1" zoomScaleNormal="100" workbookViewId="0">
      <selection activeCell="I27" sqref="I27"/>
    </sheetView>
  </sheetViews>
  <sheetFormatPr defaultRowHeight="15" x14ac:dyDescent="0.25"/>
  <cols>
    <col min="1" max="1" width="2" style="1" customWidth="1"/>
    <col min="2" max="2" width="11.375" style="1" customWidth="1"/>
    <col min="3" max="12" width="8.25" style="1" customWidth="1"/>
    <col min="13" max="13" width="11.375" style="1" customWidth="1"/>
    <col min="14" max="14" width="8" style="1" customWidth="1"/>
    <col min="15" max="15" width="7" style="2" customWidth="1"/>
    <col min="16" max="16" width="1.75" style="1" bestFit="1" customWidth="1"/>
    <col min="17" max="17" width="7" style="1" customWidth="1"/>
    <col min="18" max="16384" width="9" style="1"/>
  </cols>
  <sheetData>
    <row r="1" spans="2:15" x14ac:dyDescent="0.25">
      <c r="B1" s="21" t="s">
        <v>0</v>
      </c>
    </row>
    <row r="2" spans="2:15" x14ac:dyDescent="0.25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N2" s="3"/>
      <c r="O2" s="4"/>
    </row>
    <row r="3" spans="2:15" x14ac:dyDescent="0.25">
      <c r="B3" s="5" t="s">
        <v>18</v>
      </c>
      <c r="C3" s="9">
        <v>301</v>
      </c>
      <c r="D3" s="9">
        <v>331.9</v>
      </c>
      <c r="E3" s="9">
        <v>334.5</v>
      </c>
      <c r="F3" s="9">
        <v>347.8</v>
      </c>
      <c r="G3" s="9">
        <v>346</v>
      </c>
      <c r="H3" s="9">
        <v>335.5</v>
      </c>
      <c r="I3" s="9">
        <v>295.60000000000002</v>
      </c>
      <c r="J3" s="9">
        <v>328.8</v>
      </c>
      <c r="K3" s="9">
        <v>293.60000000000002</v>
      </c>
      <c r="L3" s="9">
        <v>341.7</v>
      </c>
      <c r="N3" s="3"/>
      <c r="O3" s="4"/>
    </row>
    <row r="4" spans="2:15" x14ac:dyDescent="0.25">
      <c r="B4" s="5" t="s">
        <v>12</v>
      </c>
      <c r="C4" s="9">
        <v>351</v>
      </c>
      <c r="D4" s="9">
        <v>381.9</v>
      </c>
      <c r="E4" s="9">
        <v>384.5</v>
      </c>
      <c r="F4" s="9">
        <v>397.8</v>
      </c>
      <c r="G4" s="9">
        <v>396</v>
      </c>
      <c r="H4" s="9">
        <v>385.5</v>
      </c>
      <c r="I4" s="9">
        <v>345.6</v>
      </c>
      <c r="J4" s="9">
        <v>378.8</v>
      </c>
      <c r="K4" s="9">
        <v>343.6</v>
      </c>
      <c r="L4" s="9">
        <v>391.7</v>
      </c>
      <c r="N4" s="3"/>
      <c r="O4" s="6"/>
    </row>
    <row r="5" spans="2:15" x14ac:dyDescent="0.25">
      <c r="B5" s="5" t="s">
        <v>13</v>
      </c>
      <c r="C5" s="9">
        <v>354.5</v>
      </c>
      <c r="D5" s="9">
        <v>354.7</v>
      </c>
      <c r="E5" s="9">
        <v>354.4</v>
      </c>
      <c r="F5" s="9">
        <v>352.6</v>
      </c>
      <c r="G5" s="9">
        <v>349.8</v>
      </c>
      <c r="H5" s="9">
        <v>353.6</v>
      </c>
      <c r="I5" s="9">
        <v>350.2</v>
      </c>
      <c r="J5" s="9">
        <v>349.5</v>
      </c>
      <c r="K5" s="9">
        <v>354.4</v>
      </c>
      <c r="L5" s="9">
        <v>353</v>
      </c>
      <c r="N5" s="3"/>
      <c r="O5" s="6"/>
    </row>
    <row r="6" spans="2:15" x14ac:dyDescent="0.25">
      <c r="N6" s="3"/>
      <c r="O6" s="6"/>
    </row>
    <row r="7" spans="2:15" x14ac:dyDescent="0.25">
      <c r="B7" s="22" t="s">
        <v>14</v>
      </c>
      <c r="C7" s="18" t="s">
        <v>12</v>
      </c>
      <c r="G7" s="7"/>
      <c r="N7" s="3"/>
      <c r="O7" s="6"/>
    </row>
    <row r="8" spans="2:15" x14ac:dyDescent="0.25">
      <c r="B8" s="23" t="s">
        <v>19</v>
      </c>
      <c r="C8" s="19">
        <v>1760</v>
      </c>
      <c r="D8" s="8"/>
      <c r="E8"/>
      <c r="G8" s="7"/>
      <c r="N8" s="3"/>
      <c r="O8" s="6"/>
    </row>
    <row r="9" spans="2:15" x14ac:dyDescent="0.25">
      <c r="B9" s="23" t="s">
        <v>20</v>
      </c>
      <c r="C9" s="24">
        <v>0.05</v>
      </c>
      <c r="N9" s="3"/>
      <c r="O9" s="6"/>
    </row>
    <row r="10" spans="2:15" x14ac:dyDescent="0.25">
      <c r="N10" s="3"/>
      <c r="O10" s="6"/>
    </row>
    <row r="11" spans="2:15" x14ac:dyDescent="0.25"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N11" s="3"/>
      <c r="O11" s="4"/>
    </row>
    <row r="12" spans="2:15" x14ac:dyDescent="0.25">
      <c r="B12" s="20" t="s">
        <v>17</v>
      </c>
      <c r="C12" s="17">
        <v>1249.2</v>
      </c>
      <c r="D12" s="17">
        <v>1283.5</v>
      </c>
      <c r="E12" s="17">
        <v>1288.9000000000001</v>
      </c>
      <c r="F12" s="17">
        <v>1291.7</v>
      </c>
      <c r="G12" s="17">
        <v>1288</v>
      </c>
      <c r="H12" s="17">
        <v>1273</v>
      </c>
      <c r="I12" s="17">
        <v>1241.5</v>
      </c>
      <c r="J12" s="17">
        <v>1278.4000000000001</v>
      </c>
      <c r="K12" s="17">
        <v>1250.9000000000001</v>
      </c>
      <c r="L12" s="17">
        <v>1290.0999999999999</v>
      </c>
      <c r="N12" s="3"/>
      <c r="O12" s="6"/>
    </row>
    <row r="13" spans="2:15" x14ac:dyDescent="0.25">
      <c r="B13" s="10"/>
    </row>
    <row r="14" spans="2:15" x14ac:dyDescent="0.25">
      <c r="B14" s="20" t="s">
        <v>16</v>
      </c>
      <c r="C14" s="16" cm="1">
        <f t="array" ref="C14:L14">_xlfn.LET(
_xlpm.eqp,$C$7,
_xlpm.m_cup,_xlfn.XLOOKUP(_xlpm.eqp,tbl_cupmass[eqp],tbl_cupmass[[1]:[10]]),
_xlpm.m_cupspl,tbl_mass[],
_xlpm.m_spl,_xlpm.m_cupspl-_xlpm.m_cup,
_xlpm.result,_xlpm.m_spl,
_xlpm.result)</f>
        <v>898.2</v>
      </c>
      <c r="D14" s="16">
        <v>901.6</v>
      </c>
      <c r="E14" s="16">
        <v>904.40000000000009</v>
      </c>
      <c r="F14" s="16">
        <v>893.90000000000009</v>
      </c>
      <c r="G14" s="16">
        <v>892</v>
      </c>
      <c r="H14" s="16">
        <v>887.5</v>
      </c>
      <c r="I14" s="16">
        <v>895.9</v>
      </c>
      <c r="J14" s="16">
        <v>899.60000000000014</v>
      </c>
      <c r="K14" s="16">
        <v>907.30000000000007</v>
      </c>
      <c r="L14" s="16">
        <v>898.39999999999986</v>
      </c>
    </row>
    <row r="15" spans="2:15" x14ac:dyDescent="0.25">
      <c r="B15" s="10"/>
    </row>
    <row r="16" spans="2:15" ht="36" x14ac:dyDescent="0.25">
      <c r="B16" s="25" t="s">
        <v>15</v>
      </c>
      <c r="C16" s="12" t="str" cm="1">
        <f t="array" ref="C16:M17">BEST_COMBO(_xlfn.ANCHORARRAY(C14),C8)</f>
        <v/>
      </c>
      <c r="D16" s="12" t="str">
        <v/>
      </c>
      <c r="E16" s="12" t="str">
        <v/>
      </c>
      <c r="F16" s="12" t="str">
        <v/>
      </c>
      <c r="G16" s="12">
        <v>5</v>
      </c>
      <c r="H16" s="12">
        <v>6</v>
      </c>
      <c r="I16" s="12" t="str">
        <v/>
      </c>
      <c r="J16" s="12" t="str">
        <v/>
      </c>
      <c r="K16" s="12" t="str">
        <v/>
      </c>
      <c r="L16" s="12" t="str">
        <v/>
      </c>
      <c r="M16" s="14" t="str">
        <v>Sum</v>
      </c>
    </row>
    <row r="17" spans="2:14" ht="15.75" x14ac:dyDescent="0.25">
      <c r="B17" s="25"/>
      <c r="C17" s="13" t="str">
        <v/>
      </c>
      <c r="D17" s="13" t="str">
        <v/>
      </c>
      <c r="E17" s="13" t="str">
        <v/>
      </c>
      <c r="F17" s="13" t="str">
        <v/>
      </c>
      <c r="G17" s="13">
        <v>892</v>
      </c>
      <c r="H17" s="13">
        <v>887.5</v>
      </c>
      <c r="I17" s="13" t="str">
        <v/>
      </c>
      <c r="J17" s="13" t="str">
        <v/>
      </c>
      <c r="K17" s="13" t="str">
        <v/>
      </c>
      <c r="L17" s="13" t="str">
        <v/>
      </c>
      <c r="M17" s="15">
        <v>1779.5</v>
      </c>
    </row>
    <row r="20" spans="2:14" x14ac:dyDescent="0.25">
      <c r="C20" s="11"/>
      <c r="N20" s="7"/>
    </row>
    <row r="21" spans="2:14" x14ac:dyDescent="0.25">
      <c r="C21" s="11"/>
    </row>
    <row r="22" spans="2:14" x14ac:dyDescent="0.25">
      <c r="C22" s="11"/>
    </row>
    <row r="23" spans="2:14" x14ac:dyDescent="0.25">
      <c r="C23" s="11"/>
    </row>
    <row r="24" spans="2:14" x14ac:dyDescent="0.25">
      <c r="C24" s="11"/>
    </row>
    <row r="25" spans="2:14" x14ac:dyDescent="0.25">
      <c r="C25" s="11"/>
    </row>
    <row r="26" spans="2:14" x14ac:dyDescent="0.25">
      <c r="C26" s="11"/>
    </row>
    <row r="27" spans="2:14" x14ac:dyDescent="0.25">
      <c r="C27" s="11"/>
    </row>
    <row r="28" spans="2:14" x14ac:dyDescent="0.25">
      <c r="C28" s="11"/>
    </row>
    <row r="29" spans="2:14" x14ac:dyDescent="0.25">
      <c r="C29" s="11"/>
    </row>
    <row r="30" spans="2:14" x14ac:dyDescent="0.25">
      <c r="C30" s="11"/>
    </row>
    <row r="31" spans="2:14" x14ac:dyDescent="0.25">
      <c r="C31" s="11"/>
    </row>
    <row r="32" spans="2:14" x14ac:dyDescent="0.25">
      <c r="C32" s="11"/>
    </row>
    <row r="33" spans="3:3" x14ac:dyDescent="0.25">
      <c r="C33" s="11"/>
    </row>
    <row r="34" spans="3:3" x14ac:dyDescent="0.25">
      <c r="C34" s="11"/>
    </row>
    <row r="35" spans="3:3" x14ac:dyDescent="0.25">
      <c r="C35" s="11"/>
    </row>
    <row r="36" spans="3:3" x14ac:dyDescent="0.25">
      <c r="C36" s="11"/>
    </row>
    <row r="37" spans="3:3" x14ac:dyDescent="0.25">
      <c r="C37" s="11"/>
    </row>
    <row r="38" spans="3:3" x14ac:dyDescent="0.25">
      <c r="C38" s="11"/>
    </row>
    <row r="39" spans="3:3" x14ac:dyDescent="0.25">
      <c r="C39" s="11"/>
    </row>
  </sheetData>
  <mergeCells count="1">
    <mergeCell ref="B16:B17"/>
  </mergeCells>
  <conditionalFormatting sqref="M16:M17">
    <cfRule type="expression" dxfId="0" priority="1">
      <formula>NOT(AND($M$17&gt;=($C$8-($C$8*$C$9)),$M$17&lt;=($C$8+($C$8*$C$9))))</formula>
    </cfRule>
  </conditionalFormatting>
  <dataValidations count="1">
    <dataValidation type="list" allowBlank="1" showInputMessage="1" showErrorMessage="1" sqref="C7" xr:uid="{2A5F5D58-1B61-47C9-ADBB-A0444C11CB55}">
      <formula1>$B$3:$B$5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03C7173D-461B-40E3-BE65-FC66AA20AF92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 Combo</vt:lpstr>
    </vt:vector>
  </TitlesOfParts>
  <Company>CGC-CCG Office SAC Bilingue - patched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Bestvater (CGC/CCG)</dc:creator>
  <cp:lastModifiedBy>Michael Bestvater (CGC/CCG)</cp:lastModifiedBy>
  <dcterms:created xsi:type="dcterms:W3CDTF">2025-07-09T17:02:30Z</dcterms:created>
  <dcterms:modified xsi:type="dcterms:W3CDTF">2025-08-28T11:22:58Z</dcterms:modified>
</cp:coreProperties>
</file>