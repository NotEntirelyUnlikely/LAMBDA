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133gc-my.sharepoint.com/personal/mbestvater_cgc_ca/Documents/Documents/TOTE/Other/Pipette Verification/"/>
    </mc:Choice>
  </mc:AlternateContent>
  <xr:revisionPtr revIDLastSave="246" documentId="13_ncr:1_{35CFFD32-FA82-4556-B365-F98CF0024904}" xr6:coauthVersionLast="47" xr6:coauthVersionMax="47" xr10:uidLastSave="{B57194C9-DF75-42FA-9FFC-674172C01B90}"/>
  <bookViews>
    <workbookView xWindow="-14805" yWindow="-16320" windowWidth="29040" windowHeight="15720" activeTab="1" xr2:uid="{3836B1C9-7C11-4F0A-AF75-3BDB26263F3F}"/>
  </bookViews>
  <sheets>
    <sheet name="Sheet1" sheetId="1" r:id="rId1"/>
    <sheet name="Sheet2" sheetId="2" r:id="rId2"/>
  </sheets>
  <definedNames>
    <definedName name="TEMP_PRES_COEF" comment="Returns the coefficients for a polynomial regression for the desired order">_xlfn.LAMBDA(_xlpm.order,_xlfn.LET(_xlpm.arr_tp, {0,0.99982;1,0.99989;2,0.99994;3,0.99998;4,1;5,1;6,0.99999;7,0.99996;8,0.99991;9,0.99985;10,0.99977;11,0.99968;12,0.99958;13,0.99946;14,0.99933;15,0.999099;15.1,0.999084;15.2,0.999069;15.3,0.999054;15.4,0.999038;15.5,0.999023;15.6,0.999007;15.7,0.998991;15.8,0.998975;15.9,0.998959;16,0.998943;16.1,0.998926;16.2,0.99891;16.3,0.998893;16.4,0.998877;16.5,0.99886;16.6,0.998843;16.7,0.998826;16.8,0.998809;16.9,0.998792;17,0.998774;17.1,0.998757;17.2,0.998739;17.3,0.998722;17.4,0.998704;17.5,0.998686;17.6,0.998668;17.7,0.99865;17.8,0.998632;17.9,0.998613;18,0.998595;18.1,0.998576;18.2,0.998558;18.3,0.998539;18.4,0.99852;18.5,0.998501;18.6,0.998482;18.7,0.998463;18.8,0.998444;18.9,0.998424;19,0.998405;19.1,0.998385;19.2,0.998365;19.3,0.998345;19.4,0.998325;19.5,0.998305;19.6,0.998285;19.7,0.998265;19.8,0.998244;19.9,0.998224;20,0.998203;20.1,0.998183;20.2,0.998162;20.3,0.998141;20.4,0.99812;20.5,0.998099;20.6,0.998078;20.7,0.998056;20.8,0.998035;20.9,0.998013;21,0.997992;21.1,0.99797;21.2,0.997948;21.3,0.997926;21.4,0.997904;21.5,0.997882;21.6,0.99786;21.7,0.997837;21.8,0.997815;21.9,0.997792;22,0.99777;22.1,0.997747;22.2,0.997724;22.3,0.997701;22.4,0.997678;22.5,0.997655;22.6,0.997632;22.7,0.997608;22.8,0.997585;22.9,0.997561;23,0.997538;23.1,0.997514;23.2,0.99749;23.3,0.997466;23.4,0.997442;23.5,0.997418;23.6,0.997394;23.7,0.997369;23.8,0.997345;23.9,0.99732;24,0.997296;24.1,0.997271;24.2,0.997246;24.3,0.997221;24.4,0.997196;24.5,0.997171;24.6,0.997146;24.7,0.99712;24.8,0.997095;24.9,0.997069;25,0.997044;25.1,0.997018;25.2,0.996992;25.3,0.996967;25.4,0.996941;25.5,0.996914;25.6,0.996888;25.7,0.996862;25.8,0.996836;25.9,0.996809;26,0.996783;26.1,0.996756;26.2,0.996729;26.3,0.996703;26.4,0.996676;26.5,0.996649;26.6,0.996621;26.7,0.996594;26.8,0.996567;26.9,0.99654;27,0.996512;27.1,0.996485;27.2,0.996457;27.3,0.996429;27.4,0.996401;27.5,0.996373;27.6,0.996345;27.7,0.996317;27.8,0.996289;27.9,0.996261;28,0.996232;28.1,0.996204;28.2,0.996175;28.3,0.996147;28.4,0.996118;28.5,0.996089;28.6,0.99606;28.7,0.996031;28.8,0.996002;28.9,0.995973;29,0.995944;29.1,0.995914;29.2,0.995885;29.3,0.995855;29.4,0.995826;29.5,0.995796;29.6,0.995766;29.7,0.995736;29.8,0.995706;29.9,0.995676;30,0.995646;30.1,0.995616;30.2,0.995586;30.3,0.995555;30.4,0.995525;30.5,0.995494;30.6,0.995464;30.7,0.995433;30.8,0.995402;30.9,0.995371;31,0.99541;32,0.99509;33,0.99476;34,0.99443;35,0.99408;36,0.99373;37,0.99337;38,0.993;39,0.99263;40,0.99225;41,0.99186;42,0.99146;43,0.99105;44,0.99064;45,0.99022;46,0.9898;47,0.98936;48,0.98892;49,0.98847;50,0.98802;51,0.98756;52,0.98709;53,0.98662;54,0.98614;55,0.98565;56,0.98516;57,0.98466;58,0.98416;59,0.98364;60,0.98313;61,0.9826;62,0.98207;63,0.98154;64,0.981;65,0.98045;66,0.9799;67,0.97934;68,0.97878;69,0.97821;70,0.97763;71,0.97705;72,0.97647;73,0.97588;74,0.97528;75,0.97468;76,0.97408;77,0.97346;78,0.97285;79,0.97223;80,0.9716;81,0.97097;82,0.97033;83,0.96969;84,0.96904;85,0.96839;86,0.96773;87,0.96707;88,0.96641;89,0.96574;90,0.96506;91,0.96438;92,0.9637;93,0.96301;94,0.96231;95,0.96162;96,0.96091;97,0.9602;98,0.95949;99,0.95878;100,0.95805}, _xlpm.x, INDEX(_xlpm.arr_tp, , 1), _xlpm.y, INDEX(_xlpm.arr_tp, , 2), _xlpm.n, ROWS(_xlpm.x), _xlpm.m_1, IFERROR(_xlfn.MAKEARRAY(_xlpm.order + 1, _xlpm.order + 1, _xlfn.LAMBDA(_xlpm.r,_xlpm.c, SUM(_xlpm.x ^ ((_xlpm.r - 1) + (_xlpm.c - 1))))), _xlpm.n), _xlpm.m_2, IFERROR(_xlfn.MAKEARRAY(_xlpm.order + 1, 1, _xlfn.LAMBDA(_xlpm.r,_xlpm.c, SUM(_xlpm.x ^ (_xlpm.r - 1) * _xlpm.y))), SUM(_xlpm.y)), _xlpm.result, MMULT(MINVERSE(_xlpm.m_1), _xlpm.m_2), _xlpm.result))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 a="1"/>
  <c r="F7" i="2" s="1"/>
  <c r="H7" i="2" s="1"/>
  <c r="F8" i="2" a="1"/>
  <c r="F8" i="2" s="1"/>
  <c r="H8" i="2" s="1"/>
  <c r="F9" i="2" a="1"/>
  <c r="F9" i="2" s="1"/>
  <c r="H9" i="2" s="1"/>
  <c r="F10" i="2" a="1"/>
  <c r="F10" i="2" s="1"/>
  <c r="H10" i="2" s="1"/>
  <c r="F11" i="2" a="1"/>
  <c r="F11" i="2" s="1"/>
  <c r="H11" i="2" s="1"/>
  <c r="F12" i="2" a="1"/>
  <c r="F12" i="2" s="1"/>
  <c r="H12" i="2" s="1"/>
  <c r="F13" i="2" a="1"/>
  <c r="F13" i="2" s="1"/>
  <c r="H13" i="2" s="1"/>
  <c r="F14" i="2" a="1"/>
  <c r="F14" i="2" s="1"/>
  <c r="H14" i="2" s="1"/>
  <c r="F15" i="2" a="1"/>
  <c r="F15" i="2" s="1"/>
  <c r="H15" i="2" s="1"/>
  <c r="F16" i="2" a="1"/>
  <c r="F16" i="2" s="1"/>
  <c r="H16" i="2" s="1"/>
  <c r="X36" i="1" a="1"/>
  <c r="X36" i="1" s="1"/>
  <c r="R51" i="1" a="1"/>
  <c r="R51" i="1" s="1"/>
  <c r="R38" i="1" a="1"/>
  <c r="R38" i="1" s="1"/>
  <c r="J21" i="1" a="1"/>
  <c r="J21" i="1" s="1"/>
  <c r="O2" i="1" a="1"/>
  <c r="O2" i="1" s="1"/>
  <c r="W36" i="1" l="1" a="1"/>
  <c r="W36" i="1" s="1"/>
  <c r="X66" i="1" l="1" a="1"/>
  <c r="X66" i="1" s="1"/>
  <c r="X81" i="1" a="1"/>
  <c r="X81" i="1" s="1"/>
  <c r="X95" i="1" a="1"/>
  <c r="X95" i="1" s="1"/>
  <c r="X109" i="1" a="1"/>
  <c r="X109" i="1" s="1"/>
  <c r="X123" i="1" a="1"/>
  <c r="X123" i="1" s="1"/>
  <c r="X39" i="1" a="1"/>
  <c r="X39" i="1" s="1"/>
  <c r="X55" i="1" a="1"/>
  <c r="X55" i="1" s="1"/>
  <c r="X65" i="1" a="1"/>
  <c r="X65" i="1" s="1"/>
  <c r="X105" i="1" a="1"/>
  <c r="X105" i="1" s="1"/>
  <c r="X134" i="1" a="1"/>
  <c r="X134" i="1" s="1"/>
  <c r="X107" i="1" a="1"/>
  <c r="X107" i="1" s="1"/>
  <c r="X67" i="1" a="1"/>
  <c r="X67" i="1" s="1"/>
  <c r="X96" i="1" a="1"/>
  <c r="X96" i="1" s="1"/>
  <c r="X110" i="1" a="1"/>
  <c r="X110" i="1" s="1"/>
  <c r="X124" i="1" a="1"/>
  <c r="X124" i="1" s="1"/>
  <c r="X40" i="1" a="1"/>
  <c r="X40" i="1" s="1"/>
  <c r="X56" i="1" a="1"/>
  <c r="X56" i="1" s="1"/>
  <c r="X118" i="1" a="1"/>
  <c r="X118" i="1" s="1"/>
  <c r="X135" i="1" a="1"/>
  <c r="X135" i="1" s="1"/>
  <c r="X37" i="1" a="1"/>
  <c r="X37" i="1" s="1"/>
  <c r="X38" i="1" a="1"/>
  <c r="X38" i="1" s="1"/>
  <c r="X68" i="1" a="1"/>
  <c r="X68" i="1" s="1"/>
  <c r="X82" i="1" a="1"/>
  <c r="X82" i="1" s="1"/>
  <c r="X97" i="1" a="1"/>
  <c r="X97" i="1" s="1"/>
  <c r="X111" i="1" a="1"/>
  <c r="X111" i="1" s="1"/>
  <c r="X125" i="1" a="1"/>
  <c r="X125" i="1" s="1"/>
  <c r="X41" i="1" a="1"/>
  <c r="X41" i="1" s="1"/>
  <c r="X57" i="1" a="1"/>
  <c r="X57" i="1" s="1"/>
  <c r="X64" i="1" a="1"/>
  <c r="X64" i="1" s="1"/>
  <c r="X76" i="1" a="1"/>
  <c r="X76" i="1" s="1"/>
  <c r="X106" i="1" a="1"/>
  <c r="X106" i="1" s="1"/>
  <c r="X69" i="1" a="1"/>
  <c r="X69" i="1" s="1"/>
  <c r="X83" i="1" a="1"/>
  <c r="X83" i="1" s="1"/>
  <c r="X112" i="1" a="1"/>
  <c r="X112" i="1" s="1"/>
  <c r="X126" i="1" a="1"/>
  <c r="X126" i="1" s="1"/>
  <c r="X42" i="1" a="1"/>
  <c r="X42" i="1" s="1"/>
  <c r="X58" i="1" a="1"/>
  <c r="X58" i="1" s="1"/>
  <c r="X49" i="1" a="1"/>
  <c r="X49" i="1" s="1"/>
  <c r="X91" i="1" a="1"/>
  <c r="X91" i="1" s="1"/>
  <c r="X79" i="1" a="1"/>
  <c r="X79" i="1" s="1"/>
  <c r="X70" i="1" a="1"/>
  <c r="X70" i="1" s="1"/>
  <c r="X84" i="1" a="1"/>
  <c r="X84" i="1" s="1"/>
  <c r="X98" i="1" a="1"/>
  <c r="X98" i="1" s="1"/>
  <c r="X113" i="1" a="1"/>
  <c r="X113" i="1" s="1"/>
  <c r="X127" i="1" a="1"/>
  <c r="X127" i="1" s="1"/>
  <c r="X43" i="1" a="1"/>
  <c r="X43" i="1" s="1"/>
  <c r="X59" i="1" a="1"/>
  <c r="X59" i="1" s="1"/>
  <c r="X132" i="1" a="1"/>
  <c r="X132" i="1" s="1"/>
  <c r="X133" i="1" a="1"/>
  <c r="X133" i="1" s="1"/>
  <c r="X71" i="1" a="1"/>
  <c r="X71" i="1" s="1"/>
  <c r="X85" i="1" a="1"/>
  <c r="X85" i="1" s="1"/>
  <c r="X99" i="1" a="1"/>
  <c r="X99" i="1" s="1"/>
  <c r="X128" i="1" a="1"/>
  <c r="X128" i="1" s="1"/>
  <c r="X44" i="1" a="1"/>
  <c r="X44" i="1" s="1"/>
  <c r="X60" i="1" a="1"/>
  <c r="X60" i="1" s="1"/>
  <c r="X90" i="1" a="1"/>
  <c r="X90" i="1" s="1"/>
  <c r="X78" i="1" a="1"/>
  <c r="X78" i="1" s="1"/>
  <c r="X94" i="1" a="1"/>
  <c r="X94" i="1" s="1"/>
  <c r="X72" i="1" a="1"/>
  <c r="X72" i="1" s="1"/>
  <c r="X86" i="1" a="1"/>
  <c r="X86" i="1" s="1"/>
  <c r="X100" i="1" a="1"/>
  <c r="X100" i="1" s="1"/>
  <c r="X114" i="1" a="1"/>
  <c r="X114" i="1" s="1"/>
  <c r="X129" i="1" a="1"/>
  <c r="X129" i="1" s="1"/>
  <c r="X45" i="1" a="1"/>
  <c r="X45" i="1" s="1"/>
  <c r="X61" i="1" a="1"/>
  <c r="X61" i="1" s="1"/>
  <c r="X51" i="1" a="1"/>
  <c r="X51" i="1" s="1"/>
  <c r="X121" i="1" a="1"/>
  <c r="X121" i="1" s="1"/>
  <c r="X54" i="1" a="1"/>
  <c r="X54" i="1" s="1"/>
  <c r="X73" i="1" a="1"/>
  <c r="X73" i="1" s="1"/>
  <c r="X87" i="1" a="1"/>
  <c r="X87" i="1" s="1"/>
  <c r="X101" i="1" a="1"/>
  <c r="X101" i="1" s="1"/>
  <c r="X115" i="1" a="1"/>
  <c r="X115" i="1" s="1"/>
  <c r="X46" i="1" a="1"/>
  <c r="X46" i="1" s="1"/>
  <c r="X62" i="1" a="1"/>
  <c r="X62" i="1" s="1"/>
  <c r="X104" i="1" a="1"/>
  <c r="X104" i="1" s="1"/>
  <c r="X50" i="1" a="1"/>
  <c r="X50" i="1" s="1"/>
  <c r="X92" i="1" a="1"/>
  <c r="X92" i="1" s="1"/>
  <c r="X108" i="1" a="1"/>
  <c r="X108" i="1" s="1"/>
  <c r="X88" i="1" a="1"/>
  <c r="X88" i="1" s="1"/>
  <c r="X102" i="1" a="1"/>
  <c r="X102" i="1" s="1"/>
  <c r="X116" i="1" a="1"/>
  <c r="X116" i="1" s="1"/>
  <c r="X130" i="1" a="1"/>
  <c r="X130" i="1" s="1"/>
  <c r="X47" i="1" a="1"/>
  <c r="X47" i="1" s="1"/>
  <c r="X63" i="1" a="1"/>
  <c r="X63" i="1" s="1"/>
  <c r="X119" i="1" a="1"/>
  <c r="X119" i="1" s="1"/>
  <c r="X120" i="1" a="1"/>
  <c r="X120" i="1" s="1"/>
  <c r="X93" i="1" a="1"/>
  <c r="X93" i="1" s="1"/>
  <c r="X74" i="1" a="1"/>
  <c r="X74" i="1" s="1"/>
  <c r="X89" i="1" a="1"/>
  <c r="X89" i="1" s="1"/>
  <c r="X103" i="1" a="1"/>
  <c r="X103" i="1" s="1"/>
  <c r="X117" i="1" a="1"/>
  <c r="X117" i="1" s="1"/>
  <c r="X131" i="1" a="1"/>
  <c r="X131" i="1" s="1"/>
  <c r="X48" i="1" a="1"/>
  <c r="X48" i="1" s="1"/>
  <c r="X52" i="1" a="1"/>
  <c r="X52" i="1" s="1"/>
  <c r="X53" i="1" a="1"/>
  <c r="X53" i="1" s="1"/>
  <c r="X75" i="1" a="1"/>
  <c r="X75" i="1" s="1"/>
  <c r="X77" i="1" a="1"/>
  <c r="X77" i="1" s="1"/>
  <c r="X122" i="1" a="1"/>
  <c r="X122" i="1" s="1"/>
  <c r="X80" i="1" a="1"/>
  <c r="X80" i="1" s="1"/>
  <c r="S35" i="1" a="1"/>
  <c r="S3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<sst xmlns="http://schemas.openxmlformats.org/spreadsheetml/2006/main" count="37" uniqueCount="21">
  <si>
    <t>T</t>
  </si>
  <si>
    <t>p</t>
  </si>
  <si>
    <t>y</t>
  </si>
  <si>
    <t>x</t>
  </si>
  <si>
    <t>https://www.graphpad.com/guides/prism/latest/curve-fitting/reg_howtopolynomial.htm</t>
  </si>
  <si>
    <t>coeff</t>
  </si>
  <si>
    <t>ord</t>
  </si>
  <si>
    <t>https://arachnoid.com/sage/polynomial.html</t>
  </si>
  <si>
    <t>https://arachnoid.com/polysolve/</t>
  </si>
  <si>
    <t>https://stats.stackexchange.com/questions/219810/r-squared-and-higher-order-polynomial-regression</t>
  </si>
  <si>
    <t>Date</t>
  </si>
  <si>
    <t>Trial</t>
  </si>
  <si>
    <t>Dispenser ID</t>
  </si>
  <si>
    <t>Dispenser Type</t>
  </si>
  <si>
    <t>Pipette</t>
  </si>
  <si>
    <t>T (°C)</t>
  </si>
  <si>
    <t>H2O</t>
  </si>
  <si>
    <t>m (g)</t>
  </si>
  <si>
    <t>V (μL)</t>
  </si>
  <si>
    <r>
      <t>ρ (g/m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)</t>
    </r>
  </si>
  <si>
    <t>U39451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</si>
</sst>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"/>
    <numFmt numFmtId="172" formatCode="0.000"/>
  </numFmts>
  <fonts count="4">
    <font>
      <sz val="11"/>
      <color theme="1"/>
      <name val="Calibri"/>
      <family val="2"/>
    </font>
    <font>
      <sz val="11"/>
      <color rgb="FF3F3F76"/>
      <name val="Calibri"/>
      <family val="2"/>
    </font>
    <font>
      <i/>
      <sz val="11"/>
      <color theme="9"/>
      <name val="Calibri"/>
      <family val="2"/>
    </font>
    <font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1" applyAlignment="1">
      <alignment horizontal="center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0" xfId="0" applyAlignment="1">
      <alignment horizontal="left"/>
    </xf>
    <xf numFmtId="172" fontId="0" fillId="0" borderId="0" xfId="0" applyNumberFormat="1" applyAlignment="1">
      <alignment horizontal="center"/>
    </xf>
  </cellXfs>
  <cellStyles count="2">
    <cellStyle name="Input" xfId="1" builtinId="20"/>
    <cellStyle name="Normal" xfId="0" builtinId="0"/>
  </cellStyles>
  <dxfs count="8">
    <dxf>
      <numFmt numFmtId="172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yyyy/mm/dd\ hh:mm"/>
      <alignment horizontal="left" vertical="bottom" textRotation="0" wrapText="0" indent="0" justifyLastLine="0" shrinkToFit="0" readingOrder="0"/>
    </dxf>
    <dxf>
      <numFmt numFmtId="27" formatCode="yyyy/mm/dd\ hh:mm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>
                    <a:alpha val="25000"/>
                  </a:schemeClr>
                </a:solidFill>
              </a:ln>
              <a:effectLst/>
            </c:spPr>
          </c:marker>
          <c:xVal>
            <c:numRef>
              <c:f>Sheet1!$A$2:$A$246</c:f>
              <c:numCache>
                <c:formatCode>General</c:formatCode>
                <c:ptCount val="2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15.1</c:v>
                </c:pt>
                <c:pt idx="17">
                  <c:v>15.2</c:v>
                </c:pt>
                <c:pt idx="18">
                  <c:v>15.3</c:v>
                </c:pt>
                <c:pt idx="19">
                  <c:v>15.4</c:v>
                </c:pt>
                <c:pt idx="20">
                  <c:v>15.5</c:v>
                </c:pt>
                <c:pt idx="21">
                  <c:v>15.6</c:v>
                </c:pt>
                <c:pt idx="22">
                  <c:v>15.7</c:v>
                </c:pt>
                <c:pt idx="23">
                  <c:v>15.8</c:v>
                </c:pt>
                <c:pt idx="24">
                  <c:v>15.9</c:v>
                </c:pt>
                <c:pt idx="25">
                  <c:v>16</c:v>
                </c:pt>
                <c:pt idx="26">
                  <c:v>16.100000000000001</c:v>
                </c:pt>
                <c:pt idx="27">
                  <c:v>16.2</c:v>
                </c:pt>
                <c:pt idx="28">
                  <c:v>16.3</c:v>
                </c:pt>
                <c:pt idx="29">
                  <c:v>16.399999999999999</c:v>
                </c:pt>
                <c:pt idx="30">
                  <c:v>16.5</c:v>
                </c:pt>
                <c:pt idx="31">
                  <c:v>16.600000000000001</c:v>
                </c:pt>
                <c:pt idx="32">
                  <c:v>16.7</c:v>
                </c:pt>
                <c:pt idx="33">
                  <c:v>16.8</c:v>
                </c:pt>
                <c:pt idx="34">
                  <c:v>16.899999999999999</c:v>
                </c:pt>
                <c:pt idx="35">
                  <c:v>17</c:v>
                </c:pt>
                <c:pt idx="36">
                  <c:v>17.100000000000001</c:v>
                </c:pt>
                <c:pt idx="37">
                  <c:v>17.2</c:v>
                </c:pt>
                <c:pt idx="38">
                  <c:v>17.3</c:v>
                </c:pt>
                <c:pt idx="39">
                  <c:v>17.399999999999999</c:v>
                </c:pt>
                <c:pt idx="40">
                  <c:v>17.5</c:v>
                </c:pt>
                <c:pt idx="41">
                  <c:v>17.600000000000001</c:v>
                </c:pt>
                <c:pt idx="42">
                  <c:v>17.7</c:v>
                </c:pt>
                <c:pt idx="43">
                  <c:v>17.8</c:v>
                </c:pt>
                <c:pt idx="44">
                  <c:v>17.899999999999999</c:v>
                </c:pt>
                <c:pt idx="45">
                  <c:v>18</c:v>
                </c:pt>
                <c:pt idx="46">
                  <c:v>18.100000000000001</c:v>
                </c:pt>
                <c:pt idx="47">
                  <c:v>18.2</c:v>
                </c:pt>
                <c:pt idx="48">
                  <c:v>18.3</c:v>
                </c:pt>
                <c:pt idx="49">
                  <c:v>18.399999999999999</c:v>
                </c:pt>
                <c:pt idx="50">
                  <c:v>18.5</c:v>
                </c:pt>
                <c:pt idx="51">
                  <c:v>18.600000000000001</c:v>
                </c:pt>
                <c:pt idx="52">
                  <c:v>18.7</c:v>
                </c:pt>
                <c:pt idx="53">
                  <c:v>18.8</c:v>
                </c:pt>
                <c:pt idx="54">
                  <c:v>18.899999999999999</c:v>
                </c:pt>
                <c:pt idx="55">
                  <c:v>19</c:v>
                </c:pt>
                <c:pt idx="56">
                  <c:v>19.100000000000001</c:v>
                </c:pt>
                <c:pt idx="57">
                  <c:v>19.2</c:v>
                </c:pt>
                <c:pt idx="58">
                  <c:v>19.3</c:v>
                </c:pt>
                <c:pt idx="59">
                  <c:v>19.399999999999999</c:v>
                </c:pt>
                <c:pt idx="60">
                  <c:v>19.5</c:v>
                </c:pt>
                <c:pt idx="61">
                  <c:v>19.600000000000001</c:v>
                </c:pt>
                <c:pt idx="62">
                  <c:v>19.7</c:v>
                </c:pt>
                <c:pt idx="63">
                  <c:v>19.8</c:v>
                </c:pt>
                <c:pt idx="64">
                  <c:v>19.899999999999999</c:v>
                </c:pt>
                <c:pt idx="65">
                  <c:v>20</c:v>
                </c:pt>
                <c:pt idx="66">
                  <c:v>20.100000000000001</c:v>
                </c:pt>
                <c:pt idx="67">
                  <c:v>20.2</c:v>
                </c:pt>
                <c:pt idx="68">
                  <c:v>20.3</c:v>
                </c:pt>
                <c:pt idx="69">
                  <c:v>20.399999999999999</c:v>
                </c:pt>
                <c:pt idx="70">
                  <c:v>20.5</c:v>
                </c:pt>
                <c:pt idx="71">
                  <c:v>20.6</c:v>
                </c:pt>
                <c:pt idx="72">
                  <c:v>20.7</c:v>
                </c:pt>
                <c:pt idx="73">
                  <c:v>20.8</c:v>
                </c:pt>
                <c:pt idx="74">
                  <c:v>20.9</c:v>
                </c:pt>
                <c:pt idx="75">
                  <c:v>21</c:v>
                </c:pt>
                <c:pt idx="76">
                  <c:v>21.1</c:v>
                </c:pt>
                <c:pt idx="77">
                  <c:v>21.2</c:v>
                </c:pt>
                <c:pt idx="78">
                  <c:v>21.3</c:v>
                </c:pt>
                <c:pt idx="79">
                  <c:v>21.4</c:v>
                </c:pt>
                <c:pt idx="80">
                  <c:v>21.5</c:v>
                </c:pt>
                <c:pt idx="81">
                  <c:v>21.6</c:v>
                </c:pt>
                <c:pt idx="82">
                  <c:v>21.7</c:v>
                </c:pt>
                <c:pt idx="83">
                  <c:v>21.8</c:v>
                </c:pt>
                <c:pt idx="84">
                  <c:v>21.9</c:v>
                </c:pt>
                <c:pt idx="85">
                  <c:v>22</c:v>
                </c:pt>
                <c:pt idx="86">
                  <c:v>22.1</c:v>
                </c:pt>
                <c:pt idx="87">
                  <c:v>22.2</c:v>
                </c:pt>
                <c:pt idx="88">
                  <c:v>22.3</c:v>
                </c:pt>
                <c:pt idx="89">
                  <c:v>22.4</c:v>
                </c:pt>
                <c:pt idx="90">
                  <c:v>22.5</c:v>
                </c:pt>
                <c:pt idx="91">
                  <c:v>22.6</c:v>
                </c:pt>
                <c:pt idx="92">
                  <c:v>22.7</c:v>
                </c:pt>
                <c:pt idx="93">
                  <c:v>22.8</c:v>
                </c:pt>
                <c:pt idx="94">
                  <c:v>22.9</c:v>
                </c:pt>
                <c:pt idx="95">
                  <c:v>23</c:v>
                </c:pt>
                <c:pt idx="96">
                  <c:v>23.1</c:v>
                </c:pt>
                <c:pt idx="97">
                  <c:v>23.2</c:v>
                </c:pt>
                <c:pt idx="98">
                  <c:v>23.3</c:v>
                </c:pt>
                <c:pt idx="99">
                  <c:v>23.4</c:v>
                </c:pt>
                <c:pt idx="100">
                  <c:v>23.5</c:v>
                </c:pt>
                <c:pt idx="101">
                  <c:v>23.6</c:v>
                </c:pt>
                <c:pt idx="102">
                  <c:v>23.7</c:v>
                </c:pt>
                <c:pt idx="103">
                  <c:v>23.8</c:v>
                </c:pt>
                <c:pt idx="104">
                  <c:v>23.9</c:v>
                </c:pt>
                <c:pt idx="105">
                  <c:v>24</c:v>
                </c:pt>
                <c:pt idx="106">
                  <c:v>24.1</c:v>
                </c:pt>
                <c:pt idx="107">
                  <c:v>24.2</c:v>
                </c:pt>
                <c:pt idx="108">
                  <c:v>24.3</c:v>
                </c:pt>
                <c:pt idx="109">
                  <c:v>24.4</c:v>
                </c:pt>
                <c:pt idx="110">
                  <c:v>24.5</c:v>
                </c:pt>
                <c:pt idx="111">
                  <c:v>24.6</c:v>
                </c:pt>
                <c:pt idx="112">
                  <c:v>24.7</c:v>
                </c:pt>
                <c:pt idx="113">
                  <c:v>24.8</c:v>
                </c:pt>
                <c:pt idx="114">
                  <c:v>24.9</c:v>
                </c:pt>
                <c:pt idx="115">
                  <c:v>25</c:v>
                </c:pt>
                <c:pt idx="116">
                  <c:v>25.1</c:v>
                </c:pt>
                <c:pt idx="117">
                  <c:v>25.2</c:v>
                </c:pt>
                <c:pt idx="118">
                  <c:v>25.3</c:v>
                </c:pt>
                <c:pt idx="119">
                  <c:v>25.4</c:v>
                </c:pt>
                <c:pt idx="120">
                  <c:v>25.5</c:v>
                </c:pt>
                <c:pt idx="121">
                  <c:v>25.6</c:v>
                </c:pt>
                <c:pt idx="122">
                  <c:v>25.7</c:v>
                </c:pt>
                <c:pt idx="123">
                  <c:v>25.8</c:v>
                </c:pt>
                <c:pt idx="124">
                  <c:v>25.9</c:v>
                </c:pt>
                <c:pt idx="125">
                  <c:v>26</c:v>
                </c:pt>
                <c:pt idx="126">
                  <c:v>26.1</c:v>
                </c:pt>
                <c:pt idx="127">
                  <c:v>26.2</c:v>
                </c:pt>
                <c:pt idx="128">
                  <c:v>26.3</c:v>
                </c:pt>
                <c:pt idx="129">
                  <c:v>26.4</c:v>
                </c:pt>
                <c:pt idx="130">
                  <c:v>26.5</c:v>
                </c:pt>
                <c:pt idx="131">
                  <c:v>26.6</c:v>
                </c:pt>
                <c:pt idx="132">
                  <c:v>26.7</c:v>
                </c:pt>
                <c:pt idx="133">
                  <c:v>26.8</c:v>
                </c:pt>
                <c:pt idx="134">
                  <c:v>26.9</c:v>
                </c:pt>
                <c:pt idx="135">
                  <c:v>27</c:v>
                </c:pt>
                <c:pt idx="136">
                  <c:v>27.1</c:v>
                </c:pt>
                <c:pt idx="137">
                  <c:v>27.2</c:v>
                </c:pt>
                <c:pt idx="138">
                  <c:v>27.3</c:v>
                </c:pt>
                <c:pt idx="139">
                  <c:v>27.4</c:v>
                </c:pt>
                <c:pt idx="140">
                  <c:v>27.5</c:v>
                </c:pt>
                <c:pt idx="141">
                  <c:v>27.6</c:v>
                </c:pt>
                <c:pt idx="142">
                  <c:v>27.7</c:v>
                </c:pt>
                <c:pt idx="143">
                  <c:v>27.8</c:v>
                </c:pt>
                <c:pt idx="144">
                  <c:v>27.9</c:v>
                </c:pt>
                <c:pt idx="145">
                  <c:v>28</c:v>
                </c:pt>
                <c:pt idx="146">
                  <c:v>28.1</c:v>
                </c:pt>
                <c:pt idx="147">
                  <c:v>28.2</c:v>
                </c:pt>
                <c:pt idx="148">
                  <c:v>28.3</c:v>
                </c:pt>
                <c:pt idx="149">
                  <c:v>28.4</c:v>
                </c:pt>
                <c:pt idx="150">
                  <c:v>28.5</c:v>
                </c:pt>
                <c:pt idx="151">
                  <c:v>28.6</c:v>
                </c:pt>
                <c:pt idx="152">
                  <c:v>28.7</c:v>
                </c:pt>
                <c:pt idx="153">
                  <c:v>28.8</c:v>
                </c:pt>
                <c:pt idx="154">
                  <c:v>28.9</c:v>
                </c:pt>
                <c:pt idx="155">
                  <c:v>29</c:v>
                </c:pt>
                <c:pt idx="156">
                  <c:v>29.1</c:v>
                </c:pt>
                <c:pt idx="157">
                  <c:v>29.2</c:v>
                </c:pt>
                <c:pt idx="158">
                  <c:v>29.3</c:v>
                </c:pt>
                <c:pt idx="159">
                  <c:v>29.4</c:v>
                </c:pt>
                <c:pt idx="160">
                  <c:v>29.5</c:v>
                </c:pt>
                <c:pt idx="161">
                  <c:v>29.6</c:v>
                </c:pt>
                <c:pt idx="162">
                  <c:v>29.7</c:v>
                </c:pt>
                <c:pt idx="163">
                  <c:v>29.8</c:v>
                </c:pt>
                <c:pt idx="164">
                  <c:v>29.9</c:v>
                </c:pt>
                <c:pt idx="165">
                  <c:v>30</c:v>
                </c:pt>
                <c:pt idx="166">
                  <c:v>30.1</c:v>
                </c:pt>
                <c:pt idx="167">
                  <c:v>30.2</c:v>
                </c:pt>
                <c:pt idx="168">
                  <c:v>30.3</c:v>
                </c:pt>
                <c:pt idx="169">
                  <c:v>30.4</c:v>
                </c:pt>
                <c:pt idx="170">
                  <c:v>30.5</c:v>
                </c:pt>
                <c:pt idx="171">
                  <c:v>30.6</c:v>
                </c:pt>
                <c:pt idx="172">
                  <c:v>30.7</c:v>
                </c:pt>
                <c:pt idx="173">
                  <c:v>30.8</c:v>
                </c:pt>
                <c:pt idx="174">
                  <c:v>30.9</c:v>
                </c:pt>
                <c:pt idx="175">
                  <c:v>31</c:v>
                </c:pt>
                <c:pt idx="176">
                  <c:v>32</c:v>
                </c:pt>
                <c:pt idx="177">
                  <c:v>33</c:v>
                </c:pt>
                <c:pt idx="178">
                  <c:v>34</c:v>
                </c:pt>
                <c:pt idx="179">
                  <c:v>35</c:v>
                </c:pt>
                <c:pt idx="180">
                  <c:v>36</c:v>
                </c:pt>
                <c:pt idx="181">
                  <c:v>37</c:v>
                </c:pt>
                <c:pt idx="182">
                  <c:v>38</c:v>
                </c:pt>
                <c:pt idx="183">
                  <c:v>39</c:v>
                </c:pt>
                <c:pt idx="184">
                  <c:v>40</c:v>
                </c:pt>
                <c:pt idx="185">
                  <c:v>41</c:v>
                </c:pt>
                <c:pt idx="186">
                  <c:v>42</c:v>
                </c:pt>
                <c:pt idx="187">
                  <c:v>43</c:v>
                </c:pt>
                <c:pt idx="188">
                  <c:v>44</c:v>
                </c:pt>
                <c:pt idx="189">
                  <c:v>45</c:v>
                </c:pt>
                <c:pt idx="190">
                  <c:v>46</c:v>
                </c:pt>
                <c:pt idx="191">
                  <c:v>47</c:v>
                </c:pt>
                <c:pt idx="192">
                  <c:v>48</c:v>
                </c:pt>
                <c:pt idx="193">
                  <c:v>49</c:v>
                </c:pt>
                <c:pt idx="194">
                  <c:v>50</c:v>
                </c:pt>
                <c:pt idx="195">
                  <c:v>51</c:v>
                </c:pt>
                <c:pt idx="196">
                  <c:v>52</c:v>
                </c:pt>
                <c:pt idx="197">
                  <c:v>53</c:v>
                </c:pt>
                <c:pt idx="198">
                  <c:v>54</c:v>
                </c:pt>
                <c:pt idx="199">
                  <c:v>55</c:v>
                </c:pt>
                <c:pt idx="200">
                  <c:v>56</c:v>
                </c:pt>
                <c:pt idx="201">
                  <c:v>57</c:v>
                </c:pt>
                <c:pt idx="202">
                  <c:v>58</c:v>
                </c:pt>
                <c:pt idx="203">
                  <c:v>59</c:v>
                </c:pt>
                <c:pt idx="204">
                  <c:v>60</c:v>
                </c:pt>
                <c:pt idx="205">
                  <c:v>61</c:v>
                </c:pt>
                <c:pt idx="206">
                  <c:v>62</c:v>
                </c:pt>
                <c:pt idx="207">
                  <c:v>63</c:v>
                </c:pt>
                <c:pt idx="208">
                  <c:v>64</c:v>
                </c:pt>
                <c:pt idx="209">
                  <c:v>65</c:v>
                </c:pt>
                <c:pt idx="210">
                  <c:v>66</c:v>
                </c:pt>
                <c:pt idx="211">
                  <c:v>67</c:v>
                </c:pt>
                <c:pt idx="212">
                  <c:v>68</c:v>
                </c:pt>
                <c:pt idx="213">
                  <c:v>69</c:v>
                </c:pt>
                <c:pt idx="214">
                  <c:v>70</c:v>
                </c:pt>
                <c:pt idx="215">
                  <c:v>71</c:v>
                </c:pt>
                <c:pt idx="216">
                  <c:v>72</c:v>
                </c:pt>
                <c:pt idx="217">
                  <c:v>73</c:v>
                </c:pt>
                <c:pt idx="218">
                  <c:v>74</c:v>
                </c:pt>
                <c:pt idx="219">
                  <c:v>75</c:v>
                </c:pt>
                <c:pt idx="220">
                  <c:v>76</c:v>
                </c:pt>
                <c:pt idx="221">
                  <c:v>77</c:v>
                </c:pt>
                <c:pt idx="222">
                  <c:v>78</c:v>
                </c:pt>
                <c:pt idx="223">
                  <c:v>79</c:v>
                </c:pt>
                <c:pt idx="224">
                  <c:v>80</c:v>
                </c:pt>
                <c:pt idx="225">
                  <c:v>81</c:v>
                </c:pt>
                <c:pt idx="226">
                  <c:v>82</c:v>
                </c:pt>
                <c:pt idx="227">
                  <c:v>83</c:v>
                </c:pt>
                <c:pt idx="228">
                  <c:v>84</c:v>
                </c:pt>
                <c:pt idx="229">
                  <c:v>85</c:v>
                </c:pt>
                <c:pt idx="230">
                  <c:v>86</c:v>
                </c:pt>
                <c:pt idx="231">
                  <c:v>87</c:v>
                </c:pt>
                <c:pt idx="232">
                  <c:v>88</c:v>
                </c:pt>
                <c:pt idx="233">
                  <c:v>89</c:v>
                </c:pt>
                <c:pt idx="234">
                  <c:v>90</c:v>
                </c:pt>
                <c:pt idx="235">
                  <c:v>91</c:v>
                </c:pt>
                <c:pt idx="236">
                  <c:v>92</c:v>
                </c:pt>
                <c:pt idx="237">
                  <c:v>93</c:v>
                </c:pt>
                <c:pt idx="238">
                  <c:v>94</c:v>
                </c:pt>
                <c:pt idx="239">
                  <c:v>95</c:v>
                </c:pt>
                <c:pt idx="240">
                  <c:v>96</c:v>
                </c:pt>
                <c:pt idx="241">
                  <c:v>97</c:v>
                </c:pt>
                <c:pt idx="242">
                  <c:v>98</c:v>
                </c:pt>
                <c:pt idx="243">
                  <c:v>99</c:v>
                </c:pt>
                <c:pt idx="244">
                  <c:v>100</c:v>
                </c:pt>
              </c:numCache>
            </c:numRef>
          </c:xVal>
          <c:yVal>
            <c:numRef>
              <c:f>Sheet1!$B$2:$B$246</c:f>
              <c:numCache>
                <c:formatCode>0.0000000</c:formatCode>
                <c:ptCount val="245"/>
                <c:pt idx="0">
                  <c:v>0.99982000000000004</c:v>
                </c:pt>
                <c:pt idx="1">
                  <c:v>0.99988999999999995</c:v>
                </c:pt>
                <c:pt idx="2">
                  <c:v>0.99994000000000005</c:v>
                </c:pt>
                <c:pt idx="3">
                  <c:v>0.99997999999999998</c:v>
                </c:pt>
                <c:pt idx="4">
                  <c:v>1</c:v>
                </c:pt>
                <c:pt idx="5">
                  <c:v>1</c:v>
                </c:pt>
                <c:pt idx="6">
                  <c:v>0.99999000000000005</c:v>
                </c:pt>
                <c:pt idx="7">
                  <c:v>0.99996000000000007</c:v>
                </c:pt>
                <c:pt idx="8">
                  <c:v>0.99990999999999997</c:v>
                </c:pt>
                <c:pt idx="9">
                  <c:v>0.99985000000000002</c:v>
                </c:pt>
                <c:pt idx="10">
                  <c:v>0.99976999999999994</c:v>
                </c:pt>
                <c:pt idx="11">
                  <c:v>0.9996799999999999</c:v>
                </c:pt>
                <c:pt idx="12">
                  <c:v>0.99958000000000002</c:v>
                </c:pt>
                <c:pt idx="13">
                  <c:v>0.99946000000000002</c:v>
                </c:pt>
                <c:pt idx="14">
                  <c:v>0.99933000000000005</c:v>
                </c:pt>
                <c:pt idx="15">
                  <c:v>0.99909899999999996</c:v>
                </c:pt>
                <c:pt idx="16">
                  <c:v>0.99908399999999997</c:v>
                </c:pt>
                <c:pt idx="17">
                  <c:v>0.99906899999999998</c:v>
                </c:pt>
                <c:pt idx="18">
                  <c:v>0.999054</c:v>
                </c:pt>
                <c:pt idx="19">
                  <c:v>0.99903799999999998</c:v>
                </c:pt>
                <c:pt idx="20">
                  <c:v>0.99902299999999999</c:v>
                </c:pt>
                <c:pt idx="21">
                  <c:v>0.99900699999999998</c:v>
                </c:pt>
                <c:pt idx="22">
                  <c:v>0.99899099999999996</c:v>
                </c:pt>
                <c:pt idx="23">
                  <c:v>0.99897499999999995</c:v>
                </c:pt>
                <c:pt idx="24">
                  <c:v>0.99895900000000004</c:v>
                </c:pt>
                <c:pt idx="25">
                  <c:v>0.99894300000000003</c:v>
                </c:pt>
                <c:pt idx="26">
                  <c:v>0.99892599999999998</c:v>
                </c:pt>
                <c:pt idx="27">
                  <c:v>0.99890999999999996</c:v>
                </c:pt>
                <c:pt idx="28">
                  <c:v>0.99889300000000003</c:v>
                </c:pt>
                <c:pt idx="29">
                  <c:v>0.99887700000000001</c:v>
                </c:pt>
                <c:pt idx="30">
                  <c:v>0.99885999999999997</c:v>
                </c:pt>
                <c:pt idx="31">
                  <c:v>0.99884300000000004</c:v>
                </c:pt>
                <c:pt idx="32">
                  <c:v>0.99882599999999999</c:v>
                </c:pt>
                <c:pt idx="33">
                  <c:v>0.99880899999999995</c:v>
                </c:pt>
                <c:pt idx="34">
                  <c:v>0.99879200000000001</c:v>
                </c:pt>
                <c:pt idx="35">
                  <c:v>0.99877400000000005</c:v>
                </c:pt>
                <c:pt idx="36">
                  <c:v>0.99875700000000001</c:v>
                </c:pt>
                <c:pt idx="37">
                  <c:v>0.99873900000000004</c:v>
                </c:pt>
                <c:pt idx="38">
                  <c:v>0.998722</c:v>
                </c:pt>
                <c:pt idx="39">
                  <c:v>0.99870400000000004</c:v>
                </c:pt>
                <c:pt idx="40">
                  <c:v>0.99868599999999996</c:v>
                </c:pt>
                <c:pt idx="41">
                  <c:v>0.998668</c:v>
                </c:pt>
                <c:pt idx="42">
                  <c:v>0.99865000000000004</c:v>
                </c:pt>
                <c:pt idx="43">
                  <c:v>0.99863199999999996</c:v>
                </c:pt>
                <c:pt idx="44">
                  <c:v>0.99861299999999997</c:v>
                </c:pt>
                <c:pt idx="45">
                  <c:v>0.99859500000000001</c:v>
                </c:pt>
                <c:pt idx="46">
                  <c:v>0.99857600000000002</c:v>
                </c:pt>
                <c:pt idx="47">
                  <c:v>0.99855799999999995</c:v>
                </c:pt>
                <c:pt idx="48">
                  <c:v>0.99853899999999995</c:v>
                </c:pt>
                <c:pt idx="49">
                  <c:v>0.99851999999999996</c:v>
                </c:pt>
                <c:pt idx="50">
                  <c:v>0.99850099999999997</c:v>
                </c:pt>
                <c:pt idx="51">
                  <c:v>0.99848199999999998</c:v>
                </c:pt>
                <c:pt idx="52">
                  <c:v>0.99846299999999999</c:v>
                </c:pt>
                <c:pt idx="53">
                  <c:v>0.998444</c:v>
                </c:pt>
                <c:pt idx="54">
                  <c:v>0.99842399999999998</c:v>
                </c:pt>
                <c:pt idx="55">
                  <c:v>0.99840499999999999</c:v>
                </c:pt>
                <c:pt idx="56">
                  <c:v>0.99838499999999997</c:v>
                </c:pt>
                <c:pt idx="57">
                  <c:v>0.99836499999999995</c:v>
                </c:pt>
                <c:pt idx="58">
                  <c:v>0.99834500000000004</c:v>
                </c:pt>
                <c:pt idx="59">
                  <c:v>0.99832500000000002</c:v>
                </c:pt>
                <c:pt idx="60">
                  <c:v>0.998305</c:v>
                </c:pt>
                <c:pt idx="61">
                  <c:v>0.99828499999999998</c:v>
                </c:pt>
                <c:pt idx="62">
                  <c:v>0.99826499999999996</c:v>
                </c:pt>
                <c:pt idx="63">
                  <c:v>0.99824400000000002</c:v>
                </c:pt>
                <c:pt idx="64">
                  <c:v>0.998224</c:v>
                </c:pt>
                <c:pt idx="65">
                  <c:v>0.99820299999999995</c:v>
                </c:pt>
                <c:pt idx="66">
                  <c:v>0.99818300000000004</c:v>
                </c:pt>
                <c:pt idx="67">
                  <c:v>0.99816199999999999</c:v>
                </c:pt>
                <c:pt idx="68">
                  <c:v>0.99814099999999994</c:v>
                </c:pt>
                <c:pt idx="69">
                  <c:v>0.99812000000000001</c:v>
                </c:pt>
                <c:pt idx="70">
                  <c:v>0.99809899999999996</c:v>
                </c:pt>
                <c:pt idx="71">
                  <c:v>0.99807800000000002</c:v>
                </c:pt>
                <c:pt idx="72">
                  <c:v>0.99805600000000005</c:v>
                </c:pt>
                <c:pt idx="73">
                  <c:v>0.99803500000000001</c:v>
                </c:pt>
                <c:pt idx="74">
                  <c:v>0.99801300000000004</c:v>
                </c:pt>
                <c:pt idx="75">
                  <c:v>0.99799199999999999</c:v>
                </c:pt>
                <c:pt idx="76">
                  <c:v>0.99797000000000002</c:v>
                </c:pt>
                <c:pt idx="77">
                  <c:v>0.99794799999999995</c:v>
                </c:pt>
                <c:pt idx="78">
                  <c:v>0.99792599999999998</c:v>
                </c:pt>
                <c:pt idx="79">
                  <c:v>0.99790400000000001</c:v>
                </c:pt>
                <c:pt idx="80">
                  <c:v>0.99788200000000005</c:v>
                </c:pt>
                <c:pt idx="81">
                  <c:v>0.99785999999999997</c:v>
                </c:pt>
                <c:pt idx="82">
                  <c:v>0.99783699999999997</c:v>
                </c:pt>
                <c:pt idx="83">
                  <c:v>0.99781500000000001</c:v>
                </c:pt>
                <c:pt idx="84">
                  <c:v>0.99779200000000001</c:v>
                </c:pt>
                <c:pt idx="85">
                  <c:v>0.99777000000000005</c:v>
                </c:pt>
                <c:pt idx="86">
                  <c:v>0.99774700000000005</c:v>
                </c:pt>
                <c:pt idx="87">
                  <c:v>0.99772400000000006</c:v>
                </c:pt>
                <c:pt idx="88">
                  <c:v>0.99770099999999995</c:v>
                </c:pt>
                <c:pt idx="89">
                  <c:v>0.99767799999999995</c:v>
                </c:pt>
                <c:pt idx="90">
                  <c:v>0.99765499999999996</c:v>
                </c:pt>
                <c:pt idx="91">
                  <c:v>0.99763199999999996</c:v>
                </c:pt>
                <c:pt idx="92">
                  <c:v>0.99760800000000005</c:v>
                </c:pt>
                <c:pt idx="93">
                  <c:v>0.99758500000000006</c:v>
                </c:pt>
                <c:pt idx="94">
                  <c:v>0.99756100000000003</c:v>
                </c:pt>
                <c:pt idx="95">
                  <c:v>0.99753800000000004</c:v>
                </c:pt>
                <c:pt idx="96">
                  <c:v>0.99751400000000001</c:v>
                </c:pt>
                <c:pt idx="97">
                  <c:v>0.99748999999999999</c:v>
                </c:pt>
                <c:pt idx="98">
                  <c:v>0.99746599999999996</c:v>
                </c:pt>
                <c:pt idx="99">
                  <c:v>0.99744200000000005</c:v>
                </c:pt>
                <c:pt idx="100">
                  <c:v>0.99741800000000003</c:v>
                </c:pt>
                <c:pt idx="101">
                  <c:v>0.997394</c:v>
                </c:pt>
                <c:pt idx="102">
                  <c:v>0.99736899999999995</c:v>
                </c:pt>
                <c:pt idx="103">
                  <c:v>0.99734500000000004</c:v>
                </c:pt>
                <c:pt idx="104">
                  <c:v>0.99731999999999998</c:v>
                </c:pt>
                <c:pt idx="105">
                  <c:v>0.99729599999999996</c:v>
                </c:pt>
                <c:pt idx="106">
                  <c:v>0.99727100000000002</c:v>
                </c:pt>
                <c:pt idx="107">
                  <c:v>0.99724599999999997</c:v>
                </c:pt>
                <c:pt idx="108">
                  <c:v>0.99722100000000002</c:v>
                </c:pt>
                <c:pt idx="109">
                  <c:v>0.99719599999999997</c:v>
                </c:pt>
                <c:pt idx="110">
                  <c:v>0.99717100000000003</c:v>
                </c:pt>
                <c:pt idx="111">
                  <c:v>0.99714599999999998</c:v>
                </c:pt>
                <c:pt idx="112">
                  <c:v>0.99712000000000001</c:v>
                </c:pt>
                <c:pt idx="113">
                  <c:v>0.99709499999999995</c:v>
                </c:pt>
                <c:pt idx="114">
                  <c:v>0.99706899999999998</c:v>
                </c:pt>
                <c:pt idx="115">
                  <c:v>0.99704400000000004</c:v>
                </c:pt>
                <c:pt idx="116">
                  <c:v>0.99701799999999996</c:v>
                </c:pt>
                <c:pt idx="117">
                  <c:v>0.99699199999999999</c:v>
                </c:pt>
                <c:pt idx="118">
                  <c:v>0.99696700000000005</c:v>
                </c:pt>
                <c:pt idx="119">
                  <c:v>0.99694099999999997</c:v>
                </c:pt>
                <c:pt idx="120">
                  <c:v>0.99691399999999997</c:v>
                </c:pt>
                <c:pt idx="121">
                  <c:v>0.996888</c:v>
                </c:pt>
                <c:pt idx="122">
                  <c:v>0.99686200000000003</c:v>
                </c:pt>
                <c:pt idx="123">
                  <c:v>0.99683600000000006</c:v>
                </c:pt>
                <c:pt idx="124">
                  <c:v>0.99680899999999995</c:v>
                </c:pt>
                <c:pt idx="125">
                  <c:v>0.99678299999999997</c:v>
                </c:pt>
                <c:pt idx="126">
                  <c:v>0.99675599999999998</c:v>
                </c:pt>
                <c:pt idx="127">
                  <c:v>0.99672899999999998</c:v>
                </c:pt>
                <c:pt idx="128">
                  <c:v>0.99670300000000001</c:v>
                </c:pt>
                <c:pt idx="129">
                  <c:v>0.99667600000000001</c:v>
                </c:pt>
                <c:pt idx="130">
                  <c:v>0.99664900000000001</c:v>
                </c:pt>
                <c:pt idx="131">
                  <c:v>0.99662099999999998</c:v>
                </c:pt>
                <c:pt idx="132">
                  <c:v>0.99659399999999998</c:v>
                </c:pt>
                <c:pt idx="133">
                  <c:v>0.99656699999999998</c:v>
                </c:pt>
                <c:pt idx="134">
                  <c:v>0.99653999999999998</c:v>
                </c:pt>
                <c:pt idx="135">
                  <c:v>0.99651199999999995</c:v>
                </c:pt>
                <c:pt idx="136">
                  <c:v>0.99648499999999995</c:v>
                </c:pt>
                <c:pt idx="137">
                  <c:v>0.99645700000000004</c:v>
                </c:pt>
                <c:pt idx="138">
                  <c:v>0.99642900000000001</c:v>
                </c:pt>
                <c:pt idx="139">
                  <c:v>0.99640099999999998</c:v>
                </c:pt>
                <c:pt idx="140">
                  <c:v>0.99637299999999995</c:v>
                </c:pt>
                <c:pt idx="141">
                  <c:v>0.99634500000000004</c:v>
                </c:pt>
                <c:pt idx="142">
                  <c:v>0.99631700000000001</c:v>
                </c:pt>
                <c:pt idx="143">
                  <c:v>0.99628899999999998</c:v>
                </c:pt>
                <c:pt idx="144">
                  <c:v>0.99626099999999995</c:v>
                </c:pt>
                <c:pt idx="145">
                  <c:v>0.99623200000000001</c:v>
                </c:pt>
                <c:pt idx="146">
                  <c:v>0.99620399999999998</c:v>
                </c:pt>
                <c:pt idx="147">
                  <c:v>0.99617500000000003</c:v>
                </c:pt>
                <c:pt idx="148">
                  <c:v>0.996147</c:v>
                </c:pt>
                <c:pt idx="149">
                  <c:v>0.99611799999999995</c:v>
                </c:pt>
                <c:pt idx="150">
                  <c:v>0.996089</c:v>
                </c:pt>
                <c:pt idx="151">
                  <c:v>0.99605999999999995</c:v>
                </c:pt>
                <c:pt idx="152">
                  <c:v>0.996031</c:v>
                </c:pt>
                <c:pt idx="153">
                  <c:v>0.99600200000000005</c:v>
                </c:pt>
                <c:pt idx="154">
                  <c:v>0.995973</c:v>
                </c:pt>
                <c:pt idx="155">
                  <c:v>0.99594400000000005</c:v>
                </c:pt>
                <c:pt idx="156">
                  <c:v>0.99591399999999997</c:v>
                </c:pt>
                <c:pt idx="157">
                  <c:v>0.99588500000000002</c:v>
                </c:pt>
                <c:pt idx="158">
                  <c:v>0.99585500000000005</c:v>
                </c:pt>
                <c:pt idx="159">
                  <c:v>0.99582599999999999</c:v>
                </c:pt>
                <c:pt idx="160">
                  <c:v>0.99579600000000001</c:v>
                </c:pt>
                <c:pt idx="161">
                  <c:v>0.99576600000000004</c:v>
                </c:pt>
                <c:pt idx="162">
                  <c:v>0.99573599999999995</c:v>
                </c:pt>
                <c:pt idx="163">
                  <c:v>0.99570599999999998</c:v>
                </c:pt>
                <c:pt idx="164">
                  <c:v>0.99567600000000001</c:v>
                </c:pt>
                <c:pt idx="165">
                  <c:v>0.99564600000000003</c:v>
                </c:pt>
                <c:pt idx="166">
                  <c:v>0.99561599999999995</c:v>
                </c:pt>
                <c:pt idx="167">
                  <c:v>0.99558599999999997</c:v>
                </c:pt>
                <c:pt idx="168">
                  <c:v>0.99555499999999997</c:v>
                </c:pt>
                <c:pt idx="169">
                  <c:v>0.99552499999999999</c:v>
                </c:pt>
                <c:pt idx="170">
                  <c:v>0.99549399999999999</c:v>
                </c:pt>
                <c:pt idx="171">
                  <c:v>0.99546400000000002</c:v>
                </c:pt>
                <c:pt idx="172">
                  <c:v>0.99543300000000001</c:v>
                </c:pt>
                <c:pt idx="173">
                  <c:v>0.99540200000000001</c:v>
                </c:pt>
                <c:pt idx="174">
                  <c:v>0.99537100000000001</c:v>
                </c:pt>
                <c:pt idx="175">
                  <c:v>0.99541000000000002</c:v>
                </c:pt>
                <c:pt idx="176">
                  <c:v>0.99509000000000003</c:v>
                </c:pt>
                <c:pt idx="177">
                  <c:v>0.99475999999999998</c:v>
                </c:pt>
                <c:pt idx="178">
                  <c:v>0.99442999999999993</c:v>
                </c:pt>
                <c:pt idx="179">
                  <c:v>0.99408000000000007</c:v>
                </c:pt>
                <c:pt idx="180">
                  <c:v>0.99373</c:v>
                </c:pt>
                <c:pt idx="181">
                  <c:v>0.99336999999999998</c:v>
                </c:pt>
                <c:pt idx="182">
                  <c:v>0.99299999999999999</c:v>
                </c:pt>
                <c:pt idx="183">
                  <c:v>0.99263000000000001</c:v>
                </c:pt>
                <c:pt idx="184">
                  <c:v>0.99224999999999997</c:v>
                </c:pt>
                <c:pt idx="185">
                  <c:v>0.99185999999999996</c:v>
                </c:pt>
                <c:pt idx="186">
                  <c:v>0.99146000000000001</c:v>
                </c:pt>
                <c:pt idx="187">
                  <c:v>0.99104999999999999</c:v>
                </c:pt>
                <c:pt idx="188">
                  <c:v>0.99063999999999997</c:v>
                </c:pt>
                <c:pt idx="189">
                  <c:v>0.99021999999999999</c:v>
                </c:pt>
                <c:pt idx="190">
                  <c:v>0.9897999999999999</c:v>
                </c:pt>
                <c:pt idx="191">
                  <c:v>0.98936000000000002</c:v>
                </c:pt>
                <c:pt idx="192">
                  <c:v>0.98891999999999991</c:v>
                </c:pt>
                <c:pt idx="193">
                  <c:v>0.98847000000000007</c:v>
                </c:pt>
                <c:pt idx="194">
                  <c:v>0.98802000000000001</c:v>
                </c:pt>
                <c:pt idx="195">
                  <c:v>0.98755999999999999</c:v>
                </c:pt>
                <c:pt idx="196">
                  <c:v>0.98709000000000002</c:v>
                </c:pt>
                <c:pt idx="197">
                  <c:v>0.98662000000000005</c:v>
                </c:pt>
                <c:pt idx="198">
                  <c:v>0.98614000000000002</c:v>
                </c:pt>
                <c:pt idx="199">
                  <c:v>0.98565000000000003</c:v>
                </c:pt>
                <c:pt idx="200">
                  <c:v>0.98515999999999992</c:v>
                </c:pt>
                <c:pt idx="201">
                  <c:v>0.98465999999999998</c:v>
                </c:pt>
                <c:pt idx="202">
                  <c:v>0.98415999999999992</c:v>
                </c:pt>
                <c:pt idx="203">
                  <c:v>0.98363999999999996</c:v>
                </c:pt>
                <c:pt idx="204">
                  <c:v>0.98312999999999995</c:v>
                </c:pt>
                <c:pt idx="205">
                  <c:v>0.98260000000000003</c:v>
                </c:pt>
                <c:pt idx="206">
                  <c:v>0.98207</c:v>
                </c:pt>
                <c:pt idx="207">
                  <c:v>0.98153999999999997</c:v>
                </c:pt>
                <c:pt idx="208">
                  <c:v>0.98099999999999998</c:v>
                </c:pt>
                <c:pt idx="209">
                  <c:v>0.98045000000000004</c:v>
                </c:pt>
                <c:pt idx="210">
                  <c:v>0.97989999999999999</c:v>
                </c:pt>
                <c:pt idx="211">
                  <c:v>0.97933999999999999</c:v>
                </c:pt>
                <c:pt idx="212">
                  <c:v>0.97877999999999998</c:v>
                </c:pt>
                <c:pt idx="213">
                  <c:v>0.97821000000000002</c:v>
                </c:pt>
                <c:pt idx="214">
                  <c:v>0.97763</c:v>
                </c:pt>
                <c:pt idx="215">
                  <c:v>0.97704999999999997</c:v>
                </c:pt>
                <c:pt idx="216">
                  <c:v>0.97647000000000006</c:v>
                </c:pt>
                <c:pt idx="217">
                  <c:v>0.97587999999999997</c:v>
                </c:pt>
                <c:pt idx="218">
                  <c:v>0.97527999999999992</c:v>
                </c:pt>
                <c:pt idx="219">
                  <c:v>0.97467999999999999</c:v>
                </c:pt>
                <c:pt idx="220">
                  <c:v>0.97408000000000006</c:v>
                </c:pt>
                <c:pt idx="221">
                  <c:v>0.97345999999999999</c:v>
                </c:pt>
                <c:pt idx="222">
                  <c:v>0.97284999999999999</c:v>
                </c:pt>
                <c:pt idx="223">
                  <c:v>0.97223000000000004</c:v>
                </c:pt>
                <c:pt idx="224">
                  <c:v>0.97160000000000002</c:v>
                </c:pt>
                <c:pt idx="225">
                  <c:v>0.97097</c:v>
                </c:pt>
                <c:pt idx="226">
                  <c:v>0.97033000000000003</c:v>
                </c:pt>
                <c:pt idx="227">
                  <c:v>0.96969000000000005</c:v>
                </c:pt>
                <c:pt idx="228">
                  <c:v>0.96904000000000001</c:v>
                </c:pt>
                <c:pt idx="229">
                  <c:v>0.96838999999999997</c:v>
                </c:pt>
                <c:pt idx="230">
                  <c:v>0.96772999999999998</c:v>
                </c:pt>
                <c:pt idx="231">
                  <c:v>0.9670700000000001</c:v>
                </c:pt>
                <c:pt idx="232">
                  <c:v>0.96640999999999999</c:v>
                </c:pt>
                <c:pt idx="233">
                  <c:v>0.96574000000000004</c:v>
                </c:pt>
                <c:pt idx="234">
                  <c:v>0.96505999999999992</c:v>
                </c:pt>
                <c:pt idx="235">
                  <c:v>0.96438000000000001</c:v>
                </c:pt>
                <c:pt idx="236">
                  <c:v>0.9637</c:v>
                </c:pt>
                <c:pt idx="237">
                  <c:v>0.96301000000000003</c:v>
                </c:pt>
                <c:pt idx="238">
                  <c:v>0.96231</c:v>
                </c:pt>
                <c:pt idx="239">
                  <c:v>0.96162000000000003</c:v>
                </c:pt>
                <c:pt idx="240">
                  <c:v>0.96090999999999993</c:v>
                </c:pt>
                <c:pt idx="241">
                  <c:v>0.96020000000000005</c:v>
                </c:pt>
                <c:pt idx="242">
                  <c:v>0.95948999999999995</c:v>
                </c:pt>
                <c:pt idx="243">
                  <c:v>0.95877999999999997</c:v>
                </c:pt>
                <c:pt idx="244">
                  <c:v>0.95804999999999996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6-4C28-B997-A4FA77AA16FD}"/>
            </c:ext>
          </c:extLst>
        </c:ser>
        <c:ser>
          <c:idx val="1"/>
          <c:order val="1"/>
          <c:tx>
            <c:v>reg</c:v>
          </c:tx>
          <c:spPr>
            <a:ln w="19050" cap="rnd">
              <a:solidFill>
                <a:schemeClr val="accent5">
                  <a:alpha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Sheet1!$W$36:$W$135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Sheet1!$X$36:$X$135</c:f>
              <c:numCache>
                <c:formatCode>General</c:formatCode>
                <c:ptCount val="100"/>
                <c:pt idx="0">
                  <c:v>0.99989031002786988</c:v>
                </c:pt>
                <c:pt idx="1">
                  <c:v>0.99995561163409952</c:v>
                </c:pt>
                <c:pt idx="2">
                  <c:v>0.9999972344970105</c:v>
                </c:pt>
                <c:pt idx="3">
                  <c:v>1.0000168065992063</c:v>
                </c:pt>
                <c:pt idx="4">
                  <c:v>1.0000158119048326</c:v>
                </c:pt>
                <c:pt idx="5">
                  <c:v>0.99999559991600662</c:v>
                </c:pt>
                <c:pt idx="6">
                  <c:v>0.99995739482881374</c:v>
                </c:pt>
                <c:pt idx="7">
                  <c:v>0.99990230429682647</c:v>
                </c:pt>
                <c:pt idx="8">
                  <c:v>0.99983132781011896</c:v>
                </c:pt>
                <c:pt idx="9">
                  <c:v>0.99974536469773512</c:v>
                </c:pt>
                <c:pt idx="10">
                  <c:v>0.99964522176157877</c:v>
                </c:pt>
                <c:pt idx="11">
                  <c:v>0.99953162054968581</c:v>
                </c:pt>
                <c:pt idx="12">
                  <c:v>0.99940520427684809</c:v>
                </c:pt>
                <c:pt idx="13">
                  <c:v>0.9992665444005473</c:v>
                </c:pt>
                <c:pt idx="14">
                  <c:v>0.99911614686016803</c:v>
                </c:pt>
                <c:pt idx="15">
                  <c:v>0.99895445798745186</c:v>
                </c:pt>
                <c:pt idx="16">
                  <c:v>0.99878187009615593</c:v>
                </c:pt>
                <c:pt idx="17">
                  <c:v>0.99859872675888328</c:v>
                </c:pt>
                <c:pt idx="18">
                  <c:v>0.99840532777904656</c:v>
                </c:pt>
                <c:pt idx="19">
                  <c:v>0.99820193386592959</c:v>
                </c:pt>
                <c:pt idx="20">
                  <c:v>0.99798877102081274</c:v>
                </c:pt>
                <c:pt idx="21">
                  <c:v>0.9977660346421251</c:v>
                </c:pt>
                <c:pt idx="22">
                  <c:v>0.99753389335758658</c:v>
                </c:pt>
                <c:pt idx="23">
                  <c:v>0.99729249259130803</c:v>
                </c:pt>
                <c:pt idx="24">
                  <c:v>0.99704195787380812</c:v>
                </c:pt>
                <c:pt idx="25">
                  <c:v>0.99678239790291656</c:v>
                </c:pt>
                <c:pt idx="26">
                  <c:v>0.99651390736352474</c:v>
                </c:pt>
                <c:pt idx="27">
                  <c:v>0.99623656951414852</c:v>
                </c:pt>
                <c:pt idx="28">
                  <c:v>0.99595045854826814</c:v>
                </c:pt>
                <c:pt idx="29">
                  <c:v>0.99565564173840937</c:v>
                </c:pt>
                <c:pt idx="30">
                  <c:v>0.99535218137092973</c:v>
                </c:pt>
                <c:pt idx="31">
                  <c:v>0.99504013647947431</c:v>
                </c:pt>
                <c:pt idx="32">
                  <c:v>0.99471956438506492</c:v>
                </c:pt>
                <c:pt idx="33">
                  <c:v>0.99439052205078771</c:v>
                </c:pt>
                <c:pt idx="34">
                  <c:v>0.99405306725904419</c:v>
                </c:pt>
                <c:pt idx="35">
                  <c:v>0.99370725961932538</c:v>
                </c:pt>
                <c:pt idx="36">
                  <c:v>0.99335316141448138</c:v>
                </c:pt>
                <c:pt idx="37">
                  <c:v>0.99299083829344281</c:v>
                </c:pt>
                <c:pt idx="38">
                  <c:v>0.99262035981836194</c:v>
                </c:pt>
                <c:pt idx="39">
                  <c:v>0.99224179987413841</c:v>
                </c:pt>
                <c:pt idx="40">
                  <c:v>0.99185523694829258</c:v>
                </c:pt>
                <c:pt idx="41">
                  <c:v>0.99146075428915004</c:v>
                </c:pt>
                <c:pt idx="42">
                  <c:v>0.99105843995030374</c:v>
                </c:pt>
                <c:pt idx="43">
                  <c:v>0.99064838672931543</c:v>
                </c:pt>
                <c:pt idx="44">
                  <c:v>0.99023069200862324</c:v>
                </c:pt>
                <c:pt idx="45">
                  <c:v>0.98980545750661753</c:v>
                </c:pt>
                <c:pt idx="46">
                  <c:v>0.98937278894684966</c:v>
                </c:pt>
                <c:pt idx="47">
                  <c:v>0.98893279565334069</c:v>
                </c:pt>
                <c:pt idx="48">
                  <c:v>0.9884855900799483</c:v>
                </c:pt>
                <c:pt idx="49">
                  <c:v>0.98803128728176326</c:v>
                </c:pt>
                <c:pt idx="50">
                  <c:v>0.98757000433649467</c:v>
                </c:pt>
                <c:pt idx="51">
                  <c:v>0.98710185972380948</c:v>
                </c:pt>
                <c:pt idx="52">
                  <c:v>0.98662697267059185</c:v>
                </c:pt>
                <c:pt idx="53">
                  <c:v>0.98614546247008583</c:v>
                </c:pt>
                <c:pt idx="54">
                  <c:v>0.985657447782884</c:v>
                </c:pt>
                <c:pt idx="55">
                  <c:v>0.98516304592772919</c:v>
                </c:pt>
                <c:pt idx="56">
                  <c:v>0.98466237217009178</c:v>
                </c:pt>
                <c:pt idx="57">
                  <c:v>0.98415553901648656</c:v>
                </c:pt>
                <c:pt idx="58">
                  <c:v>0.98364265552249508</c:v>
                </c:pt>
                <c:pt idx="59">
                  <c:v>0.98312382662245568</c:v>
                </c:pt>
                <c:pt idx="60">
                  <c:v>0.98259915248878726</c:v>
                </c:pt>
                <c:pt idx="61">
                  <c:v>0.98206872792890887</c:v>
                </c:pt>
                <c:pt idx="62">
                  <c:v>0.98153264182772371</c:v>
                </c:pt>
                <c:pt idx="63">
                  <c:v>0.98099097664362489</c:v>
                </c:pt>
                <c:pt idx="64">
                  <c:v>0.98044380796599429</c:v>
                </c:pt>
                <c:pt idx="65">
                  <c:v>0.97989120414215436</c:v>
                </c:pt>
                <c:pt idx="66">
                  <c:v>0.97933322598173833</c:v>
                </c:pt>
                <c:pt idx="67">
                  <c:v>0.97876992654644324</c:v>
                </c:pt>
                <c:pt idx="68">
                  <c:v>0.97820135103313055</c:v>
                </c:pt>
                <c:pt idx="69">
                  <c:v>0.97762753675823744</c:v>
                </c:pt>
                <c:pt idx="70">
                  <c:v>0.97704851325146347</c:v>
                </c:pt>
                <c:pt idx="71">
                  <c:v>0.97646430246669702</c:v>
                </c:pt>
                <c:pt idx="72">
                  <c:v>0.97587491911814683</c:v>
                </c:pt>
                <c:pt idx="73">
                  <c:v>0.97528037114964017</c:v>
                </c:pt>
                <c:pt idx="74">
                  <c:v>0.97468066034505385</c:v>
                </c:pt>
                <c:pt idx="75">
                  <c:v>0.97407578308784415</c:v>
                </c:pt>
                <c:pt idx="76">
                  <c:v>0.97346573127763425</c:v>
                </c:pt>
                <c:pt idx="77">
                  <c:v>0.97285049341182972</c:v>
                </c:pt>
                <c:pt idx="78">
                  <c:v>0.97223005584022215</c:v>
                </c:pt>
                <c:pt idx="79">
                  <c:v>0.97160440420054783</c:v>
                </c:pt>
                <c:pt idx="80">
                  <c:v>0.97097352504296264</c:v>
                </c:pt>
                <c:pt idx="81">
                  <c:v>0.97033740765140064</c:v>
                </c:pt>
                <c:pt idx="82">
                  <c:v>0.96969604606977977</c:v>
                </c:pt>
                <c:pt idx="83">
                  <c:v>0.969049441341016</c:v>
                </c:pt>
                <c:pt idx="84">
                  <c:v>0.96839760396681485</c:v>
                </c:pt>
                <c:pt idx="85">
                  <c:v>0.96774055659620184</c:v>
                </c:pt>
                <c:pt idx="86">
                  <c:v>0.96707833695075462</c:v>
                </c:pt>
                <c:pt idx="87">
                  <c:v>0.96641100099450661</c:v>
                </c:pt>
                <c:pt idx="88">
                  <c:v>0.96573862635647867</c:v>
                </c:pt>
                <c:pt idx="89">
                  <c:v>0.96506131601380951</c:v>
                </c:pt>
                <c:pt idx="90">
                  <c:v>0.96437920224344664</c:v>
                </c:pt>
                <c:pt idx="91">
                  <c:v>0.96369245085036204</c:v>
                </c:pt>
                <c:pt idx="92">
                  <c:v>0.96300126568025535</c:v>
                </c:pt>
                <c:pt idx="93">
                  <c:v>0.96230589342471295</c:v>
                </c:pt>
                <c:pt idx="94">
                  <c:v>0.96160662872678293</c:v>
                </c:pt>
                <c:pt idx="95">
                  <c:v>0.96090381959493243</c:v>
                </c:pt>
                <c:pt idx="96">
                  <c:v>0.96019787313335192</c:v>
                </c:pt>
                <c:pt idx="97">
                  <c:v>0.959489261596568</c:v>
                </c:pt>
                <c:pt idx="98">
                  <c:v>0.95877852877633307</c:v>
                </c:pt>
                <c:pt idx="99">
                  <c:v>0.95806629672875154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A6-4C28-B997-A4FA77AA1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145600"/>
        <c:axId val="1873146080"/>
      </c:scatterChart>
      <c:valAx>
        <c:axId val="187314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146080"/>
        <c:crosses val="autoZero"/>
        <c:crossBetween val="midCat"/>
      </c:valAx>
      <c:valAx>
        <c:axId val="18731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14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312964</xdr:colOff>
      <xdr:row>6</xdr:row>
      <xdr:rowOff>149677</xdr:rowOff>
    </xdr:from>
    <xdr:to>
      <xdr:col>36</xdr:col>
      <xdr:colOff>544286</xdr:colOff>
      <xdr:row>33</xdr:row>
      <xdr:rowOff>5690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28EB7-4048-F81B-DB5D-DA4AD8FD9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24912</xdr:colOff>
      <xdr:row>1</xdr:row>
      <xdr:rowOff>7326</xdr:rowOff>
    </xdr:from>
    <xdr:to>
      <xdr:col>12</xdr:col>
      <xdr:colOff>337269</xdr:colOff>
      <xdr:row>11</xdr:row>
      <xdr:rowOff>121908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6C9F54-2335-8F82-F450-4E8B30DB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1181" y="197826"/>
          <a:ext cx="6884607" cy="2019582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468924</xdr:colOff>
      <xdr:row>12</xdr:row>
      <xdr:rowOff>32449</xdr:rowOff>
    </xdr:from>
    <xdr:to>
      <xdr:col>7</xdr:col>
      <xdr:colOff>494298</xdr:colOff>
      <xdr:row>17</xdr:row>
      <xdr:rowOff>185003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357736-B9C8-8A65-88D4-20630685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7031" y="2318449"/>
          <a:ext cx="3331910" cy="11050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FAB70-5C57-4A1E-81B1-19400B57E22E}" name="Table1" displayName="Table1" ref="A6:H16" totalsRowShown="0">
  <autoFilter ref="A6:H16" xr:uid="{0ACFAB70-5C57-4A1E-81B1-19400B57E22E}"/>
  <tableColumns count="8">
    <tableColumn id="1" xr3:uid="{F1625C3A-6876-46A7-81A6-FEAE1466587C}" name="Date" dataDxfId="7"/>
    <tableColumn id="2" xr3:uid="{1CA8747C-CE2A-4863-9EAC-AEACE97BE6ED}" name="Dispenser Type" dataDxfId="6"/>
    <tableColumn id="3" xr3:uid="{B5C59201-2A10-4B03-9AC9-4E72E5C1A58C}" name="Dispenser ID" dataDxfId="4"/>
    <tableColumn id="4" xr3:uid="{B2F0B675-BF46-4FD5-AC2B-5B6C42024CAE}" name="Trial" dataDxfId="2"/>
    <tableColumn id="5" xr3:uid="{6D8C8EE0-A38E-48E7-B008-FFBA6F77A601}" name="T (°C)" dataDxfId="3"/>
    <tableColumn id="8" xr3:uid="{A846A8CE-0552-41B9-9FCB-B5A7D5AE1391}" name="ρ (g/m3)" dataDxfId="5">
      <calculatedColumnFormula array="1">_xlfn.LET(
_xlpm.order,6,
_xlpm.x,Table1[[#This Row],[T (°C)]],
_xlpm.result,SUM(TEMP_PRES_COEF(_xlpm.order)*_xlpm.x^_xlfn.SEQUENCE(_xlpm.order+1,,0)),
_xlpm.result)</calculatedColumnFormula>
    </tableColumn>
    <tableColumn id="6" xr3:uid="{C54D4612-78E0-491C-A457-62EEA386A4A7}" name="m (g)" dataDxfId="1"/>
    <tableColumn id="7" xr3:uid="{74728850-1705-4269-AC3C-EE560775FF40}" name="V (μL)" dataDxfId="0">
      <calculatedColumnFormula>CONVERT(Table1[[#This Row],[m (g)]]/Table1[[#This Row],[ρ (g/m3)]],"mL","uL")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4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721F0F-648E-4E45-AED2-BD5666055C05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5AA29707-8208-4E9A-8968-39938553B849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F851-0982-4E35-9EDF-314514572223}">
  <dimension ref="A1:Z265"/>
  <sheetViews>
    <sheetView zoomScale="70" zoomScaleNormal="70" workbookViewId="0">
      <selection activeCell="M21" sqref="M21"/>
    </sheetView>
  </sheetViews>
  <sheetFormatPr defaultRowHeight="15"/>
  <cols>
    <col min="2" max="2" width="16.7109375" customWidth="1"/>
    <col min="4" max="4" width="12.85546875" bestFit="1" customWidth="1"/>
    <col min="11" max="11" width="12.7109375" bestFit="1" customWidth="1"/>
    <col min="15" max="15" width="15.7109375" bestFit="1" customWidth="1"/>
    <col min="18" max="18" width="18.5703125" customWidth="1"/>
    <col min="19" max="19" width="12.85546875" bestFit="1" customWidth="1"/>
  </cols>
  <sheetData>
    <row r="1" spans="1:26">
      <c r="A1" t="s">
        <v>0</v>
      </c>
      <c r="B1" t="s">
        <v>1</v>
      </c>
      <c r="Z1" t="s">
        <v>4</v>
      </c>
    </row>
    <row r="2" spans="1:26">
      <c r="A2" s="1">
        <v>0</v>
      </c>
      <c r="B2" s="7">
        <v>0.99982000000000004</v>
      </c>
      <c r="O2" cm="1">
        <f t="array" ref="O2:V6">LINEST(B2:B246,A2:A246^{1,2,3,4,5,6,7},TRUE,TRUE)</f>
        <v>1.5802076571267516E-15</v>
      </c>
      <c r="P2">
        <v>-6.004075420504546E-13</v>
      </c>
      <c r="Q2">
        <v>9.1825101260607495E-11</v>
      </c>
      <c r="R2">
        <v>-7.2957485363164008E-9</v>
      </c>
      <c r="S2">
        <v>3.3852670570883451E-7</v>
      </c>
      <c r="T2">
        <v>-1.3696162493390355E-5</v>
      </c>
      <c r="U2">
        <v>1.0412370665869209E-4</v>
      </c>
      <c r="V2">
        <v>0.99979947660560997</v>
      </c>
      <c r="Z2" t="s">
        <v>7</v>
      </c>
    </row>
    <row r="3" spans="1:26">
      <c r="A3" s="1">
        <v>1</v>
      </c>
      <c r="B3" s="7">
        <v>0.99988999999999995</v>
      </c>
      <c r="O3">
        <v>1.2965905141761218E-16</v>
      </c>
      <c r="P3">
        <v>4.5226824122824776E-14</v>
      </c>
      <c r="Q3">
        <v>6.2790461560442598E-12</v>
      </c>
      <c r="R3">
        <v>4.4179221625961412E-10</v>
      </c>
      <c r="S3">
        <v>1.6585775364231054E-8</v>
      </c>
      <c r="T3">
        <v>3.1993296601560668E-7</v>
      </c>
      <c r="U3">
        <v>2.7661881903731451E-6</v>
      </c>
      <c r="V3">
        <v>7.8664111896338716E-6</v>
      </c>
      <c r="Z3" t="s">
        <v>8</v>
      </c>
    </row>
    <row r="4" spans="1:26">
      <c r="A4" s="1">
        <v>2</v>
      </c>
      <c r="B4" s="7">
        <v>0.99994000000000005</v>
      </c>
      <c r="O4">
        <v>0.9999987314864679</v>
      </c>
      <c r="P4">
        <v>1.1848167893931145E-5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6">
      <c r="A5" s="1">
        <v>3</v>
      </c>
      <c r="B5" s="7">
        <v>0.99997999999999998</v>
      </c>
      <c r="O5">
        <v>26690373.459875867</v>
      </c>
      <c r="P5">
        <v>237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Z5" t="s">
        <v>9</v>
      </c>
    </row>
    <row r="6" spans="1:26">
      <c r="A6" s="1">
        <v>4</v>
      </c>
      <c r="B6" s="7">
        <v>1</v>
      </c>
      <c r="O6">
        <v>2.6227390954467654E-2</v>
      </c>
      <c r="P6">
        <v>3.3269842538939042E-8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6">
      <c r="A7" s="1">
        <v>5</v>
      </c>
      <c r="B7" s="7">
        <v>1</v>
      </c>
    </row>
    <row r="8" spans="1:26">
      <c r="A8" s="1">
        <v>6</v>
      </c>
      <c r="B8" s="7">
        <v>0.99999000000000005</v>
      </c>
    </row>
    <row r="9" spans="1:26">
      <c r="A9" s="1">
        <v>7</v>
      </c>
      <c r="B9" s="7">
        <v>0.99996000000000007</v>
      </c>
    </row>
    <row r="10" spans="1:26">
      <c r="A10" s="1">
        <v>8</v>
      </c>
      <c r="B10" s="7">
        <v>0.99990999999999997</v>
      </c>
    </row>
    <row r="11" spans="1:26">
      <c r="A11" s="1">
        <v>9</v>
      </c>
      <c r="B11" s="7">
        <v>0.99985000000000002</v>
      </c>
    </row>
    <row r="12" spans="1:26">
      <c r="A12" s="1">
        <v>10</v>
      </c>
      <c r="B12" s="7">
        <v>0.99976999999999994</v>
      </c>
    </row>
    <row r="13" spans="1:26">
      <c r="A13" s="1">
        <v>11</v>
      </c>
      <c r="B13" s="7">
        <v>0.9996799999999999</v>
      </c>
    </row>
    <row r="14" spans="1:26">
      <c r="A14" s="1">
        <v>12</v>
      </c>
      <c r="B14" s="7">
        <v>0.99958000000000002</v>
      </c>
    </row>
    <row r="15" spans="1:26">
      <c r="A15" s="1">
        <v>13</v>
      </c>
      <c r="B15" s="7">
        <v>0.99946000000000002</v>
      </c>
    </row>
    <row r="16" spans="1:26">
      <c r="A16" s="1">
        <v>14</v>
      </c>
      <c r="B16" s="7">
        <v>0.99933000000000005</v>
      </c>
    </row>
    <row r="17" spans="1:20">
      <c r="A17">
        <v>15</v>
      </c>
      <c r="B17" s="7">
        <v>0.99909899999999996</v>
      </c>
    </row>
    <row r="18" spans="1:20">
      <c r="A18">
        <v>15.1</v>
      </c>
      <c r="B18" s="7">
        <v>0.99908399999999997</v>
      </c>
    </row>
    <row r="19" spans="1:20">
      <c r="A19">
        <v>15.2</v>
      </c>
      <c r="B19" s="7">
        <v>0.99906899999999998</v>
      </c>
    </row>
    <row r="20" spans="1:20">
      <c r="A20">
        <v>15.3</v>
      </c>
      <c r="B20" s="7">
        <v>0.999054</v>
      </c>
    </row>
    <row r="21" spans="1:20">
      <c r="A21">
        <v>15.4</v>
      </c>
      <c r="B21" s="7">
        <v>0.99903799999999998</v>
      </c>
      <c r="J21" cm="1">
        <f t="array" ref="J21:K265">A2:B246</f>
        <v>0</v>
      </c>
      <c r="K21">
        <v>0.99982000000000004</v>
      </c>
    </row>
    <row r="22" spans="1:20">
      <c r="A22">
        <v>15.5</v>
      </c>
      <c r="B22" s="7">
        <v>0.99902299999999999</v>
      </c>
      <c r="J22">
        <v>1</v>
      </c>
      <c r="K22">
        <v>0.99988999999999995</v>
      </c>
    </row>
    <row r="23" spans="1:20">
      <c r="A23">
        <v>15.6</v>
      </c>
      <c r="B23" s="7">
        <v>0.99900699999999998</v>
      </c>
      <c r="J23">
        <v>2</v>
      </c>
      <c r="K23">
        <v>0.99994000000000005</v>
      </c>
    </row>
    <row r="24" spans="1:20">
      <c r="A24">
        <v>15.7</v>
      </c>
      <c r="B24" s="7">
        <v>0.99899099999999996</v>
      </c>
      <c r="J24">
        <v>3</v>
      </c>
      <c r="K24">
        <v>0.99997999999999998</v>
      </c>
    </row>
    <row r="25" spans="1:20">
      <c r="A25">
        <v>15.8</v>
      </c>
      <c r="B25" s="7">
        <v>0.99897499999999995</v>
      </c>
      <c r="J25">
        <v>4</v>
      </c>
      <c r="K25">
        <v>1</v>
      </c>
    </row>
    <row r="26" spans="1:20">
      <c r="A26">
        <v>15.9</v>
      </c>
      <c r="B26" s="7">
        <v>0.99895900000000004</v>
      </c>
      <c r="J26">
        <v>5</v>
      </c>
      <c r="K26">
        <v>1</v>
      </c>
    </row>
    <row r="27" spans="1:20">
      <c r="A27">
        <v>16</v>
      </c>
      <c r="B27" s="7">
        <v>0.99894300000000003</v>
      </c>
      <c r="J27">
        <v>6</v>
      </c>
      <c r="K27">
        <v>0.99999000000000005</v>
      </c>
      <c r="L27" s="2"/>
      <c r="M27" s="2"/>
      <c r="N27" s="2"/>
      <c r="O27" s="2"/>
      <c r="P27" s="2"/>
    </row>
    <row r="28" spans="1:20">
      <c r="A28">
        <v>16.100000000000001</v>
      </c>
      <c r="B28" s="7">
        <v>0.99892599999999998</v>
      </c>
      <c r="J28">
        <v>7</v>
      </c>
      <c r="K28" s="2">
        <v>0.99996000000000007</v>
      </c>
      <c r="L28" s="3"/>
      <c r="M28" s="3"/>
      <c r="N28" s="3"/>
      <c r="O28" s="3"/>
      <c r="P28" s="3"/>
      <c r="Q28" s="2"/>
      <c r="R28" s="2"/>
      <c r="S28" s="2"/>
      <c r="T28" s="2"/>
    </row>
    <row r="29" spans="1:20">
      <c r="A29">
        <v>16.2</v>
      </c>
      <c r="B29" s="7">
        <v>0.99890999999999996</v>
      </c>
      <c r="J29">
        <v>8</v>
      </c>
      <c r="K29" s="3">
        <v>0.99990999999999997</v>
      </c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>
        <v>16.3</v>
      </c>
      <c r="B30" s="7">
        <v>0.99889300000000003</v>
      </c>
      <c r="J30">
        <v>9</v>
      </c>
      <c r="K30" s="3">
        <v>0.99985000000000002</v>
      </c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>
        <v>16.399999999999999</v>
      </c>
      <c r="B31" s="7">
        <v>0.99887700000000001</v>
      </c>
      <c r="J31">
        <v>10</v>
      </c>
      <c r="K31" s="3">
        <v>0.99976999999999994</v>
      </c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>
        <v>16.5</v>
      </c>
      <c r="B32" s="7">
        <v>0.99885999999999997</v>
      </c>
      <c r="J32">
        <v>11</v>
      </c>
      <c r="K32" s="3">
        <v>0.9996799999999999</v>
      </c>
      <c r="L32" s="2"/>
      <c r="M32" s="2"/>
      <c r="N32" s="2"/>
      <c r="O32" s="2"/>
      <c r="P32" s="2"/>
      <c r="Q32" s="2"/>
      <c r="R32" s="2"/>
      <c r="S32" s="2"/>
      <c r="T32" s="2"/>
    </row>
    <row r="33" spans="1:24">
      <c r="A33">
        <v>16.600000000000001</v>
      </c>
      <c r="B33" s="7">
        <v>0.99884300000000004</v>
      </c>
      <c r="J33">
        <v>12</v>
      </c>
      <c r="K33" s="3">
        <v>0.99958000000000002</v>
      </c>
      <c r="L33" s="2"/>
      <c r="M33" s="2"/>
      <c r="N33" s="2"/>
      <c r="O33" s="2"/>
      <c r="P33" s="2"/>
      <c r="Q33" s="2"/>
      <c r="R33" s="2"/>
      <c r="S33" s="2"/>
      <c r="T33" s="2"/>
    </row>
    <row r="34" spans="1:24">
      <c r="A34">
        <v>16.7</v>
      </c>
      <c r="B34" s="7">
        <v>0.99882599999999999</v>
      </c>
      <c r="J34">
        <v>13</v>
      </c>
      <c r="K34" s="2">
        <v>0.99946000000000002</v>
      </c>
      <c r="L34" s="2"/>
      <c r="M34" s="2"/>
      <c r="N34" s="2"/>
      <c r="O34" s="2"/>
      <c r="P34" s="2"/>
      <c r="Q34" s="2" t="s">
        <v>6</v>
      </c>
      <c r="R34" s="4">
        <v>7</v>
      </c>
      <c r="S34" s="2"/>
      <c r="T34" s="2"/>
    </row>
    <row r="35" spans="1:24">
      <c r="A35">
        <v>16.8</v>
      </c>
      <c r="B35" s="7">
        <v>0.99880899999999995</v>
      </c>
      <c r="J35">
        <v>14</v>
      </c>
      <c r="K35" s="2">
        <v>0.99933000000000005</v>
      </c>
      <c r="M35" s="2"/>
      <c r="N35" s="2"/>
      <c r="O35" s="2"/>
      <c r="P35" s="2"/>
      <c r="Q35" s="2" t="s">
        <v>3</v>
      </c>
      <c r="R35" s="4">
        <v>15</v>
      </c>
      <c r="S35" cm="1">
        <f t="array" ref="S35">SUM(_xlfn.ANCHORARRAY(R38)*R35^_xlfn.SEQUENCE(R34+1,,0))</f>
        <v>0.99911614686016803</v>
      </c>
      <c r="T35" s="2"/>
      <c r="W35" t="s">
        <v>3</v>
      </c>
      <c r="X35" t="s">
        <v>2</v>
      </c>
    </row>
    <row r="36" spans="1:24">
      <c r="A36">
        <v>16.899999999999999</v>
      </c>
      <c r="B36" s="7">
        <v>0.99879200000000001</v>
      </c>
      <c r="J36">
        <v>15</v>
      </c>
      <c r="K36">
        <v>0.99909899999999996</v>
      </c>
      <c r="M36" s="2"/>
      <c r="N36" s="2"/>
      <c r="O36" s="2"/>
      <c r="P36" s="2"/>
      <c r="W36" cm="1">
        <f t="array" ref="W36:W135">_xlfn.SEQUENCE(100,,1,1)</f>
        <v>1</v>
      </c>
      <c r="X36" cm="1">
        <f t="array" ref="X36">SUM(_xlfn.ANCHORARRAY($R$38)*W36^_xlfn.SEQUENCE($R$34+1,,0))</f>
        <v>0.99989031002786988</v>
      </c>
    </row>
    <row r="37" spans="1:24">
      <c r="A37">
        <v>17</v>
      </c>
      <c r="B37" s="7">
        <v>0.99877400000000005</v>
      </c>
      <c r="J37">
        <v>15.1</v>
      </c>
      <c r="K37">
        <v>0.99908399999999997</v>
      </c>
      <c r="L37" s="2"/>
      <c r="M37" s="2"/>
      <c r="N37" s="2"/>
      <c r="O37" s="2"/>
      <c r="P37" s="2"/>
      <c r="R37" s="2" t="s">
        <v>5</v>
      </c>
      <c r="W37">
        <v>2</v>
      </c>
      <c r="X37" cm="1">
        <f t="array" ref="X37">SUM(_xlfn.ANCHORARRAY($R$38)*W37^_xlfn.SEQUENCE($R$34+1,,0))</f>
        <v>0.99995561163409952</v>
      </c>
    </row>
    <row r="38" spans="1:24">
      <c r="A38">
        <v>17.100000000000001</v>
      </c>
      <c r="B38" s="7">
        <v>0.99875700000000001</v>
      </c>
      <c r="J38">
        <v>15.2</v>
      </c>
      <c r="K38">
        <v>0.99906899999999998</v>
      </c>
      <c r="L38" s="2"/>
      <c r="M38" s="2"/>
      <c r="N38" s="2"/>
      <c r="O38" s="2"/>
      <c r="P38" s="2"/>
      <c r="R38" s="2" cm="1">
        <f t="array" ref="R38:R45">_xlfn.LET(
_xlpm.k, $R$34,
_xlpm.arr_tp,{0,0.99982;1,0.99989;2,0.99994;3,0.99998;4,1;5,1;6,0.99999;7,0.99996;8,0.99991;9,0.99985;10,0.99977;11,0.99968;12,0.99958;13,0.99946;14,0.99933;15,0.999099;15.1,0.999084;15.2,0.999069;15.3,0.999054;15.4,0.999038;15.5,0.999023;15.6,0.999007;15.7,0.998991;15.8,0.998975;15.9,0.998959;16,0.998943;16.1,0.998926;16.2,0.99891;16.3,0.998893;16.4,0.998877;16.5,0.99886;16.6,0.998843;16.7,0.998826;16.8,0.998809;16.9,0.998792;17,0.998774;17.1,0.998757;17.2,0.998739;17.3,0.998722;17.4,0.998704;17.5,0.998686;17.6,0.998668;17.7,0.99865;17.8,0.998632;17.9,0.998613;18,0.998595;18.1,0.998576;18.2,0.998558;18.3,0.998539;18.4,0.99852;18.5,0.998501;18.6,0.998482;18.7,0.998463;18.8,0.998444;18.9,0.998424;19,0.998405;19.1,0.998385;19.2,0.998365;19.3,0.998345;19.4,0.998325;19.5,0.998305;19.6,0.998285;19.7,0.998265;19.8,0.998244;19.9,0.998224;20,0.998203;20.1,0.998183;20.2,0.998162;20.3,0.998141;20.4,0.99812;20.5,0.998099;20.6,0.998078;20.7,0.998056;20.8,0.998035;20.9,0.998013;21,0.997992;21.1,0.99797;21.2,0.997948;21.3,0.997926;21.4,0.997904;21.5,0.997882;21.6,0.99786;21.7,0.997837;21.8,0.997815;21.9,0.997792;22,0.99777;22.1,0.997747;22.2,0.997724;22.3,0.997701;22.4,0.997678;22.5,0.997655;22.6,0.997632;22.7,0.997608;22.8,0.997585;22.9,0.997561;23,0.997538;23.1,0.997514;23.2,0.99749;23.3,0.997466;23.4,0.997442;23.5,0.997418;23.6,0.997394;23.7,0.997369;23.8,0.997345;23.9,0.99732;24,0.997296;24.1,0.997271;24.2,0.997246;24.3,0.997221;24.4,0.997196;24.5,0.997171;24.6,0.997146;24.7,0.99712;24.8,0.997095;24.9,0.997069;25,0.997044;25.1,0.997018;25.2,0.996992;25.3,0.996967;25.4,0.996941;25.5,0.996914;25.6,0.996888;25.7,0.996862;25.8,0.996836;25.9,0.996809;26,0.996783;26.1,0.996756;26.2,0.996729;26.3,0.996703;26.4,0.996676;26.5,0.996649;26.6,0.996621;26.7,0.996594;26.8,0.996567;26.9,0.99654;27,0.996512;27.1,0.996485;27.2,0.996457;27.3,0.996429;27.4,0.996401;27.5,0.996373;27.6,0.996345;27.7,0.996317;27.8,0.996289;27.9,0.996261;28,0.996232;28.1,0.996204;28.2,0.996175;28.3,0.996147;28.4,0.996118;28.5,0.996089;28.6,0.99606;28.7,0.996031;28.8,0.996002;28.9,0.995973;29,0.995944;29.1,0.995914;29.2,0.995885;29.3,0.995855;29.4,0.995826;29.5,0.995796;29.6,0.995766;29.7,0.995736;29.8,0.995706;29.9,0.995676;30,0.995646;30.1,0.995616;30.2,0.995586;30.3,0.995555;30.4,0.995525;30.5,0.995494;30.6,0.995464;30.7,0.995433;30.8,0.995402;30.9,0.995371;31,0.99541;32,0.99509;33,0.99476;34,0.99443;35,0.99408;36,0.99373;37,0.99337;38,0.993;39,0.99263;40,0.99225;41,0.99186;42,0.99146;43,0.99105;44,0.99064;45,0.99022;46,0.9898;47,0.98936;48,0.98892;49,0.98847;50,0.98802;51,0.98756;52,0.98709;53,0.98662;54,0.98614;55,0.98565;56,0.98516;57,0.98466;58,0.98416;59,0.98364;60,0.98313;61,0.9826;62,0.98207;63,0.98154;64,0.981;65,0.98045;66,0.9799;67,0.97934;68,0.97878;69,0.97821;70,0.97763;71,0.97705;72,0.97647;73,0.97588;74,0.97528;75,0.97468;76,0.97408;77,0.97346;78,0.97285;79,0.97223;80,0.9716;81,0.97097;82,0.97033;83,0.96969;84,0.96904;85,0.96839;86,0.96773;87,0.96707;88,0.96641;89,0.96574;90,0.96506;91,0.96438;92,0.9637;93,0.96301;94,0.96231;95,0.96162;96,0.96091;97,0.9602;98,0.95949;99,0.95878;100,0.95805},
_xlpm.x, INDEX(_xlpm.arr_tp,,1),
_xlpm.y, INDEX(_xlpm.arr_tp,,2),
_xlpm.n, ROWS(_xlpm.x),
_xlpm.m_1, IFERROR(_xlfn.MAKEARRAY(_xlpm.k+1,_xlpm.k+1,_xlfn.LAMBDA(_xlpm.r,_xlpm.c,SUM(_xlpm.x^((_xlpm.r-1)+(_xlpm.c-1))))),_xlpm.n),
_xlpm.m_2, IFERROR(_xlfn.MAKEARRAY(_xlpm.k+1,1,_xlfn.LAMBDA(_xlpm.r,_xlpm.c,SUM(_xlpm.x^(_xlpm.r-1)*_xlpm.y))),SUM(_xlpm.y)),
_xlpm.result, MMULT(MINVERSE(_xlpm.m_1),_xlpm.m_2),
_xlpm.result)</f>
        <v>0.99979954771242774</v>
      </c>
      <c r="W38">
        <v>3</v>
      </c>
      <c r="X38" cm="1">
        <f t="array" ref="X38">SUM(_xlfn.ANCHORARRAY($R$38)*W38^_xlfn.SEQUENCE($R$34+1,,0))</f>
        <v>0.9999972344970105</v>
      </c>
    </row>
    <row r="39" spans="1:24">
      <c r="A39">
        <v>17.2</v>
      </c>
      <c r="B39" s="7">
        <v>0.99873900000000004</v>
      </c>
      <c r="J39">
        <v>15.3</v>
      </c>
      <c r="K39">
        <v>0.999054</v>
      </c>
      <c r="L39" s="2"/>
      <c r="M39" s="2"/>
      <c r="N39" s="2"/>
      <c r="O39" s="2"/>
      <c r="P39" s="2"/>
      <c r="R39">
        <v>1.0412721667307778E-4</v>
      </c>
      <c r="W39">
        <v>4</v>
      </c>
      <c r="X39" cm="1">
        <f t="array" ref="X39">SUM(_xlfn.ANCHORARRAY($R$38)*W39^_xlfn.SEQUENCE($R$34+1,,0))</f>
        <v>1.0000168065992063</v>
      </c>
    </row>
    <row r="40" spans="1:24">
      <c r="A40">
        <v>17.3</v>
      </c>
      <c r="B40" s="7">
        <v>0.998722</v>
      </c>
      <c r="J40">
        <v>15.4</v>
      </c>
      <c r="K40">
        <v>0.99903799999999998</v>
      </c>
      <c r="L40" s="2"/>
      <c r="M40" s="2"/>
      <c r="N40" s="2"/>
      <c r="O40" s="2"/>
      <c r="P40" s="2"/>
      <c r="R40">
        <v>-1.3696223447823286E-5</v>
      </c>
      <c r="W40">
        <v>5</v>
      </c>
      <c r="X40" cm="1">
        <f t="array" ref="X40">SUM(_xlfn.ANCHORARRAY($R$38)*W40^_xlfn.SEQUENCE($R$34+1,,0))</f>
        <v>1.0000158119048326</v>
      </c>
    </row>
    <row r="41" spans="1:24">
      <c r="A41">
        <v>17.399999999999999</v>
      </c>
      <c r="B41" s="7">
        <v>0.99870400000000004</v>
      </c>
      <c r="J41">
        <v>15.5</v>
      </c>
      <c r="K41">
        <v>0.99902299999999999</v>
      </c>
      <c r="R41">
        <v>3.3852673908540964E-7</v>
      </c>
      <c r="W41">
        <v>6</v>
      </c>
      <c r="X41" cm="1">
        <f t="array" ref="X41">SUM(_xlfn.ANCHORARRAY($R$38)*W41^_xlfn.SEQUENCE($R$34+1,,0))</f>
        <v>0.99999559991600662</v>
      </c>
    </row>
    <row r="42" spans="1:24">
      <c r="A42">
        <v>17.5</v>
      </c>
      <c r="B42" s="7">
        <v>0.99868599999999996</v>
      </c>
      <c r="J42">
        <v>15.6</v>
      </c>
      <c r="K42">
        <v>0.99900699999999998</v>
      </c>
      <c r="R42">
        <v>-7.2957485608426964E-9</v>
      </c>
      <c r="W42">
        <v>7</v>
      </c>
      <c r="X42" cm="1">
        <f t="array" ref="X42">SUM(_xlfn.ANCHORARRAY($R$38)*W42^_xlfn.SEQUENCE($R$34+1,,0))</f>
        <v>0.99995739482881374</v>
      </c>
    </row>
    <row r="43" spans="1:24">
      <c r="A43">
        <v>17.600000000000001</v>
      </c>
      <c r="B43" s="7">
        <v>0.998668</v>
      </c>
      <c r="J43">
        <v>15.7</v>
      </c>
      <c r="K43">
        <v>0.99899099999999996</v>
      </c>
      <c r="R43">
        <v>9.1825159455327654E-11</v>
      </c>
      <c r="W43">
        <v>8</v>
      </c>
      <c r="X43" cm="1">
        <f t="array" ref="X43">SUM(_xlfn.ANCHORARRAY($R$38)*W43^_xlfn.SEQUENCE($R$34+1,,0))</f>
        <v>0.99990230429682647</v>
      </c>
    </row>
    <row r="44" spans="1:24">
      <c r="A44">
        <v>17.7</v>
      </c>
      <c r="B44" s="7">
        <v>0.99865000000000004</v>
      </c>
      <c r="J44">
        <v>15.8</v>
      </c>
      <c r="K44">
        <v>0.99897499999999995</v>
      </c>
      <c r="R44">
        <v>-6.0040815770762493E-13</v>
      </c>
      <c r="W44">
        <v>9</v>
      </c>
      <c r="X44" cm="1">
        <f t="array" ref="X44">SUM(_xlfn.ANCHORARRAY($R$38)*W44^_xlfn.SEQUENCE($R$34+1,,0))</f>
        <v>0.99983132781011896</v>
      </c>
    </row>
    <row r="45" spans="1:24">
      <c r="A45">
        <v>17.8</v>
      </c>
      <c r="B45" s="7">
        <v>0.99863199999999996</v>
      </c>
      <c r="J45">
        <v>15.9</v>
      </c>
      <c r="K45">
        <v>0.99895900000000004</v>
      </c>
      <c r="R45">
        <v>1.5802094198045721E-15</v>
      </c>
      <c r="W45">
        <v>10</v>
      </c>
      <c r="X45" cm="1">
        <f t="array" ref="X45">SUM(_xlfn.ANCHORARRAY($R$38)*W45^_xlfn.SEQUENCE($R$34+1,,0))</f>
        <v>0.99974536469773512</v>
      </c>
    </row>
    <row r="46" spans="1:24">
      <c r="A46">
        <v>17.899999999999999</v>
      </c>
      <c r="B46" s="7">
        <v>0.99861299999999997</v>
      </c>
      <c r="J46">
        <v>16</v>
      </c>
      <c r="K46">
        <v>0.99894300000000003</v>
      </c>
      <c r="W46">
        <v>11</v>
      </c>
      <c r="X46" cm="1">
        <f t="array" ref="X46">SUM(_xlfn.ANCHORARRAY($R$38)*W46^_xlfn.SEQUENCE($R$34+1,,0))</f>
        <v>0.99964522176157877</v>
      </c>
    </row>
    <row r="47" spans="1:24">
      <c r="A47">
        <v>18</v>
      </c>
      <c r="B47" s="7">
        <v>0.99859500000000001</v>
      </c>
      <c r="J47">
        <v>16.100000000000001</v>
      </c>
      <c r="K47">
        <v>0.99892599999999998</v>
      </c>
      <c r="W47">
        <v>12</v>
      </c>
      <c r="X47" cm="1">
        <f t="array" ref="X47">SUM(_xlfn.ANCHORARRAY($R$38)*W47^_xlfn.SEQUENCE($R$34+1,,0))</f>
        <v>0.99953162054968581</v>
      </c>
    </row>
    <row r="48" spans="1:24">
      <c r="A48">
        <v>18.100000000000001</v>
      </c>
      <c r="B48" s="7">
        <v>0.99857600000000002</v>
      </c>
      <c r="J48">
        <v>16.2</v>
      </c>
      <c r="K48">
        <v>0.99890999999999996</v>
      </c>
      <c r="W48">
        <v>13</v>
      </c>
      <c r="X48" cm="1">
        <f t="array" ref="X48">SUM(_xlfn.ANCHORARRAY($R$38)*W48^_xlfn.SEQUENCE($R$34+1,,0))</f>
        <v>0.99940520427684809</v>
      </c>
    </row>
    <row r="49" spans="1:24">
      <c r="A49">
        <v>18.2</v>
      </c>
      <c r="B49" s="7">
        <v>0.99855799999999995</v>
      </c>
      <c r="J49">
        <v>16.3</v>
      </c>
      <c r="K49">
        <v>0.99889300000000003</v>
      </c>
      <c r="W49">
        <v>14</v>
      </c>
      <c r="X49" cm="1">
        <f t="array" ref="X49">SUM(_xlfn.ANCHORARRAY($R$38)*W49^_xlfn.SEQUENCE($R$34+1,,0))</f>
        <v>0.9992665444005473</v>
      </c>
    </row>
    <row r="50" spans="1:24">
      <c r="A50">
        <v>18.3</v>
      </c>
      <c r="B50" s="7">
        <v>0.99853899999999995</v>
      </c>
      <c r="J50">
        <v>16.399999999999999</v>
      </c>
      <c r="K50">
        <v>0.99887700000000001</v>
      </c>
      <c r="W50">
        <v>15</v>
      </c>
      <c r="X50" cm="1">
        <f t="array" ref="X50">SUM(_xlfn.ANCHORARRAY($R$38)*W50^_xlfn.SEQUENCE($R$34+1,,0))</f>
        <v>0.99911614686016803</v>
      </c>
    </row>
    <row r="51" spans="1:24">
      <c r="A51">
        <v>18.399999999999999</v>
      </c>
      <c r="B51" s="7">
        <v>0.99851999999999996</v>
      </c>
      <c r="J51">
        <v>16.5</v>
      </c>
      <c r="K51">
        <v>0.99885999999999997</v>
      </c>
      <c r="R51" cm="1">
        <f t="array" ref="R51:R58">TEMP_PRES_COEF(7)</f>
        <v>0.99979954771242774</v>
      </c>
      <c r="W51">
        <v>16</v>
      </c>
      <c r="X51" cm="1">
        <f t="array" ref="X51">SUM(_xlfn.ANCHORARRAY($R$38)*W51^_xlfn.SEQUENCE($R$34+1,,0))</f>
        <v>0.99895445798745186</v>
      </c>
    </row>
    <row r="52" spans="1:24">
      <c r="A52">
        <v>18.5</v>
      </c>
      <c r="B52" s="7">
        <v>0.99850099999999997</v>
      </c>
      <c r="J52">
        <v>16.600000000000001</v>
      </c>
      <c r="K52">
        <v>0.99884300000000004</v>
      </c>
      <c r="R52">
        <v>1.0412721667307778E-4</v>
      </c>
      <c r="W52">
        <v>17</v>
      </c>
      <c r="X52" cm="1">
        <f t="array" ref="X52">SUM(_xlfn.ANCHORARRAY($R$38)*W52^_xlfn.SEQUENCE($R$34+1,,0))</f>
        <v>0.99878187009615593</v>
      </c>
    </row>
    <row r="53" spans="1:24">
      <c r="A53">
        <v>18.600000000000001</v>
      </c>
      <c r="B53" s="7">
        <v>0.99848199999999998</v>
      </c>
      <c r="J53">
        <v>16.7</v>
      </c>
      <c r="K53">
        <v>0.99882599999999999</v>
      </c>
      <c r="R53">
        <v>-1.3696223447823286E-5</v>
      </c>
      <c r="W53">
        <v>18</v>
      </c>
      <c r="X53" cm="1">
        <f t="array" ref="X53">SUM(_xlfn.ANCHORARRAY($R$38)*W53^_xlfn.SEQUENCE($R$34+1,,0))</f>
        <v>0.99859872675888328</v>
      </c>
    </row>
    <row r="54" spans="1:24">
      <c r="A54">
        <v>18.7</v>
      </c>
      <c r="B54" s="7">
        <v>0.99846299999999999</v>
      </c>
      <c r="J54">
        <v>16.8</v>
      </c>
      <c r="K54">
        <v>0.99880899999999995</v>
      </c>
      <c r="R54">
        <v>3.3852673908540964E-7</v>
      </c>
      <c r="W54">
        <v>19</v>
      </c>
      <c r="X54" cm="1">
        <f t="array" ref="X54">SUM(_xlfn.ANCHORARRAY($R$38)*W54^_xlfn.SEQUENCE($R$34+1,,0))</f>
        <v>0.99840532777904656</v>
      </c>
    </row>
    <row r="55" spans="1:24">
      <c r="A55">
        <v>18.8</v>
      </c>
      <c r="B55" s="7">
        <v>0.998444</v>
      </c>
      <c r="J55">
        <v>16.899999999999999</v>
      </c>
      <c r="K55">
        <v>0.99879200000000001</v>
      </c>
      <c r="R55">
        <v>-7.2957485608426964E-9</v>
      </c>
      <c r="W55">
        <v>20</v>
      </c>
      <c r="X55" cm="1">
        <f t="array" ref="X55">SUM(_xlfn.ANCHORARRAY($R$38)*W55^_xlfn.SEQUENCE($R$34+1,,0))</f>
        <v>0.99820193386592959</v>
      </c>
    </row>
    <row r="56" spans="1:24">
      <c r="A56">
        <v>18.899999999999999</v>
      </c>
      <c r="B56" s="7">
        <v>0.99842399999999998</v>
      </c>
      <c r="J56">
        <v>17</v>
      </c>
      <c r="K56">
        <v>0.99877400000000005</v>
      </c>
      <c r="R56">
        <v>9.1825159455327654E-11</v>
      </c>
      <c r="W56">
        <v>21</v>
      </c>
      <c r="X56" cm="1">
        <f t="array" ref="X56">SUM(_xlfn.ANCHORARRAY($R$38)*W56^_xlfn.SEQUENCE($R$34+1,,0))</f>
        <v>0.99798877102081274</v>
      </c>
    </row>
    <row r="57" spans="1:24">
      <c r="A57">
        <v>19</v>
      </c>
      <c r="B57" s="7">
        <v>0.99840499999999999</v>
      </c>
      <c r="J57">
        <v>17.100000000000001</v>
      </c>
      <c r="K57">
        <v>0.99875700000000001</v>
      </c>
      <c r="R57">
        <v>-6.0040815770762493E-13</v>
      </c>
      <c r="W57">
        <v>22</v>
      </c>
      <c r="X57" cm="1">
        <f t="array" ref="X57">SUM(_xlfn.ANCHORARRAY($R$38)*W57^_xlfn.SEQUENCE($R$34+1,,0))</f>
        <v>0.9977660346421251</v>
      </c>
    </row>
    <row r="58" spans="1:24">
      <c r="A58">
        <v>19.100000000000001</v>
      </c>
      <c r="B58" s="7">
        <v>0.99838499999999997</v>
      </c>
      <c r="J58">
        <v>17.2</v>
      </c>
      <c r="K58">
        <v>0.99873900000000004</v>
      </c>
      <c r="R58">
        <v>1.5802094198045721E-15</v>
      </c>
      <c r="W58">
        <v>23</v>
      </c>
      <c r="X58" cm="1">
        <f t="array" ref="X58">SUM(_xlfn.ANCHORARRAY($R$38)*W58^_xlfn.SEQUENCE($R$34+1,,0))</f>
        <v>0.99753389335758658</v>
      </c>
    </row>
    <row r="59" spans="1:24">
      <c r="A59">
        <v>19.2</v>
      </c>
      <c r="B59" s="7">
        <v>0.99836499999999995</v>
      </c>
      <c r="J59">
        <v>17.3</v>
      </c>
      <c r="K59">
        <v>0.998722</v>
      </c>
      <c r="W59">
        <v>24</v>
      </c>
      <c r="X59" cm="1">
        <f t="array" ref="X59">SUM(_xlfn.ANCHORARRAY($R$38)*W59^_xlfn.SEQUENCE($R$34+1,,0))</f>
        <v>0.99729249259130803</v>
      </c>
    </row>
    <row r="60" spans="1:24">
      <c r="A60">
        <v>19.3</v>
      </c>
      <c r="B60" s="7">
        <v>0.99834500000000004</v>
      </c>
      <c r="J60">
        <v>17.399999999999999</v>
      </c>
      <c r="K60">
        <v>0.99870400000000004</v>
      </c>
      <c r="W60">
        <v>25</v>
      </c>
      <c r="X60" cm="1">
        <f t="array" ref="X60">SUM(_xlfn.ANCHORARRAY($R$38)*W60^_xlfn.SEQUENCE($R$34+1,,0))</f>
        <v>0.99704195787380812</v>
      </c>
    </row>
    <row r="61" spans="1:24">
      <c r="A61">
        <v>19.399999999999999</v>
      </c>
      <c r="B61" s="7">
        <v>0.99832500000000002</v>
      </c>
      <c r="J61">
        <v>17.5</v>
      </c>
      <c r="K61">
        <v>0.99868599999999996</v>
      </c>
      <c r="W61">
        <v>26</v>
      </c>
      <c r="X61" cm="1">
        <f t="array" ref="X61">SUM(_xlfn.ANCHORARRAY($R$38)*W61^_xlfn.SEQUENCE($R$34+1,,0))</f>
        <v>0.99678239790291656</v>
      </c>
    </row>
    <row r="62" spans="1:24">
      <c r="A62">
        <v>19.5</v>
      </c>
      <c r="B62" s="7">
        <v>0.998305</v>
      </c>
      <c r="J62">
        <v>17.600000000000001</v>
      </c>
      <c r="K62">
        <v>0.998668</v>
      </c>
      <c r="W62">
        <v>27</v>
      </c>
      <c r="X62" cm="1">
        <f t="array" ref="X62">SUM(_xlfn.ANCHORARRAY($R$38)*W62^_xlfn.SEQUENCE($R$34+1,,0))</f>
        <v>0.99651390736352474</v>
      </c>
    </row>
    <row r="63" spans="1:24">
      <c r="A63">
        <v>19.600000000000001</v>
      </c>
      <c r="B63" s="7">
        <v>0.99828499999999998</v>
      </c>
      <c r="J63">
        <v>17.7</v>
      </c>
      <c r="K63">
        <v>0.99865000000000004</v>
      </c>
      <c r="W63">
        <v>28</v>
      </c>
      <c r="X63" cm="1">
        <f t="array" ref="X63">SUM(_xlfn.ANCHORARRAY($R$38)*W63^_xlfn.SEQUENCE($R$34+1,,0))</f>
        <v>0.99623656951414852</v>
      </c>
    </row>
    <row r="64" spans="1:24">
      <c r="A64">
        <v>19.7</v>
      </c>
      <c r="B64" s="7">
        <v>0.99826499999999996</v>
      </c>
      <c r="J64">
        <v>17.8</v>
      </c>
      <c r="K64">
        <v>0.99863199999999996</v>
      </c>
      <c r="W64">
        <v>29</v>
      </c>
      <c r="X64" cm="1">
        <f t="array" ref="X64">SUM(_xlfn.ANCHORARRAY($R$38)*W64^_xlfn.SEQUENCE($R$34+1,,0))</f>
        <v>0.99595045854826814</v>
      </c>
    </row>
    <row r="65" spans="1:24">
      <c r="A65">
        <v>19.8</v>
      </c>
      <c r="B65" s="7">
        <v>0.99824400000000002</v>
      </c>
      <c r="J65">
        <v>17.899999999999999</v>
      </c>
      <c r="K65">
        <v>0.99861299999999997</v>
      </c>
      <c r="W65">
        <v>30</v>
      </c>
      <c r="X65" cm="1">
        <f t="array" ref="X65">SUM(_xlfn.ANCHORARRAY($R$38)*W65^_xlfn.SEQUENCE($R$34+1,,0))</f>
        <v>0.99565564173840937</v>
      </c>
    </row>
    <row r="66" spans="1:24">
      <c r="A66">
        <v>19.899999999999999</v>
      </c>
      <c r="B66" s="7">
        <v>0.998224</v>
      </c>
      <c r="J66">
        <v>18</v>
      </c>
      <c r="K66">
        <v>0.99859500000000001</v>
      </c>
      <c r="W66">
        <v>31</v>
      </c>
      <c r="X66" cm="1">
        <f t="array" ref="X66">SUM(_xlfn.ANCHORARRAY($R$38)*W66^_xlfn.SEQUENCE($R$34+1,,0))</f>
        <v>0.99535218137092973</v>
      </c>
    </row>
    <row r="67" spans="1:24">
      <c r="A67">
        <v>20</v>
      </c>
      <c r="B67" s="7">
        <v>0.99820299999999995</v>
      </c>
      <c r="J67">
        <v>18.100000000000001</v>
      </c>
      <c r="K67">
        <v>0.99857600000000002</v>
      </c>
      <c r="W67">
        <v>32</v>
      </c>
      <c r="X67" cm="1">
        <f t="array" ref="X67">SUM(_xlfn.ANCHORARRAY($R$38)*W67^_xlfn.SEQUENCE($R$34+1,,0))</f>
        <v>0.99504013647947431</v>
      </c>
    </row>
    <row r="68" spans="1:24">
      <c r="A68">
        <v>20.100000000000001</v>
      </c>
      <c r="B68" s="7">
        <v>0.99818300000000004</v>
      </c>
      <c r="J68">
        <v>18.2</v>
      </c>
      <c r="K68">
        <v>0.99855799999999995</v>
      </c>
      <c r="W68">
        <v>33</v>
      </c>
      <c r="X68" cm="1">
        <f t="array" ref="X68">SUM(_xlfn.ANCHORARRAY($R$38)*W68^_xlfn.SEQUENCE($R$34+1,,0))</f>
        <v>0.99471956438506492</v>
      </c>
    </row>
    <row r="69" spans="1:24">
      <c r="A69">
        <v>20.2</v>
      </c>
      <c r="B69" s="7">
        <v>0.99816199999999999</v>
      </c>
      <c r="J69">
        <v>18.3</v>
      </c>
      <c r="K69">
        <v>0.99853899999999995</v>
      </c>
      <c r="W69">
        <v>34</v>
      </c>
      <c r="X69" cm="1">
        <f t="array" ref="X69">SUM(_xlfn.ANCHORARRAY($R$38)*W69^_xlfn.SEQUENCE($R$34+1,,0))</f>
        <v>0.99439052205078771</v>
      </c>
    </row>
    <row r="70" spans="1:24">
      <c r="A70">
        <v>20.3</v>
      </c>
      <c r="B70" s="7">
        <v>0.99814099999999994</v>
      </c>
      <c r="J70">
        <v>18.399999999999999</v>
      </c>
      <c r="K70">
        <v>0.99851999999999996</v>
      </c>
      <c r="W70">
        <v>35</v>
      </c>
      <c r="X70" cm="1">
        <f t="array" ref="X70">SUM(_xlfn.ANCHORARRAY($R$38)*W70^_xlfn.SEQUENCE($R$34+1,,0))</f>
        <v>0.99405306725904419</v>
      </c>
    </row>
    <row r="71" spans="1:24">
      <c r="A71">
        <v>20.399999999999999</v>
      </c>
      <c r="B71" s="7">
        <v>0.99812000000000001</v>
      </c>
      <c r="J71">
        <v>18.5</v>
      </c>
      <c r="K71">
        <v>0.99850099999999997</v>
      </c>
      <c r="W71">
        <v>36</v>
      </c>
      <c r="X71" cm="1">
        <f t="array" ref="X71">SUM(_xlfn.ANCHORARRAY($R$38)*W71^_xlfn.SEQUENCE($R$34+1,,0))</f>
        <v>0.99370725961932538</v>
      </c>
    </row>
    <row r="72" spans="1:24">
      <c r="A72">
        <v>20.5</v>
      </c>
      <c r="B72" s="7">
        <v>0.99809899999999996</v>
      </c>
      <c r="J72">
        <v>18.600000000000001</v>
      </c>
      <c r="K72">
        <v>0.99848199999999998</v>
      </c>
      <c r="W72">
        <v>37</v>
      </c>
      <c r="X72" cm="1">
        <f t="array" ref="X72">SUM(_xlfn.ANCHORARRAY($R$38)*W72^_xlfn.SEQUENCE($R$34+1,,0))</f>
        <v>0.99335316141448138</v>
      </c>
    </row>
    <row r="73" spans="1:24">
      <c r="A73">
        <v>20.6</v>
      </c>
      <c r="B73" s="7">
        <v>0.99807800000000002</v>
      </c>
      <c r="J73">
        <v>18.7</v>
      </c>
      <c r="K73">
        <v>0.99846299999999999</v>
      </c>
      <c r="W73">
        <v>38</v>
      </c>
      <c r="X73" cm="1">
        <f t="array" ref="X73">SUM(_xlfn.ANCHORARRAY($R$38)*W73^_xlfn.SEQUENCE($R$34+1,,0))</f>
        <v>0.99299083829344281</v>
      </c>
    </row>
    <row r="74" spans="1:24">
      <c r="A74">
        <v>20.7</v>
      </c>
      <c r="B74" s="7">
        <v>0.99805600000000005</v>
      </c>
      <c r="J74">
        <v>18.8</v>
      </c>
      <c r="K74">
        <v>0.998444</v>
      </c>
      <c r="W74">
        <v>39</v>
      </c>
      <c r="X74" cm="1">
        <f t="array" ref="X74">SUM(_xlfn.ANCHORARRAY($R$38)*W74^_xlfn.SEQUENCE($R$34+1,,0))</f>
        <v>0.99262035981836194</v>
      </c>
    </row>
    <row r="75" spans="1:24">
      <c r="A75">
        <v>20.8</v>
      </c>
      <c r="B75" s="7">
        <v>0.99803500000000001</v>
      </c>
      <c r="J75">
        <v>18.899999999999999</v>
      </c>
      <c r="K75">
        <v>0.99842399999999998</v>
      </c>
      <c r="W75">
        <v>40</v>
      </c>
      <c r="X75" cm="1">
        <f t="array" ref="X75">SUM(_xlfn.ANCHORARRAY($R$38)*W75^_xlfn.SEQUENCE($R$34+1,,0))</f>
        <v>0.99224179987413841</v>
      </c>
    </row>
    <row r="76" spans="1:24">
      <c r="A76">
        <v>20.9</v>
      </c>
      <c r="B76" s="7">
        <v>0.99801300000000004</v>
      </c>
      <c r="J76">
        <v>19</v>
      </c>
      <c r="K76">
        <v>0.99840499999999999</v>
      </c>
      <c r="W76">
        <v>41</v>
      </c>
      <c r="X76" cm="1">
        <f t="array" ref="X76">SUM(_xlfn.ANCHORARRAY($R$38)*W76^_xlfn.SEQUENCE($R$34+1,,0))</f>
        <v>0.99185523694829258</v>
      </c>
    </row>
    <row r="77" spans="1:24">
      <c r="A77">
        <v>21</v>
      </c>
      <c r="B77" s="7">
        <v>0.99799199999999999</v>
      </c>
      <c r="J77">
        <v>19.100000000000001</v>
      </c>
      <c r="K77">
        <v>0.99838499999999997</v>
      </c>
      <c r="W77">
        <v>42</v>
      </c>
      <c r="X77" cm="1">
        <f t="array" ref="X77">SUM(_xlfn.ANCHORARRAY($R$38)*W77^_xlfn.SEQUENCE($R$34+1,,0))</f>
        <v>0.99146075428915004</v>
      </c>
    </row>
    <row r="78" spans="1:24">
      <c r="A78">
        <v>21.1</v>
      </c>
      <c r="B78" s="7">
        <v>0.99797000000000002</v>
      </c>
      <c r="J78">
        <v>19.2</v>
      </c>
      <c r="K78">
        <v>0.99836499999999995</v>
      </c>
      <c r="W78">
        <v>43</v>
      </c>
      <c r="X78" cm="1">
        <f t="array" ref="X78">SUM(_xlfn.ANCHORARRAY($R$38)*W78^_xlfn.SEQUENCE($R$34+1,,0))</f>
        <v>0.99105843995030374</v>
      </c>
    </row>
    <row r="79" spans="1:24">
      <c r="A79">
        <v>21.2</v>
      </c>
      <c r="B79" s="7">
        <v>0.99794799999999995</v>
      </c>
      <c r="J79">
        <v>19.3</v>
      </c>
      <c r="K79">
        <v>0.99834500000000004</v>
      </c>
      <c r="W79">
        <v>44</v>
      </c>
      <c r="X79" cm="1">
        <f t="array" ref="X79">SUM(_xlfn.ANCHORARRAY($R$38)*W79^_xlfn.SEQUENCE($R$34+1,,0))</f>
        <v>0.99064838672931543</v>
      </c>
    </row>
    <row r="80" spans="1:24">
      <c r="A80">
        <v>21.3</v>
      </c>
      <c r="B80" s="7">
        <v>0.99792599999999998</v>
      </c>
      <c r="J80">
        <v>19.399999999999999</v>
      </c>
      <c r="K80">
        <v>0.99832500000000002</v>
      </c>
      <c r="W80">
        <v>45</v>
      </c>
      <c r="X80" cm="1">
        <f t="array" ref="X80">SUM(_xlfn.ANCHORARRAY($R$38)*W80^_xlfn.SEQUENCE($R$34+1,,0))</f>
        <v>0.99023069200862324</v>
      </c>
    </row>
    <row r="81" spans="1:24">
      <c r="A81">
        <v>21.4</v>
      </c>
      <c r="B81" s="7">
        <v>0.99790400000000001</v>
      </c>
      <c r="J81">
        <v>19.5</v>
      </c>
      <c r="K81">
        <v>0.998305</v>
      </c>
      <c r="W81">
        <v>46</v>
      </c>
      <c r="X81" cm="1">
        <f t="array" ref="X81">SUM(_xlfn.ANCHORARRAY($R$38)*W81^_xlfn.SEQUENCE($R$34+1,,0))</f>
        <v>0.98980545750661753</v>
      </c>
    </row>
    <row r="82" spans="1:24">
      <c r="A82">
        <v>21.5</v>
      </c>
      <c r="B82" s="7">
        <v>0.99788200000000005</v>
      </c>
      <c r="J82">
        <v>19.600000000000001</v>
      </c>
      <c r="K82">
        <v>0.99828499999999998</v>
      </c>
      <c r="W82">
        <v>47</v>
      </c>
      <c r="X82" cm="1">
        <f t="array" ref="X82">SUM(_xlfn.ANCHORARRAY($R$38)*W82^_xlfn.SEQUENCE($R$34+1,,0))</f>
        <v>0.98937278894684966</v>
      </c>
    </row>
    <row r="83" spans="1:24">
      <c r="A83">
        <v>21.6</v>
      </c>
      <c r="B83" s="7">
        <v>0.99785999999999997</v>
      </c>
      <c r="J83">
        <v>19.7</v>
      </c>
      <c r="K83">
        <v>0.99826499999999996</v>
      </c>
      <c r="W83">
        <v>48</v>
      </c>
      <c r="X83" cm="1">
        <f t="array" ref="X83">SUM(_xlfn.ANCHORARRAY($R$38)*W83^_xlfn.SEQUENCE($R$34+1,,0))</f>
        <v>0.98893279565334069</v>
      </c>
    </row>
    <row r="84" spans="1:24">
      <c r="A84">
        <v>21.7</v>
      </c>
      <c r="B84" s="7">
        <v>0.99783699999999997</v>
      </c>
      <c r="J84">
        <v>19.8</v>
      </c>
      <c r="K84">
        <v>0.99824400000000002</v>
      </c>
      <c r="W84">
        <v>49</v>
      </c>
      <c r="X84" cm="1">
        <f t="array" ref="X84">SUM(_xlfn.ANCHORARRAY($R$38)*W84^_xlfn.SEQUENCE($R$34+1,,0))</f>
        <v>0.9884855900799483</v>
      </c>
    </row>
    <row r="85" spans="1:24">
      <c r="A85">
        <v>21.8</v>
      </c>
      <c r="B85" s="7">
        <v>0.99781500000000001</v>
      </c>
      <c r="J85">
        <v>19.899999999999999</v>
      </c>
      <c r="K85">
        <v>0.998224</v>
      </c>
      <c r="W85">
        <v>50</v>
      </c>
      <c r="X85" cm="1">
        <f t="array" ref="X85">SUM(_xlfn.ANCHORARRAY($R$38)*W85^_xlfn.SEQUENCE($R$34+1,,0))</f>
        <v>0.98803128728176326</v>
      </c>
    </row>
    <row r="86" spans="1:24">
      <c r="A86">
        <v>21.9</v>
      </c>
      <c r="B86" s="7">
        <v>0.99779200000000001</v>
      </c>
      <c r="J86">
        <v>20</v>
      </c>
      <c r="K86">
        <v>0.99820299999999995</v>
      </c>
      <c r="W86">
        <v>51</v>
      </c>
      <c r="X86" cm="1">
        <f t="array" ref="X86">SUM(_xlfn.ANCHORARRAY($R$38)*W86^_xlfn.SEQUENCE($R$34+1,,0))</f>
        <v>0.98757000433649467</v>
      </c>
    </row>
    <row r="87" spans="1:24">
      <c r="A87">
        <v>22</v>
      </c>
      <c r="B87" s="7">
        <v>0.99777000000000005</v>
      </c>
      <c r="J87">
        <v>20.100000000000001</v>
      </c>
      <c r="K87">
        <v>0.99818300000000004</v>
      </c>
      <c r="W87">
        <v>52</v>
      </c>
      <c r="X87" cm="1">
        <f t="array" ref="X87">SUM(_xlfn.ANCHORARRAY($R$38)*W87^_xlfn.SEQUENCE($R$34+1,,0))</f>
        <v>0.98710185972380948</v>
      </c>
    </row>
    <row r="88" spans="1:24">
      <c r="A88">
        <v>22.1</v>
      </c>
      <c r="B88" s="7">
        <v>0.99774700000000005</v>
      </c>
      <c r="J88">
        <v>20.2</v>
      </c>
      <c r="K88">
        <v>0.99816199999999999</v>
      </c>
      <c r="W88">
        <v>53</v>
      </c>
      <c r="X88" cm="1">
        <f t="array" ref="X88">SUM(_xlfn.ANCHORARRAY($R$38)*W88^_xlfn.SEQUENCE($R$34+1,,0))</f>
        <v>0.98662697267059185</v>
      </c>
    </row>
    <row r="89" spans="1:24">
      <c r="A89">
        <v>22.2</v>
      </c>
      <c r="B89" s="7">
        <v>0.99772400000000006</v>
      </c>
      <c r="J89">
        <v>20.3</v>
      </c>
      <c r="K89">
        <v>0.99814099999999994</v>
      </c>
      <c r="W89">
        <v>54</v>
      </c>
      <c r="X89" cm="1">
        <f t="array" ref="X89">SUM(_xlfn.ANCHORARRAY($R$38)*W89^_xlfn.SEQUENCE($R$34+1,,0))</f>
        <v>0.98614546247008583</v>
      </c>
    </row>
    <row r="90" spans="1:24">
      <c r="A90">
        <v>22.3</v>
      </c>
      <c r="B90" s="7">
        <v>0.99770099999999995</v>
      </c>
      <c r="J90">
        <v>20.399999999999999</v>
      </c>
      <c r="K90">
        <v>0.99812000000000001</v>
      </c>
      <c r="W90">
        <v>55</v>
      </c>
      <c r="X90" cm="1">
        <f t="array" ref="X90">SUM(_xlfn.ANCHORARRAY($R$38)*W90^_xlfn.SEQUENCE($R$34+1,,0))</f>
        <v>0.985657447782884</v>
      </c>
    </row>
    <row r="91" spans="1:24">
      <c r="A91">
        <v>22.4</v>
      </c>
      <c r="B91" s="7">
        <v>0.99767799999999995</v>
      </c>
      <c r="J91">
        <v>20.5</v>
      </c>
      <c r="K91">
        <v>0.99809899999999996</v>
      </c>
      <c r="W91">
        <v>56</v>
      </c>
      <c r="X91" cm="1">
        <f t="array" ref="X91">SUM(_xlfn.ANCHORARRAY($R$38)*W91^_xlfn.SEQUENCE($R$34+1,,0))</f>
        <v>0.98516304592772919</v>
      </c>
    </row>
    <row r="92" spans="1:24">
      <c r="A92">
        <v>22.5</v>
      </c>
      <c r="B92" s="7">
        <v>0.99765499999999996</v>
      </c>
      <c r="J92">
        <v>20.6</v>
      </c>
      <c r="K92">
        <v>0.99807800000000002</v>
      </c>
      <c r="W92">
        <v>57</v>
      </c>
      <c r="X92" cm="1">
        <f t="array" ref="X92">SUM(_xlfn.ANCHORARRAY($R$38)*W92^_xlfn.SEQUENCE($R$34+1,,0))</f>
        <v>0.98466237217009178</v>
      </c>
    </row>
    <row r="93" spans="1:24">
      <c r="A93">
        <v>22.6</v>
      </c>
      <c r="B93" s="7">
        <v>0.99763199999999996</v>
      </c>
      <c r="J93">
        <v>20.7</v>
      </c>
      <c r="K93">
        <v>0.99805600000000005</v>
      </c>
      <c r="W93">
        <v>58</v>
      </c>
      <c r="X93" cm="1">
        <f t="array" ref="X93">SUM(_xlfn.ANCHORARRAY($R$38)*W93^_xlfn.SEQUENCE($R$34+1,,0))</f>
        <v>0.98415553901648656</v>
      </c>
    </row>
    <row r="94" spans="1:24">
      <c r="A94">
        <v>22.7</v>
      </c>
      <c r="B94" s="7">
        <v>0.99760800000000005</v>
      </c>
      <c r="J94">
        <v>20.8</v>
      </c>
      <c r="K94">
        <v>0.99803500000000001</v>
      </c>
      <c r="W94">
        <v>59</v>
      </c>
      <c r="X94" cm="1">
        <f t="array" ref="X94">SUM(_xlfn.ANCHORARRAY($R$38)*W94^_xlfn.SEQUENCE($R$34+1,,0))</f>
        <v>0.98364265552249508</v>
      </c>
    </row>
    <row r="95" spans="1:24">
      <c r="A95">
        <v>22.8</v>
      </c>
      <c r="B95" s="7">
        <v>0.99758500000000006</v>
      </c>
      <c r="J95">
        <v>20.9</v>
      </c>
      <c r="K95">
        <v>0.99801300000000004</v>
      </c>
      <c r="W95">
        <v>60</v>
      </c>
      <c r="X95" cm="1">
        <f t="array" ref="X95">SUM(_xlfn.ANCHORARRAY($R$38)*W95^_xlfn.SEQUENCE($R$34+1,,0))</f>
        <v>0.98312382662245568</v>
      </c>
    </row>
    <row r="96" spans="1:24">
      <c r="A96">
        <v>22.9</v>
      </c>
      <c r="B96" s="7">
        <v>0.99756100000000003</v>
      </c>
      <c r="J96">
        <v>21</v>
      </c>
      <c r="K96">
        <v>0.99799199999999999</v>
      </c>
      <c r="W96">
        <v>61</v>
      </c>
      <c r="X96" cm="1">
        <f t="array" ref="X96">SUM(_xlfn.ANCHORARRAY($R$38)*W96^_xlfn.SEQUENCE($R$34+1,,0))</f>
        <v>0.98259915248878726</v>
      </c>
    </row>
    <row r="97" spans="1:24">
      <c r="A97">
        <v>23</v>
      </c>
      <c r="B97" s="7">
        <v>0.99753800000000004</v>
      </c>
      <c r="J97">
        <v>21.1</v>
      </c>
      <c r="K97">
        <v>0.99797000000000002</v>
      </c>
      <c r="W97">
        <v>62</v>
      </c>
      <c r="X97" cm="1">
        <f t="array" ref="X97">SUM(_xlfn.ANCHORARRAY($R$38)*W97^_xlfn.SEQUENCE($R$34+1,,0))</f>
        <v>0.98206872792890887</v>
      </c>
    </row>
    <row r="98" spans="1:24">
      <c r="A98">
        <v>23.1</v>
      </c>
      <c r="B98" s="7">
        <v>0.99751400000000001</v>
      </c>
      <c r="J98">
        <v>21.2</v>
      </c>
      <c r="K98">
        <v>0.99794799999999995</v>
      </c>
      <c r="W98">
        <v>63</v>
      </c>
      <c r="X98" cm="1">
        <f t="array" ref="X98">SUM(_xlfn.ANCHORARRAY($R$38)*W98^_xlfn.SEQUENCE($R$34+1,,0))</f>
        <v>0.98153264182772371</v>
      </c>
    </row>
    <row r="99" spans="1:24">
      <c r="A99">
        <v>23.2</v>
      </c>
      <c r="B99" s="7">
        <v>0.99748999999999999</v>
      </c>
      <c r="J99">
        <v>21.3</v>
      </c>
      <c r="K99">
        <v>0.99792599999999998</v>
      </c>
      <c r="W99">
        <v>64</v>
      </c>
      <c r="X99" cm="1">
        <f t="array" ref="X99">SUM(_xlfn.ANCHORARRAY($R$38)*W99^_xlfn.SEQUENCE($R$34+1,,0))</f>
        <v>0.98099097664362489</v>
      </c>
    </row>
    <row r="100" spans="1:24">
      <c r="A100">
        <v>23.3</v>
      </c>
      <c r="B100" s="7">
        <v>0.99746599999999996</v>
      </c>
      <c r="J100">
        <v>21.4</v>
      </c>
      <c r="K100">
        <v>0.99790400000000001</v>
      </c>
      <c r="W100">
        <v>65</v>
      </c>
      <c r="X100" cm="1">
        <f t="array" ref="X100">SUM(_xlfn.ANCHORARRAY($R$38)*W100^_xlfn.SEQUENCE($R$34+1,,0))</f>
        <v>0.98044380796599429</v>
      </c>
    </row>
    <row r="101" spans="1:24">
      <c r="A101">
        <v>23.4</v>
      </c>
      <c r="B101" s="7">
        <v>0.99744200000000005</v>
      </c>
      <c r="J101">
        <v>21.5</v>
      </c>
      <c r="K101">
        <v>0.99788200000000005</v>
      </c>
      <c r="W101">
        <v>66</v>
      </c>
      <c r="X101" cm="1">
        <f t="array" ref="X101">SUM(_xlfn.ANCHORARRAY($R$38)*W101^_xlfn.SEQUENCE($R$34+1,,0))</f>
        <v>0.97989120414215436</v>
      </c>
    </row>
    <row r="102" spans="1:24">
      <c r="A102">
        <v>23.5</v>
      </c>
      <c r="B102" s="7">
        <v>0.99741800000000003</v>
      </c>
      <c r="J102">
        <v>21.6</v>
      </c>
      <c r="K102">
        <v>0.99785999999999997</v>
      </c>
      <c r="W102">
        <v>67</v>
      </c>
      <c r="X102" cm="1">
        <f t="array" ref="X102">SUM(_xlfn.ANCHORARRAY($R$38)*W102^_xlfn.SEQUENCE($R$34+1,,0))</f>
        <v>0.97933322598173833</v>
      </c>
    </row>
    <row r="103" spans="1:24">
      <c r="A103">
        <v>23.6</v>
      </c>
      <c r="B103" s="7">
        <v>0.997394</v>
      </c>
      <c r="J103">
        <v>21.7</v>
      </c>
      <c r="K103">
        <v>0.99783699999999997</v>
      </c>
      <c r="W103">
        <v>68</v>
      </c>
      <c r="X103" cm="1">
        <f t="array" ref="X103">SUM(_xlfn.ANCHORARRAY($R$38)*W103^_xlfn.SEQUENCE($R$34+1,,0))</f>
        <v>0.97876992654644324</v>
      </c>
    </row>
    <row r="104" spans="1:24">
      <c r="A104">
        <v>23.7</v>
      </c>
      <c r="B104" s="7">
        <v>0.99736899999999995</v>
      </c>
      <c r="J104">
        <v>21.8</v>
      </c>
      <c r="K104">
        <v>0.99781500000000001</v>
      </c>
      <c r="W104">
        <v>69</v>
      </c>
      <c r="X104" cm="1">
        <f t="array" ref="X104">SUM(_xlfn.ANCHORARRAY($R$38)*W104^_xlfn.SEQUENCE($R$34+1,,0))</f>
        <v>0.97820135103313055</v>
      </c>
    </row>
    <row r="105" spans="1:24">
      <c r="A105">
        <v>23.8</v>
      </c>
      <c r="B105" s="7">
        <v>0.99734500000000004</v>
      </c>
      <c r="J105">
        <v>21.9</v>
      </c>
      <c r="K105">
        <v>0.99779200000000001</v>
      </c>
      <c r="W105">
        <v>70</v>
      </c>
      <c r="X105" cm="1">
        <f t="array" ref="X105">SUM(_xlfn.ANCHORARRAY($R$38)*W105^_xlfn.SEQUENCE($R$34+1,,0))</f>
        <v>0.97762753675823744</v>
      </c>
    </row>
    <row r="106" spans="1:24">
      <c r="A106">
        <v>23.9</v>
      </c>
      <c r="B106" s="7">
        <v>0.99731999999999998</v>
      </c>
      <c r="J106">
        <v>22</v>
      </c>
      <c r="K106">
        <v>0.99777000000000005</v>
      </c>
      <c r="W106">
        <v>71</v>
      </c>
      <c r="X106" cm="1">
        <f t="array" ref="X106">SUM(_xlfn.ANCHORARRAY($R$38)*W106^_xlfn.SEQUENCE($R$34+1,,0))</f>
        <v>0.97704851325146347</v>
      </c>
    </row>
    <row r="107" spans="1:24">
      <c r="A107">
        <v>24</v>
      </c>
      <c r="B107" s="7">
        <v>0.99729599999999996</v>
      </c>
      <c r="J107">
        <v>22.1</v>
      </c>
      <c r="K107">
        <v>0.99774700000000005</v>
      </c>
      <c r="W107">
        <v>72</v>
      </c>
      <c r="X107" cm="1">
        <f t="array" ref="X107">SUM(_xlfn.ANCHORARRAY($R$38)*W107^_xlfn.SEQUENCE($R$34+1,,0))</f>
        <v>0.97646430246669702</v>
      </c>
    </row>
    <row r="108" spans="1:24">
      <c r="A108">
        <v>24.1</v>
      </c>
      <c r="B108" s="7">
        <v>0.99727100000000002</v>
      </c>
      <c r="J108">
        <v>22.2</v>
      </c>
      <c r="K108">
        <v>0.99772400000000006</v>
      </c>
      <c r="W108">
        <v>73</v>
      </c>
      <c r="X108" cm="1">
        <f t="array" ref="X108">SUM(_xlfn.ANCHORARRAY($R$38)*W108^_xlfn.SEQUENCE($R$34+1,,0))</f>
        <v>0.97587491911814683</v>
      </c>
    </row>
    <row r="109" spans="1:24">
      <c r="A109">
        <v>24.2</v>
      </c>
      <c r="B109" s="7">
        <v>0.99724599999999997</v>
      </c>
      <c r="J109">
        <v>22.3</v>
      </c>
      <c r="K109">
        <v>0.99770099999999995</v>
      </c>
      <c r="W109">
        <v>74</v>
      </c>
      <c r="X109" cm="1">
        <f t="array" ref="X109">SUM(_xlfn.ANCHORARRAY($R$38)*W109^_xlfn.SEQUENCE($R$34+1,,0))</f>
        <v>0.97528037114964017</v>
      </c>
    </row>
    <row r="110" spans="1:24">
      <c r="A110">
        <v>24.3</v>
      </c>
      <c r="B110" s="7">
        <v>0.99722100000000002</v>
      </c>
      <c r="J110">
        <v>22.4</v>
      </c>
      <c r="K110">
        <v>0.99767799999999995</v>
      </c>
      <c r="W110">
        <v>75</v>
      </c>
      <c r="X110" cm="1">
        <f t="array" ref="X110">SUM(_xlfn.ANCHORARRAY($R$38)*W110^_xlfn.SEQUENCE($R$34+1,,0))</f>
        <v>0.97468066034505385</v>
      </c>
    </row>
    <row r="111" spans="1:24">
      <c r="A111">
        <v>24.4</v>
      </c>
      <c r="B111" s="7">
        <v>0.99719599999999997</v>
      </c>
      <c r="J111">
        <v>22.5</v>
      </c>
      <c r="K111">
        <v>0.99765499999999996</v>
      </c>
      <c r="W111">
        <v>76</v>
      </c>
      <c r="X111" cm="1">
        <f t="array" ref="X111">SUM(_xlfn.ANCHORARRAY($R$38)*W111^_xlfn.SEQUENCE($R$34+1,,0))</f>
        <v>0.97407578308784415</v>
      </c>
    </row>
    <row r="112" spans="1:24">
      <c r="A112">
        <v>24.5</v>
      </c>
      <c r="B112" s="7">
        <v>0.99717100000000003</v>
      </c>
      <c r="J112">
        <v>22.6</v>
      </c>
      <c r="K112">
        <v>0.99763199999999996</v>
      </c>
      <c r="W112">
        <v>77</v>
      </c>
      <c r="X112" cm="1">
        <f t="array" ref="X112">SUM(_xlfn.ANCHORARRAY($R$38)*W112^_xlfn.SEQUENCE($R$34+1,,0))</f>
        <v>0.97346573127763425</v>
      </c>
    </row>
    <row r="113" spans="1:24">
      <c r="A113">
        <v>24.6</v>
      </c>
      <c r="B113" s="7">
        <v>0.99714599999999998</v>
      </c>
      <c r="J113">
        <v>22.7</v>
      </c>
      <c r="K113">
        <v>0.99760800000000005</v>
      </c>
      <c r="W113">
        <v>78</v>
      </c>
      <c r="X113" cm="1">
        <f t="array" ref="X113">SUM(_xlfn.ANCHORARRAY($R$38)*W113^_xlfn.SEQUENCE($R$34+1,,0))</f>
        <v>0.97285049341182972</v>
      </c>
    </row>
    <row r="114" spans="1:24">
      <c r="A114">
        <v>24.7</v>
      </c>
      <c r="B114" s="7">
        <v>0.99712000000000001</v>
      </c>
      <c r="J114">
        <v>22.8</v>
      </c>
      <c r="K114">
        <v>0.99758500000000006</v>
      </c>
      <c r="W114">
        <v>79</v>
      </c>
      <c r="X114" cm="1">
        <f t="array" ref="X114">SUM(_xlfn.ANCHORARRAY($R$38)*W114^_xlfn.SEQUENCE($R$34+1,,0))</f>
        <v>0.97223005584022215</v>
      </c>
    </row>
    <row r="115" spans="1:24">
      <c r="A115">
        <v>24.8</v>
      </c>
      <c r="B115" s="7">
        <v>0.99709499999999995</v>
      </c>
      <c r="J115">
        <v>22.9</v>
      </c>
      <c r="K115">
        <v>0.99756100000000003</v>
      </c>
      <c r="W115">
        <v>80</v>
      </c>
      <c r="X115" cm="1">
        <f t="array" ref="X115">SUM(_xlfn.ANCHORARRAY($R$38)*W115^_xlfn.SEQUENCE($R$34+1,,0))</f>
        <v>0.97160440420054783</v>
      </c>
    </row>
    <row r="116" spans="1:24">
      <c r="A116">
        <v>24.9</v>
      </c>
      <c r="B116" s="7">
        <v>0.99706899999999998</v>
      </c>
      <c r="J116">
        <v>23</v>
      </c>
      <c r="K116">
        <v>0.99753800000000004</v>
      </c>
      <c r="W116">
        <v>81</v>
      </c>
      <c r="X116" cm="1">
        <f t="array" ref="X116">SUM(_xlfn.ANCHORARRAY($R$38)*W116^_xlfn.SEQUENCE($R$34+1,,0))</f>
        <v>0.97097352504296264</v>
      </c>
    </row>
    <row r="117" spans="1:24">
      <c r="A117">
        <v>25</v>
      </c>
      <c r="B117" s="7">
        <v>0.99704400000000004</v>
      </c>
      <c r="J117">
        <v>23.1</v>
      </c>
      <c r="K117">
        <v>0.99751400000000001</v>
      </c>
      <c r="W117">
        <v>82</v>
      </c>
      <c r="X117" cm="1">
        <f t="array" ref="X117">SUM(_xlfn.ANCHORARRAY($R$38)*W117^_xlfn.SEQUENCE($R$34+1,,0))</f>
        <v>0.97033740765140064</v>
      </c>
    </row>
    <row r="118" spans="1:24">
      <c r="A118">
        <v>25.1</v>
      </c>
      <c r="B118" s="7">
        <v>0.99701799999999996</v>
      </c>
      <c r="J118">
        <v>23.2</v>
      </c>
      <c r="K118">
        <v>0.99748999999999999</v>
      </c>
      <c r="W118">
        <v>83</v>
      </c>
      <c r="X118" cm="1">
        <f t="array" ref="X118">SUM(_xlfn.ANCHORARRAY($R$38)*W118^_xlfn.SEQUENCE($R$34+1,,0))</f>
        <v>0.96969604606977977</v>
      </c>
    </row>
    <row r="119" spans="1:24">
      <c r="A119">
        <v>25.2</v>
      </c>
      <c r="B119" s="7">
        <v>0.99699199999999999</v>
      </c>
      <c r="J119">
        <v>23.3</v>
      </c>
      <c r="K119">
        <v>0.99746599999999996</v>
      </c>
      <c r="W119">
        <v>84</v>
      </c>
      <c r="X119" cm="1">
        <f t="array" ref="X119">SUM(_xlfn.ANCHORARRAY($R$38)*W119^_xlfn.SEQUENCE($R$34+1,,0))</f>
        <v>0.969049441341016</v>
      </c>
    </row>
    <row r="120" spans="1:24">
      <c r="A120">
        <v>25.3</v>
      </c>
      <c r="B120" s="7">
        <v>0.99696700000000005</v>
      </c>
      <c r="J120">
        <v>23.4</v>
      </c>
      <c r="K120">
        <v>0.99744200000000005</v>
      </c>
      <c r="W120">
        <v>85</v>
      </c>
      <c r="X120" cm="1">
        <f t="array" ref="X120">SUM(_xlfn.ANCHORARRAY($R$38)*W120^_xlfn.SEQUENCE($R$34+1,,0))</f>
        <v>0.96839760396681485</v>
      </c>
    </row>
    <row r="121" spans="1:24">
      <c r="A121">
        <v>25.4</v>
      </c>
      <c r="B121" s="7">
        <v>0.99694099999999997</v>
      </c>
      <c r="H121" s="1"/>
      <c r="I121" s="1"/>
      <c r="J121">
        <v>23.5</v>
      </c>
      <c r="K121">
        <v>0.99741800000000003</v>
      </c>
      <c r="W121">
        <v>86</v>
      </c>
      <c r="X121" cm="1">
        <f t="array" ref="X121">SUM(_xlfn.ANCHORARRAY($R$38)*W121^_xlfn.SEQUENCE($R$34+1,,0))</f>
        <v>0.96774055659620184</v>
      </c>
    </row>
    <row r="122" spans="1:24">
      <c r="A122">
        <v>25.5</v>
      </c>
      <c r="B122" s="7">
        <v>0.99691399999999997</v>
      </c>
      <c r="J122">
        <v>23.6</v>
      </c>
      <c r="K122">
        <v>0.997394</v>
      </c>
      <c r="W122">
        <v>87</v>
      </c>
      <c r="X122" cm="1">
        <f t="array" ref="X122">SUM(_xlfn.ANCHORARRAY($R$38)*W122^_xlfn.SEQUENCE($R$34+1,,0))</f>
        <v>0.96707833695075462</v>
      </c>
    </row>
    <row r="123" spans="1:24">
      <c r="A123">
        <v>25.6</v>
      </c>
      <c r="B123" s="7">
        <v>0.996888</v>
      </c>
      <c r="J123">
        <v>23.7</v>
      </c>
      <c r="K123">
        <v>0.99736899999999995</v>
      </c>
      <c r="W123">
        <v>88</v>
      </c>
      <c r="X123" cm="1">
        <f t="array" ref="X123">SUM(_xlfn.ANCHORARRAY($R$38)*W123^_xlfn.SEQUENCE($R$34+1,,0))</f>
        <v>0.96641100099450661</v>
      </c>
    </row>
    <row r="124" spans="1:24">
      <c r="A124">
        <v>25.7</v>
      </c>
      <c r="B124" s="7">
        <v>0.99686200000000003</v>
      </c>
      <c r="J124">
        <v>23.8</v>
      </c>
      <c r="K124">
        <v>0.99734500000000004</v>
      </c>
      <c r="W124">
        <v>89</v>
      </c>
      <c r="X124" cm="1">
        <f t="array" ref="X124">SUM(_xlfn.ANCHORARRAY($R$38)*W124^_xlfn.SEQUENCE($R$34+1,,0))</f>
        <v>0.96573862635647867</v>
      </c>
    </row>
    <row r="125" spans="1:24">
      <c r="A125">
        <v>25.8</v>
      </c>
      <c r="B125" s="7">
        <v>0.99683600000000006</v>
      </c>
      <c r="J125">
        <v>23.9</v>
      </c>
      <c r="K125">
        <v>0.99731999999999998</v>
      </c>
      <c r="W125">
        <v>90</v>
      </c>
      <c r="X125" cm="1">
        <f t="array" ref="X125">SUM(_xlfn.ANCHORARRAY($R$38)*W125^_xlfn.SEQUENCE($R$34+1,,0))</f>
        <v>0.96506131601380951</v>
      </c>
    </row>
    <row r="126" spans="1:24">
      <c r="A126">
        <v>25.9</v>
      </c>
      <c r="B126" s="7">
        <v>0.99680899999999995</v>
      </c>
      <c r="J126">
        <v>24</v>
      </c>
      <c r="K126">
        <v>0.99729599999999996</v>
      </c>
      <c r="W126">
        <v>91</v>
      </c>
      <c r="X126" cm="1">
        <f t="array" ref="X126">SUM(_xlfn.ANCHORARRAY($R$38)*W126^_xlfn.SEQUENCE($R$34+1,,0))</f>
        <v>0.96437920224344664</v>
      </c>
    </row>
    <row r="127" spans="1:24">
      <c r="A127">
        <v>26</v>
      </c>
      <c r="B127" s="7">
        <v>0.99678299999999997</v>
      </c>
      <c r="J127">
        <v>24.1</v>
      </c>
      <c r="K127">
        <v>0.99727100000000002</v>
      </c>
      <c r="W127">
        <v>92</v>
      </c>
      <c r="X127" cm="1">
        <f t="array" ref="X127">SUM(_xlfn.ANCHORARRAY($R$38)*W127^_xlfn.SEQUENCE($R$34+1,,0))</f>
        <v>0.96369245085036204</v>
      </c>
    </row>
    <row r="128" spans="1:24">
      <c r="A128">
        <v>26.1</v>
      </c>
      <c r="B128" s="7">
        <v>0.99675599999999998</v>
      </c>
      <c r="J128">
        <v>24.2</v>
      </c>
      <c r="K128">
        <v>0.99724599999999997</v>
      </c>
      <c r="W128">
        <v>93</v>
      </c>
      <c r="X128" cm="1">
        <f t="array" ref="X128">SUM(_xlfn.ANCHORARRAY($R$38)*W128^_xlfn.SEQUENCE($R$34+1,,0))</f>
        <v>0.96300126568025535</v>
      </c>
    </row>
    <row r="129" spans="1:24">
      <c r="A129">
        <v>26.2</v>
      </c>
      <c r="B129" s="7">
        <v>0.99672899999999998</v>
      </c>
      <c r="J129">
        <v>24.3</v>
      </c>
      <c r="K129">
        <v>0.99722100000000002</v>
      </c>
      <c r="W129">
        <v>94</v>
      </c>
      <c r="X129" cm="1">
        <f t="array" ref="X129">SUM(_xlfn.ANCHORARRAY($R$38)*W129^_xlfn.SEQUENCE($R$34+1,,0))</f>
        <v>0.96230589342471295</v>
      </c>
    </row>
    <row r="130" spans="1:24">
      <c r="A130">
        <v>26.3</v>
      </c>
      <c r="B130" s="7">
        <v>0.99670300000000001</v>
      </c>
      <c r="J130">
        <v>24.4</v>
      </c>
      <c r="K130">
        <v>0.99719599999999997</v>
      </c>
      <c r="W130">
        <v>95</v>
      </c>
      <c r="X130" cm="1">
        <f t="array" ref="X130">SUM(_xlfn.ANCHORARRAY($R$38)*W130^_xlfn.SEQUENCE($R$34+1,,0))</f>
        <v>0.96160662872678293</v>
      </c>
    </row>
    <row r="131" spans="1:24">
      <c r="A131">
        <v>26.4</v>
      </c>
      <c r="B131" s="7">
        <v>0.99667600000000001</v>
      </c>
      <c r="J131">
        <v>24.5</v>
      </c>
      <c r="K131">
        <v>0.99717100000000003</v>
      </c>
      <c r="W131">
        <v>96</v>
      </c>
      <c r="X131" cm="1">
        <f t="array" ref="X131">SUM(_xlfn.ANCHORARRAY($R$38)*W131^_xlfn.SEQUENCE($R$34+1,,0))</f>
        <v>0.96090381959493243</v>
      </c>
    </row>
    <row r="132" spans="1:24">
      <c r="A132">
        <v>26.5</v>
      </c>
      <c r="B132" s="7">
        <v>0.99664900000000001</v>
      </c>
      <c r="J132">
        <v>24.6</v>
      </c>
      <c r="K132">
        <v>0.99714599999999998</v>
      </c>
      <c r="W132">
        <v>97</v>
      </c>
      <c r="X132" cm="1">
        <f t="array" ref="X132">SUM(_xlfn.ANCHORARRAY($R$38)*W132^_xlfn.SEQUENCE($R$34+1,,0))</f>
        <v>0.96019787313335192</v>
      </c>
    </row>
    <row r="133" spans="1:24">
      <c r="A133">
        <v>26.6</v>
      </c>
      <c r="B133" s="7">
        <v>0.99662099999999998</v>
      </c>
      <c r="J133">
        <v>24.7</v>
      </c>
      <c r="K133">
        <v>0.99712000000000001</v>
      </c>
      <c r="W133">
        <v>98</v>
      </c>
      <c r="X133" cm="1">
        <f t="array" ref="X133">SUM(_xlfn.ANCHORARRAY($R$38)*W133^_xlfn.SEQUENCE($R$34+1,,0))</f>
        <v>0.959489261596568</v>
      </c>
    </row>
    <row r="134" spans="1:24">
      <c r="A134">
        <v>26.7</v>
      </c>
      <c r="B134" s="7">
        <v>0.99659399999999998</v>
      </c>
      <c r="J134">
        <v>24.8</v>
      </c>
      <c r="K134">
        <v>0.99709499999999995</v>
      </c>
      <c r="W134">
        <v>99</v>
      </c>
      <c r="X134" cm="1">
        <f t="array" ref="X134">SUM(_xlfn.ANCHORARRAY($R$38)*W134^_xlfn.SEQUENCE($R$34+1,,0))</f>
        <v>0.95877852877633307</v>
      </c>
    </row>
    <row r="135" spans="1:24">
      <c r="A135">
        <v>26.8</v>
      </c>
      <c r="B135" s="7">
        <v>0.99656699999999998</v>
      </c>
      <c r="J135">
        <v>24.9</v>
      </c>
      <c r="K135">
        <v>0.99706899999999998</v>
      </c>
      <c r="W135">
        <v>100</v>
      </c>
      <c r="X135" cm="1">
        <f t="array" ref="X135">SUM(_xlfn.ANCHORARRAY($R$38)*W135^_xlfn.SEQUENCE($R$34+1,,0))</f>
        <v>0.95806629672875154</v>
      </c>
    </row>
    <row r="136" spans="1:24">
      <c r="A136">
        <v>26.9</v>
      </c>
      <c r="B136" s="7">
        <v>0.99653999999999998</v>
      </c>
      <c r="J136">
        <v>25</v>
      </c>
      <c r="K136">
        <v>0.99704400000000004</v>
      </c>
    </row>
    <row r="137" spans="1:24">
      <c r="A137">
        <v>27</v>
      </c>
      <c r="B137" s="7">
        <v>0.99651199999999995</v>
      </c>
      <c r="H137" s="1"/>
      <c r="I137" s="1"/>
      <c r="J137">
        <v>25.1</v>
      </c>
      <c r="K137">
        <v>0.99701799999999996</v>
      </c>
    </row>
    <row r="138" spans="1:24">
      <c r="A138">
        <v>27.1</v>
      </c>
      <c r="B138" s="7">
        <v>0.99648499999999995</v>
      </c>
      <c r="H138" s="1"/>
      <c r="I138" s="1"/>
      <c r="J138">
        <v>25.2</v>
      </c>
      <c r="K138">
        <v>0.99699199999999999</v>
      </c>
    </row>
    <row r="139" spans="1:24">
      <c r="A139">
        <v>27.2</v>
      </c>
      <c r="B139" s="7">
        <v>0.99645700000000004</v>
      </c>
      <c r="H139" s="1"/>
      <c r="I139" s="1"/>
      <c r="J139">
        <v>25.3</v>
      </c>
      <c r="K139">
        <v>0.99696700000000005</v>
      </c>
    </row>
    <row r="140" spans="1:24">
      <c r="A140">
        <v>27.3</v>
      </c>
      <c r="B140" s="7">
        <v>0.99642900000000001</v>
      </c>
      <c r="H140" s="1"/>
      <c r="I140" s="1"/>
      <c r="J140">
        <v>25.4</v>
      </c>
      <c r="K140">
        <v>0.99694099999999997</v>
      </c>
    </row>
    <row r="141" spans="1:24">
      <c r="A141">
        <v>27.4</v>
      </c>
      <c r="B141" s="7">
        <v>0.99640099999999998</v>
      </c>
      <c r="H141" s="1"/>
      <c r="I141" s="1"/>
      <c r="J141">
        <v>25.5</v>
      </c>
      <c r="K141">
        <v>0.99691399999999997</v>
      </c>
    </row>
    <row r="142" spans="1:24">
      <c r="A142">
        <v>27.5</v>
      </c>
      <c r="B142" s="7">
        <v>0.99637299999999995</v>
      </c>
      <c r="H142" s="1"/>
      <c r="I142" s="1"/>
      <c r="J142">
        <v>25.6</v>
      </c>
      <c r="K142">
        <v>0.996888</v>
      </c>
    </row>
    <row r="143" spans="1:24">
      <c r="A143">
        <v>27.6</v>
      </c>
      <c r="B143" s="7">
        <v>0.99634500000000004</v>
      </c>
      <c r="H143" s="1"/>
      <c r="I143" s="1"/>
      <c r="J143">
        <v>25.7</v>
      </c>
      <c r="K143">
        <v>0.99686200000000003</v>
      </c>
    </row>
    <row r="144" spans="1:24">
      <c r="A144">
        <v>27.7</v>
      </c>
      <c r="B144" s="7">
        <v>0.99631700000000001</v>
      </c>
      <c r="H144" s="1"/>
      <c r="I144" s="1"/>
      <c r="J144">
        <v>25.8</v>
      </c>
      <c r="K144">
        <v>0.99683600000000006</v>
      </c>
    </row>
    <row r="145" spans="1:11">
      <c r="A145">
        <v>27.8</v>
      </c>
      <c r="B145" s="7">
        <v>0.99628899999999998</v>
      </c>
      <c r="H145" s="1"/>
      <c r="I145" s="1"/>
      <c r="J145">
        <v>25.9</v>
      </c>
      <c r="K145">
        <v>0.99680899999999995</v>
      </c>
    </row>
    <row r="146" spans="1:11">
      <c r="A146">
        <v>27.9</v>
      </c>
      <c r="B146" s="7">
        <v>0.99626099999999995</v>
      </c>
      <c r="H146" s="1"/>
      <c r="I146" s="1"/>
      <c r="J146">
        <v>26</v>
      </c>
      <c r="K146">
        <v>0.99678299999999997</v>
      </c>
    </row>
    <row r="147" spans="1:11">
      <c r="A147">
        <v>28</v>
      </c>
      <c r="B147" s="7">
        <v>0.99623200000000001</v>
      </c>
      <c r="H147" s="1"/>
      <c r="I147" s="1"/>
      <c r="J147">
        <v>26.1</v>
      </c>
      <c r="K147">
        <v>0.99675599999999998</v>
      </c>
    </row>
    <row r="148" spans="1:11">
      <c r="A148">
        <v>28.1</v>
      </c>
      <c r="B148" s="7">
        <v>0.99620399999999998</v>
      </c>
      <c r="H148" s="1"/>
      <c r="I148" s="1"/>
      <c r="J148">
        <v>26.2</v>
      </c>
      <c r="K148">
        <v>0.99672899999999998</v>
      </c>
    </row>
    <row r="149" spans="1:11">
      <c r="A149">
        <v>28.2</v>
      </c>
      <c r="B149" s="7">
        <v>0.99617500000000003</v>
      </c>
      <c r="H149" s="1"/>
      <c r="I149" s="1"/>
      <c r="J149">
        <v>26.3</v>
      </c>
      <c r="K149">
        <v>0.99670300000000001</v>
      </c>
    </row>
    <row r="150" spans="1:11">
      <c r="A150">
        <v>28.3</v>
      </c>
      <c r="B150" s="7">
        <v>0.996147</v>
      </c>
      <c r="H150" s="1"/>
      <c r="I150" s="1"/>
      <c r="J150">
        <v>26.4</v>
      </c>
      <c r="K150">
        <v>0.99667600000000001</v>
      </c>
    </row>
    <row r="151" spans="1:11">
      <c r="A151">
        <v>28.4</v>
      </c>
      <c r="B151" s="7">
        <v>0.99611799999999995</v>
      </c>
      <c r="H151" s="1"/>
      <c r="I151" s="1"/>
      <c r="J151">
        <v>26.5</v>
      </c>
      <c r="K151">
        <v>0.99664900000000001</v>
      </c>
    </row>
    <row r="152" spans="1:11">
      <c r="A152">
        <v>28.5</v>
      </c>
      <c r="B152" s="7">
        <v>0.996089</v>
      </c>
      <c r="H152" s="1"/>
      <c r="I152" s="1"/>
      <c r="J152">
        <v>26.6</v>
      </c>
      <c r="K152">
        <v>0.99662099999999998</v>
      </c>
    </row>
    <row r="153" spans="1:11">
      <c r="A153">
        <v>28.6</v>
      </c>
      <c r="B153" s="7">
        <v>0.99605999999999995</v>
      </c>
      <c r="J153">
        <v>26.7</v>
      </c>
      <c r="K153">
        <v>0.99659399999999998</v>
      </c>
    </row>
    <row r="154" spans="1:11">
      <c r="A154">
        <v>28.7</v>
      </c>
      <c r="B154" s="7">
        <v>0.996031</v>
      </c>
      <c r="J154">
        <v>26.8</v>
      </c>
      <c r="K154">
        <v>0.99656699999999998</v>
      </c>
    </row>
    <row r="155" spans="1:11">
      <c r="A155">
        <v>28.8</v>
      </c>
      <c r="B155" s="7">
        <v>0.99600200000000005</v>
      </c>
      <c r="J155">
        <v>26.9</v>
      </c>
      <c r="K155">
        <v>0.99653999999999998</v>
      </c>
    </row>
    <row r="156" spans="1:11">
      <c r="A156">
        <v>28.9</v>
      </c>
      <c r="B156" s="7">
        <v>0.995973</v>
      </c>
      <c r="J156">
        <v>27</v>
      </c>
      <c r="K156">
        <v>0.99651199999999995</v>
      </c>
    </row>
    <row r="157" spans="1:11">
      <c r="A157">
        <v>29</v>
      </c>
      <c r="B157" s="7">
        <v>0.99594400000000005</v>
      </c>
      <c r="J157">
        <v>27.1</v>
      </c>
      <c r="K157">
        <v>0.99648499999999995</v>
      </c>
    </row>
    <row r="158" spans="1:11">
      <c r="A158">
        <v>29.1</v>
      </c>
      <c r="B158" s="7">
        <v>0.99591399999999997</v>
      </c>
      <c r="J158">
        <v>27.2</v>
      </c>
      <c r="K158">
        <v>0.99645700000000004</v>
      </c>
    </row>
    <row r="159" spans="1:11">
      <c r="A159">
        <v>29.2</v>
      </c>
      <c r="B159" s="7">
        <v>0.99588500000000002</v>
      </c>
      <c r="J159">
        <v>27.3</v>
      </c>
      <c r="K159">
        <v>0.99642900000000001</v>
      </c>
    </row>
    <row r="160" spans="1:11">
      <c r="A160">
        <v>29.3</v>
      </c>
      <c r="B160" s="7">
        <v>0.99585500000000005</v>
      </c>
      <c r="J160">
        <v>27.4</v>
      </c>
      <c r="K160">
        <v>0.99640099999999998</v>
      </c>
    </row>
    <row r="161" spans="1:11">
      <c r="A161">
        <v>29.4</v>
      </c>
      <c r="B161" s="7">
        <v>0.99582599999999999</v>
      </c>
      <c r="J161">
        <v>27.5</v>
      </c>
      <c r="K161">
        <v>0.99637299999999995</v>
      </c>
    </row>
    <row r="162" spans="1:11">
      <c r="A162">
        <v>29.5</v>
      </c>
      <c r="B162" s="7">
        <v>0.99579600000000001</v>
      </c>
      <c r="J162">
        <v>27.6</v>
      </c>
      <c r="K162">
        <v>0.99634500000000004</v>
      </c>
    </row>
    <row r="163" spans="1:11">
      <c r="A163">
        <v>29.6</v>
      </c>
      <c r="B163" s="7">
        <v>0.99576600000000004</v>
      </c>
      <c r="J163">
        <v>27.7</v>
      </c>
      <c r="K163">
        <v>0.99631700000000001</v>
      </c>
    </row>
    <row r="164" spans="1:11">
      <c r="A164">
        <v>29.7</v>
      </c>
      <c r="B164" s="7">
        <v>0.99573599999999995</v>
      </c>
      <c r="J164">
        <v>27.8</v>
      </c>
      <c r="K164">
        <v>0.99628899999999998</v>
      </c>
    </row>
    <row r="165" spans="1:11">
      <c r="A165">
        <v>29.8</v>
      </c>
      <c r="B165" s="7">
        <v>0.99570599999999998</v>
      </c>
      <c r="J165">
        <v>27.9</v>
      </c>
      <c r="K165">
        <v>0.99626099999999995</v>
      </c>
    </row>
    <row r="166" spans="1:11">
      <c r="A166">
        <v>29.9</v>
      </c>
      <c r="B166" s="7">
        <v>0.99567600000000001</v>
      </c>
      <c r="J166">
        <v>28</v>
      </c>
      <c r="K166">
        <v>0.99623200000000001</v>
      </c>
    </row>
    <row r="167" spans="1:11">
      <c r="A167">
        <v>30</v>
      </c>
      <c r="B167" s="7">
        <v>0.99564600000000003</v>
      </c>
      <c r="J167">
        <v>28.1</v>
      </c>
      <c r="K167">
        <v>0.99620399999999998</v>
      </c>
    </row>
    <row r="168" spans="1:11">
      <c r="A168">
        <v>30.1</v>
      </c>
      <c r="B168" s="7">
        <v>0.99561599999999995</v>
      </c>
      <c r="J168">
        <v>28.2</v>
      </c>
      <c r="K168">
        <v>0.99617500000000003</v>
      </c>
    </row>
    <row r="169" spans="1:11">
      <c r="A169">
        <v>30.2</v>
      </c>
      <c r="B169" s="7">
        <v>0.99558599999999997</v>
      </c>
      <c r="J169">
        <v>28.3</v>
      </c>
      <c r="K169">
        <v>0.996147</v>
      </c>
    </row>
    <row r="170" spans="1:11">
      <c r="A170">
        <v>30.3</v>
      </c>
      <c r="B170" s="7">
        <v>0.99555499999999997</v>
      </c>
      <c r="J170">
        <v>28.4</v>
      </c>
      <c r="K170">
        <v>0.99611799999999995</v>
      </c>
    </row>
    <row r="171" spans="1:11">
      <c r="A171">
        <v>30.4</v>
      </c>
      <c r="B171" s="7">
        <v>0.99552499999999999</v>
      </c>
      <c r="J171">
        <v>28.5</v>
      </c>
      <c r="K171">
        <v>0.996089</v>
      </c>
    </row>
    <row r="172" spans="1:11">
      <c r="A172">
        <v>30.5</v>
      </c>
      <c r="B172" s="7">
        <v>0.99549399999999999</v>
      </c>
      <c r="J172">
        <v>28.6</v>
      </c>
      <c r="K172">
        <v>0.99605999999999995</v>
      </c>
    </row>
    <row r="173" spans="1:11">
      <c r="A173">
        <v>30.6</v>
      </c>
      <c r="B173" s="7">
        <v>0.99546400000000002</v>
      </c>
      <c r="J173">
        <v>28.7</v>
      </c>
      <c r="K173">
        <v>0.996031</v>
      </c>
    </row>
    <row r="174" spans="1:11">
      <c r="A174">
        <v>30.7</v>
      </c>
      <c r="B174" s="7">
        <v>0.99543300000000001</v>
      </c>
      <c r="J174">
        <v>28.8</v>
      </c>
      <c r="K174">
        <v>0.99600200000000005</v>
      </c>
    </row>
    <row r="175" spans="1:11">
      <c r="A175">
        <v>30.8</v>
      </c>
      <c r="B175" s="7">
        <v>0.99540200000000001</v>
      </c>
      <c r="J175">
        <v>28.9</v>
      </c>
      <c r="K175">
        <v>0.995973</v>
      </c>
    </row>
    <row r="176" spans="1:11">
      <c r="A176">
        <v>30.9</v>
      </c>
      <c r="B176" s="7">
        <v>0.99537100000000001</v>
      </c>
      <c r="J176">
        <v>29</v>
      </c>
      <c r="K176">
        <v>0.99594400000000005</v>
      </c>
    </row>
    <row r="177" spans="1:11">
      <c r="A177" s="1">
        <v>31</v>
      </c>
      <c r="B177" s="7">
        <v>0.99541000000000002</v>
      </c>
      <c r="J177">
        <v>29.1</v>
      </c>
      <c r="K177">
        <v>0.99591399999999997</v>
      </c>
    </row>
    <row r="178" spans="1:11">
      <c r="A178" s="1">
        <v>32</v>
      </c>
      <c r="B178" s="7">
        <v>0.99509000000000003</v>
      </c>
      <c r="J178">
        <v>29.2</v>
      </c>
      <c r="K178">
        <v>0.99588500000000002</v>
      </c>
    </row>
    <row r="179" spans="1:11">
      <c r="A179" s="1">
        <v>33</v>
      </c>
      <c r="B179" s="7">
        <v>0.99475999999999998</v>
      </c>
      <c r="J179">
        <v>29.3</v>
      </c>
      <c r="K179">
        <v>0.99585500000000005</v>
      </c>
    </row>
    <row r="180" spans="1:11">
      <c r="A180" s="1">
        <v>34</v>
      </c>
      <c r="B180" s="7">
        <v>0.99442999999999993</v>
      </c>
      <c r="J180">
        <v>29.4</v>
      </c>
      <c r="K180">
        <v>0.99582599999999999</v>
      </c>
    </row>
    <row r="181" spans="1:11">
      <c r="A181" s="1">
        <v>35</v>
      </c>
      <c r="B181" s="7">
        <v>0.99408000000000007</v>
      </c>
      <c r="J181">
        <v>29.5</v>
      </c>
      <c r="K181">
        <v>0.99579600000000001</v>
      </c>
    </row>
    <row r="182" spans="1:11">
      <c r="A182" s="1">
        <v>36</v>
      </c>
      <c r="B182" s="7">
        <v>0.99373</v>
      </c>
      <c r="J182">
        <v>29.6</v>
      </c>
      <c r="K182">
        <v>0.99576600000000004</v>
      </c>
    </row>
    <row r="183" spans="1:11">
      <c r="A183" s="1">
        <v>37</v>
      </c>
      <c r="B183" s="7">
        <v>0.99336999999999998</v>
      </c>
      <c r="J183">
        <v>29.7</v>
      </c>
      <c r="K183">
        <v>0.99573599999999995</v>
      </c>
    </row>
    <row r="184" spans="1:11">
      <c r="A184" s="1">
        <v>38</v>
      </c>
      <c r="B184" s="7">
        <v>0.99299999999999999</v>
      </c>
      <c r="J184">
        <v>29.8</v>
      </c>
      <c r="K184">
        <v>0.99570599999999998</v>
      </c>
    </row>
    <row r="185" spans="1:11">
      <c r="A185" s="1">
        <v>39</v>
      </c>
      <c r="B185" s="7">
        <v>0.99263000000000001</v>
      </c>
      <c r="J185">
        <v>29.9</v>
      </c>
      <c r="K185">
        <v>0.99567600000000001</v>
      </c>
    </row>
    <row r="186" spans="1:11">
      <c r="A186" s="1">
        <v>40</v>
      </c>
      <c r="B186" s="7">
        <v>0.99224999999999997</v>
      </c>
      <c r="J186">
        <v>30</v>
      </c>
      <c r="K186">
        <v>0.99564600000000003</v>
      </c>
    </row>
    <row r="187" spans="1:11">
      <c r="A187" s="1">
        <v>41</v>
      </c>
      <c r="B187" s="7">
        <v>0.99185999999999996</v>
      </c>
      <c r="J187">
        <v>30.1</v>
      </c>
      <c r="K187">
        <v>0.99561599999999995</v>
      </c>
    </row>
    <row r="188" spans="1:11">
      <c r="A188" s="1">
        <v>42</v>
      </c>
      <c r="B188" s="7">
        <v>0.99146000000000001</v>
      </c>
      <c r="J188">
        <v>30.2</v>
      </c>
      <c r="K188">
        <v>0.99558599999999997</v>
      </c>
    </row>
    <row r="189" spans="1:11">
      <c r="A189" s="1">
        <v>43</v>
      </c>
      <c r="B189" s="7">
        <v>0.99104999999999999</v>
      </c>
      <c r="J189">
        <v>30.3</v>
      </c>
      <c r="K189">
        <v>0.99555499999999997</v>
      </c>
    </row>
    <row r="190" spans="1:11">
      <c r="A190" s="1">
        <v>44</v>
      </c>
      <c r="B190" s="7">
        <v>0.99063999999999997</v>
      </c>
      <c r="J190">
        <v>30.4</v>
      </c>
      <c r="K190">
        <v>0.99552499999999999</v>
      </c>
    </row>
    <row r="191" spans="1:11">
      <c r="A191" s="1">
        <v>45</v>
      </c>
      <c r="B191" s="7">
        <v>0.99021999999999999</v>
      </c>
      <c r="J191">
        <v>30.5</v>
      </c>
      <c r="K191">
        <v>0.99549399999999999</v>
      </c>
    </row>
    <row r="192" spans="1:11">
      <c r="A192" s="1">
        <v>46</v>
      </c>
      <c r="B192" s="7">
        <v>0.9897999999999999</v>
      </c>
      <c r="J192">
        <v>30.6</v>
      </c>
      <c r="K192">
        <v>0.99546400000000002</v>
      </c>
    </row>
    <row r="193" spans="1:11">
      <c r="A193" s="1">
        <v>47</v>
      </c>
      <c r="B193" s="7">
        <v>0.98936000000000002</v>
      </c>
      <c r="J193">
        <v>30.7</v>
      </c>
      <c r="K193">
        <v>0.99543300000000001</v>
      </c>
    </row>
    <row r="194" spans="1:11">
      <c r="A194" s="1">
        <v>48</v>
      </c>
      <c r="B194" s="7">
        <v>0.98891999999999991</v>
      </c>
      <c r="J194">
        <v>30.8</v>
      </c>
      <c r="K194">
        <v>0.99540200000000001</v>
      </c>
    </row>
    <row r="195" spans="1:11">
      <c r="A195" s="1">
        <v>49</v>
      </c>
      <c r="B195" s="7">
        <v>0.98847000000000007</v>
      </c>
      <c r="J195">
        <v>30.9</v>
      </c>
      <c r="K195">
        <v>0.99537100000000001</v>
      </c>
    </row>
    <row r="196" spans="1:11">
      <c r="A196" s="1">
        <v>50</v>
      </c>
      <c r="B196" s="7">
        <v>0.98802000000000001</v>
      </c>
      <c r="J196">
        <v>31</v>
      </c>
      <c r="K196">
        <v>0.99541000000000002</v>
      </c>
    </row>
    <row r="197" spans="1:11">
      <c r="A197" s="1">
        <v>51</v>
      </c>
      <c r="B197" s="7">
        <v>0.98755999999999999</v>
      </c>
      <c r="J197">
        <v>32</v>
      </c>
      <c r="K197">
        <v>0.99509000000000003</v>
      </c>
    </row>
    <row r="198" spans="1:11">
      <c r="A198" s="1">
        <v>52</v>
      </c>
      <c r="B198" s="7">
        <v>0.98709000000000002</v>
      </c>
      <c r="J198">
        <v>33</v>
      </c>
      <c r="K198">
        <v>0.99475999999999998</v>
      </c>
    </row>
    <row r="199" spans="1:11">
      <c r="A199" s="1">
        <v>53</v>
      </c>
      <c r="B199" s="7">
        <v>0.98662000000000005</v>
      </c>
      <c r="J199">
        <v>34</v>
      </c>
      <c r="K199">
        <v>0.99442999999999993</v>
      </c>
    </row>
    <row r="200" spans="1:11">
      <c r="A200" s="1">
        <v>54</v>
      </c>
      <c r="B200" s="7">
        <v>0.98614000000000002</v>
      </c>
      <c r="J200">
        <v>35</v>
      </c>
      <c r="K200">
        <v>0.99408000000000007</v>
      </c>
    </row>
    <row r="201" spans="1:11">
      <c r="A201" s="1">
        <v>55</v>
      </c>
      <c r="B201" s="7">
        <v>0.98565000000000003</v>
      </c>
      <c r="J201">
        <v>36</v>
      </c>
      <c r="K201">
        <v>0.99373</v>
      </c>
    </row>
    <row r="202" spans="1:11">
      <c r="A202" s="1">
        <v>56</v>
      </c>
      <c r="B202" s="7">
        <v>0.98515999999999992</v>
      </c>
      <c r="J202">
        <v>37</v>
      </c>
      <c r="K202">
        <v>0.99336999999999998</v>
      </c>
    </row>
    <row r="203" spans="1:11">
      <c r="A203" s="1">
        <v>57</v>
      </c>
      <c r="B203" s="7">
        <v>0.98465999999999998</v>
      </c>
      <c r="J203">
        <v>38</v>
      </c>
      <c r="K203">
        <v>0.99299999999999999</v>
      </c>
    </row>
    <row r="204" spans="1:11">
      <c r="A204" s="1">
        <v>58</v>
      </c>
      <c r="B204" s="7">
        <v>0.98415999999999992</v>
      </c>
      <c r="J204">
        <v>39</v>
      </c>
      <c r="K204">
        <v>0.99263000000000001</v>
      </c>
    </row>
    <row r="205" spans="1:11">
      <c r="A205" s="1">
        <v>59</v>
      </c>
      <c r="B205" s="7">
        <v>0.98363999999999996</v>
      </c>
      <c r="J205">
        <v>40</v>
      </c>
      <c r="K205">
        <v>0.99224999999999997</v>
      </c>
    </row>
    <row r="206" spans="1:11">
      <c r="A206" s="1">
        <v>60</v>
      </c>
      <c r="B206" s="7">
        <v>0.98312999999999995</v>
      </c>
      <c r="J206">
        <v>41</v>
      </c>
      <c r="K206">
        <v>0.99185999999999996</v>
      </c>
    </row>
    <row r="207" spans="1:11">
      <c r="A207" s="1">
        <v>61</v>
      </c>
      <c r="B207" s="7">
        <v>0.98260000000000003</v>
      </c>
      <c r="J207">
        <v>42</v>
      </c>
      <c r="K207">
        <v>0.99146000000000001</v>
      </c>
    </row>
    <row r="208" spans="1:11">
      <c r="A208" s="1">
        <v>62</v>
      </c>
      <c r="B208" s="7">
        <v>0.98207</v>
      </c>
      <c r="J208">
        <v>43</v>
      </c>
      <c r="K208">
        <v>0.99104999999999999</v>
      </c>
    </row>
    <row r="209" spans="1:11">
      <c r="A209" s="1">
        <v>63</v>
      </c>
      <c r="B209" s="7">
        <v>0.98153999999999997</v>
      </c>
      <c r="J209">
        <v>44</v>
      </c>
      <c r="K209">
        <v>0.99063999999999997</v>
      </c>
    </row>
    <row r="210" spans="1:11">
      <c r="A210" s="1">
        <v>64</v>
      </c>
      <c r="B210" s="7">
        <v>0.98099999999999998</v>
      </c>
      <c r="J210">
        <v>45</v>
      </c>
      <c r="K210">
        <v>0.99021999999999999</v>
      </c>
    </row>
    <row r="211" spans="1:11">
      <c r="A211" s="1">
        <v>65</v>
      </c>
      <c r="B211" s="7">
        <v>0.98045000000000004</v>
      </c>
      <c r="J211">
        <v>46</v>
      </c>
      <c r="K211">
        <v>0.9897999999999999</v>
      </c>
    </row>
    <row r="212" spans="1:11">
      <c r="A212" s="1">
        <v>66</v>
      </c>
      <c r="B212" s="7">
        <v>0.97989999999999999</v>
      </c>
      <c r="J212">
        <v>47</v>
      </c>
      <c r="K212">
        <v>0.98936000000000002</v>
      </c>
    </row>
    <row r="213" spans="1:11">
      <c r="A213" s="1">
        <v>67</v>
      </c>
      <c r="B213" s="7">
        <v>0.97933999999999999</v>
      </c>
      <c r="J213">
        <v>48</v>
      </c>
      <c r="K213">
        <v>0.98891999999999991</v>
      </c>
    </row>
    <row r="214" spans="1:11">
      <c r="A214" s="1">
        <v>68</v>
      </c>
      <c r="B214" s="7">
        <v>0.97877999999999998</v>
      </c>
      <c r="J214">
        <v>49</v>
      </c>
      <c r="K214">
        <v>0.98847000000000007</v>
      </c>
    </row>
    <row r="215" spans="1:11">
      <c r="A215" s="1">
        <v>69</v>
      </c>
      <c r="B215" s="7">
        <v>0.97821000000000002</v>
      </c>
      <c r="J215">
        <v>50</v>
      </c>
      <c r="K215">
        <v>0.98802000000000001</v>
      </c>
    </row>
    <row r="216" spans="1:11">
      <c r="A216" s="1">
        <v>70</v>
      </c>
      <c r="B216" s="7">
        <v>0.97763</v>
      </c>
      <c r="J216">
        <v>51</v>
      </c>
      <c r="K216">
        <v>0.98755999999999999</v>
      </c>
    </row>
    <row r="217" spans="1:11">
      <c r="A217" s="1">
        <v>71</v>
      </c>
      <c r="B217" s="7">
        <v>0.97704999999999997</v>
      </c>
      <c r="J217">
        <v>52</v>
      </c>
      <c r="K217">
        <v>0.98709000000000002</v>
      </c>
    </row>
    <row r="218" spans="1:11">
      <c r="A218" s="1">
        <v>72</v>
      </c>
      <c r="B218" s="7">
        <v>0.97647000000000006</v>
      </c>
      <c r="J218">
        <v>53</v>
      </c>
      <c r="K218">
        <v>0.98662000000000005</v>
      </c>
    </row>
    <row r="219" spans="1:11">
      <c r="A219" s="1">
        <v>73</v>
      </c>
      <c r="B219" s="7">
        <v>0.97587999999999997</v>
      </c>
      <c r="J219">
        <v>54</v>
      </c>
      <c r="K219">
        <v>0.98614000000000002</v>
      </c>
    </row>
    <row r="220" spans="1:11">
      <c r="A220" s="1">
        <v>74</v>
      </c>
      <c r="B220" s="7">
        <v>0.97527999999999992</v>
      </c>
      <c r="J220">
        <v>55</v>
      </c>
      <c r="K220">
        <v>0.98565000000000003</v>
      </c>
    </row>
    <row r="221" spans="1:11">
      <c r="A221" s="1">
        <v>75</v>
      </c>
      <c r="B221" s="7">
        <v>0.97467999999999999</v>
      </c>
      <c r="J221">
        <v>56</v>
      </c>
      <c r="K221">
        <v>0.98515999999999992</v>
      </c>
    </row>
    <row r="222" spans="1:11">
      <c r="A222" s="1">
        <v>76</v>
      </c>
      <c r="B222" s="7">
        <v>0.97408000000000006</v>
      </c>
      <c r="J222">
        <v>57</v>
      </c>
      <c r="K222">
        <v>0.98465999999999998</v>
      </c>
    </row>
    <row r="223" spans="1:11">
      <c r="A223" s="1">
        <v>77</v>
      </c>
      <c r="B223" s="7">
        <v>0.97345999999999999</v>
      </c>
      <c r="J223">
        <v>58</v>
      </c>
      <c r="K223">
        <v>0.98415999999999992</v>
      </c>
    </row>
    <row r="224" spans="1:11">
      <c r="A224" s="1">
        <v>78</v>
      </c>
      <c r="B224" s="7">
        <v>0.97284999999999999</v>
      </c>
      <c r="J224">
        <v>59</v>
      </c>
      <c r="K224">
        <v>0.98363999999999996</v>
      </c>
    </row>
    <row r="225" spans="1:11">
      <c r="A225" s="1">
        <v>79</v>
      </c>
      <c r="B225" s="7">
        <v>0.97223000000000004</v>
      </c>
      <c r="J225">
        <v>60</v>
      </c>
      <c r="K225">
        <v>0.98312999999999995</v>
      </c>
    </row>
    <row r="226" spans="1:11">
      <c r="A226" s="1">
        <v>80</v>
      </c>
      <c r="B226" s="7">
        <v>0.97160000000000002</v>
      </c>
      <c r="J226">
        <v>61</v>
      </c>
      <c r="K226">
        <v>0.98260000000000003</v>
      </c>
    </row>
    <row r="227" spans="1:11">
      <c r="A227" s="1">
        <v>81</v>
      </c>
      <c r="B227" s="7">
        <v>0.97097</v>
      </c>
      <c r="J227">
        <v>62</v>
      </c>
      <c r="K227">
        <v>0.98207</v>
      </c>
    </row>
    <row r="228" spans="1:11">
      <c r="A228" s="1">
        <v>82</v>
      </c>
      <c r="B228" s="7">
        <v>0.97033000000000003</v>
      </c>
      <c r="J228">
        <v>63</v>
      </c>
      <c r="K228">
        <v>0.98153999999999997</v>
      </c>
    </row>
    <row r="229" spans="1:11">
      <c r="A229" s="1">
        <v>83</v>
      </c>
      <c r="B229" s="7">
        <v>0.96969000000000005</v>
      </c>
      <c r="J229">
        <v>64</v>
      </c>
      <c r="K229">
        <v>0.98099999999999998</v>
      </c>
    </row>
    <row r="230" spans="1:11">
      <c r="A230" s="1">
        <v>84</v>
      </c>
      <c r="B230" s="7">
        <v>0.96904000000000001</v>
      </c>
      <c r="J230">
        <v>65</v>
      </c>
      <c r="K230">
        <v>0.98045000000000004</v>
      </c>
    </row>
    <row r="231" spans="1:11">
      <c r="A231" s="1">
        <v>85</v>
      </c>
      <c r="B231" s="7">
        <v>0.96838999999999997</v>
      </c>
      <c r="J231">
        <v>66</v>
      </c>
      <c r="K231">
        <v>0.97989999999999999</v>
      </c>
    </row>
    <row r="232" spans="1:11">
      <c r="A232" s="1">
        <v>86</v>
      </c>
      <c r="B232" s="7">
        <v>0.96772999999999998</v>
      </c>
      <c r="J232">
        <v>67</v>
      </c>
      <c r="K232">
        <v>0.97933999999999999</v>
      </c>
    </row>
    <row r="233" spans="1:11">
      <c r="A233" s="1">
        <v>87</v>
      </c>
      <c r="B233" s="7">
        <v>0.9670700000000001</v>
      </c>
      <c r="J233">
        <v>68</v>
      </c>
      <c r="K233">
        <v>0.97877999999999998</v>
      </c>
    </row>
    <row r="234" spans="1:11">
      <c r="A234" s="1">
        <v>88</v>
      </c>
      <c r="B234" s="7">
        <v>0.96640999999999999</v>
      </c>
      <c r="J234">
        <v>69</v>
      </c>
      <c r="K234">
        <v>0.97821000000000002</v>
      </c>
    </row>
    <row r="235" spans="1:11">
      <c r="A235" s="1">
        <v>89</v>
      </c>
      <c r="B235" s="7">
        <v>0.96574000000000004</v>
      </c>
      <c r="J235">
        <v>70</v>
      </c>
      <c r="K235">
        <v>0.97763</v>
      </c>
    </row>
    <row r="236" spans="1:11">
      <c r="A236" s="1">
        <v>90</v>
      </c>
      <c r="B236" s="7">
        <v>0.96505999999999992</v>
      </c>
      <c r="J236">
        <v>71</v>
      </c>
      <c r="K236">
        <v>0.97704999999999997</v>
      </c>
    </row>
    <row r="237" spans="1:11">
      <c r="A237" s="1">
        <v>91</v>
      </c>
      <c r="B237" s="7">
        <v>0.96438000000000001</v>
      </c>
      <c r="J237">
        <v>72</v>
      </c>
      <c r="K237">
        <v>0.97647000000000006</v>
      </c>
    </row>
    <row r="238" spans="1:11">
      <c r="A238" s="1">
        <v>92</v>
      </c>
      <c r="B238" s="7">
        <v>0.9637</v>
      </c>
      <c r="J238">
        <v>73</v>
      </c>
      <c r="K238">
        <v>0.97587999999999997</v>
      </c>
    </row>
    <row r="239" spans="1:11">
      <c r="A239" s="1">
        <v>93</v>
      </c>
      <c r="B239" s="7">
        <v>0.96301000000000003</v>
      </c>
      <c r="J239">
        <v>74</v>
      </c>
      <c r="K239">
        <v>0.97527999999999992</v>
      </c>
    </row>
    <row r="240" spans="1:11">
      <c r="A240" s="1">
        <v>94</v>
      </c>
      <c r="B240" s="7">
        <v>0.96231</v>
      </c>
      <c r="J240">
        <v>75</v>
      </c>
      <c r="K240">
        <v>0.97467999999999999</v>
      </c>
    </row>
    <row r="241" spans="1:11">
      <c r="A241" s="1">
        <v>95</v>
      </c>
      <c r="B241" s="7">
        <v>0.96162000000000003</v>
      </c>
      <c r="J241">
        <v>76</v>
      </c>
      <c r="K241">
        <v>0.97408000000000006</v>
      </c>
    </row>
    <row r="242" spans="1:11">
      <c r="A242" s="1">
        <v>96</v>
      </c>
      <c r="B242" s="7">
        <v>0.96090999999999993</v>
      </c>
      <c r="J242">
        <v>77</v>
      </c>
      <c r="K242">
        <v>0.97345999999999999</v>
      </c>
    </row>
    <row r="243" spans="1:11">
      <c r="A243" s="1">
        <v>97</v>
      </c>
      <c r="B243" s="7">
        <v>0.96020000000000005</v>
      </c>
      <c r="J243">
        <v>78</v>
      </c>
      <c r="K243">
        <v>0.97284999999999999</v>
      </c>
    </row>
    <row r="244" spans="1:11">
      <c r="A244" s="1">
        <v>98</v>
      </c>
      <c r="B244" s="7">
        <v>0.95948999999999995</v>
      </c>
      <c r="J244">
        <v>79</v>
      </c>
      <c r="K244">
        <v>0.97223000000000004</v>
      </c>
    </row>
    <row r="245" spans="1:11">
      <c r="A245" s="1">
        <v>99</v>
      </c>
      <c r="B245" s="7">
        <v>0.95877999999999997</v>
      </c>
      <c r="J245">
        <v>80</v>
      </c>
      <c r="K245">
        <v>0.97160000000000002</v>
      </c>
    </row>
    <row r="246" spans="1:11">
      <c r="A246" s="1">
        <v>100</v>
      </c>
      <c r="B246" s="7">
        <v>0.95804999999999996</v>
      </c>
      <c r="J246">
        <v>81</v>
      </c>
      <c r="K246">
        <v>0.97097</v>
      </c>
    </row>
    <row r="247" spans="1:11">
      <c r="J247">
        <v>82</v>
      </c>
      <c r="K247">
        <v>0.97033000000000003</v>
      </c>
    </row>
    <row r="248" spans="1:11">
      <c r="J248">
        <v>83</v>
      </c>
      <c r="K248">
        <v>0.96969000000000005</v>
      </c>
    </row>
    <row r="249" spans="1:11">
      <c r="J249">
        <v>84</v>
      </c>
      <c r="K249">
        <v>0.96904000000000001</v>
      </c>
    </row>
    <row r="250" spans="1:11">
      <c r="J250">
        <v>85</v>
      </c>
      <c r="K250">
        <v>0.96838999999999997</v>
      </c>
    </row>
    <row r="251" spans="1:11">
      <c r="J251">
        <v>86</v>
      </c>
      <c r="K251">
        <v>0.96772999999999998</v>
      </c>
    </row>
    <row r="252" spans="1:11">
      <c r="J252">
        <v>87</v>
      </c>
      <c r="K252">
        <v>0.9670700000000001</v>
      </c>
    </row>
    <row r="253" spans="1:11">
      <c r="J253">
        <v>88</v>
      </c>
      <c r="K253">
        <v>0.96640999999999999</v>
      </c>
    </row>
    <row r="254" spans="1:11">
      <c r="J254">
        <v>89</v>
      </c>
      <c r="K254">
        <v>0.96574000000000004</v>
      </c>
    </row>
    <row r="255" spans="1:11">
      <c r="J255">
        <v>90</v>
      </c>
      <c r="K255">
        <v>0.96505999999999992</v>
      </c>
    </row>
    <row r="256" spans="1:11">
      <c r="J256">
        <v>91</v>
      </c>
      <c r="K256">
        <v>0.96438000000000001</v>
      </c>
    </row>
    <row r="257" spans="10:11">
      <c r="J257">
        <v>92</v>
      </c>
      <c r="K257">
        <v>0.9637</v>
      </c>
    </row>
    <row r="258" spans="10:11">
      <c r="J258">
        <v>93</v>
      </c>
      <c r="K258">
        <v>0.96301000000000003</v>
      </c>
    </row>
    <row r="259" spans="10:11">
      <c r="J259">
        <v>94</v>
      </c>
      <c r="K259">
        <v>0.96231</v>
      </c>
    </row>
    <row r="260" spans="10:11">
      <c r="J260">
        <v>95</v>
      </c>
      <c r="K260">
        <v>0.96162000000000003</v>
      </c>
    </row>
    <row r="261" spans="10:11">
      <c r="J261">
        <v>96</v>
      </c>
      <c r="K261">
        <v>0.96090999999999993</v>
      </c>
    </row>
    <row r="262" spans="10:11">
      <c r="J262">
        <v>97</v>
      </c>
      <c r="K262">
        <v>0.96020000000000005</v>
      </c>
    </row>
    <row r="263" spans="10:11">
      <c r="J263">
        <v>98</v>
      </c>
      <c r="K263">
        <v>0.95948999999999995</v>
      </c>
    </row>
    <row r="264" spans="10:11">
      <c r="J264">
        <v>99</v>
      </c>
      <c r="K264">
        <v>0.95877999999999997</v>
      </c>
    </row>
    <row r="265" spans="10:11">
      <c r="J265">
        <v>100</v>
      </c>
      <c r="K265">
        <v>0.95804999999999996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704F-DF08-4F38-B0FB-88C99EF99AE4}">
  <dimension ref="A5:N17"/>
  <sheetViews>
    <sheetView tabSelected="1" workbookViewId="0">
      <selection activeCell="L8" sqref="L8:O16"/>
    </sheetView>
  </sheetViews>
  <sheetFormatPr defaultRowHeight="15"/>
  <cols>
    <col min="1" max="2" width="18.5703125" customWidth="1"/>
    <col min="3" max="3" width="14.85546875" customWidth="1"/>
    <col min="5" max="5" width="9.85546875" bestFit="1" customWidth="1"/>
    <col min="6" max="6" width="9.85546875" customWidth="1"/>
    <col min="7" max="7" width="9.7109375" bestFit="1" customWidth="1"/>
    <col min="8" max="8" width="10.28515625" bestFit="1" customWidth="1"/>
    <col min="14" max="14" width="9.85546875" bestFit="1" customWidth="1"/>
  </cols>
  <sheetData>
    <row r="5" spans="1:14">
      <c r="E5" s="6" t="s">
        <v>16</v>
      </c>
      <c r="F5" s="6"/>
      <c r="G5" s="6"/>
      <c r="H5" s="6"/>
      <c r="J5" s="2"/>
      <c r="K5" s="2"/>
      <c r="L5" s="2"/>
      <c r="M5" s="2"/>
      <c r="N5" s="2"/>
    </row>
    <row r="6" spans="1:14" ht="17.25">
      <c r="A6" t="s">
        <v>10</v>
      </c>
      <c r="B6" t="s">
        <v>13</v>
      </c>
      <c r="C6" t="s">
        <v>12</v>
      </c>
      <c r="D6" t="s">
        <v>11</v>
      </c>
      <c r="E6" s="2" t="s">
        <v>15</v>
      </c>
      <c r="F6" s="2" t="s">
        <v>19</v>
      </c>
      <c r="G6" s="2" t="s">
        <v>17</v>
      </c>
      <c r="H6" s="2" t="s">
        <v>18</v>
      </c>
      <c r="J6" s="2"/>
      <c r="K6" s="2"/>
      <c r="L6" s="2"/>
      <c r="M6" s="2"/>
      <c r="N6" s="2"/>
    </row>
    <row r="7" spans="1:14">
      <c r="A7" s="5">
        <v>45847.326388888891</v>
      </c>
      <c r="B7" s="5" t="s">
        <v>14</v>
      </c>
      <c r="C7" s="8">
        <v>233355</v>
      </c>
      <c r="D7" s="8">
        <v>1</v>
      </c>
      <c r="E7" s="2">
        <v>23</v>
      </c>
      <c r="F7" s="2" cm="1">
        <f t="array" ref="F7">_xlfn.LET(
_xlpm.order,6,
_xlpm.x,Table1[[#This Row],[T (°C)]],
_xlpm.result,SUM(TEMP_PRES_COEF(_xlpm.order)*_xlpm.x^_xlfn.SEQUENCE(_xlpm.order+1,,0)),
_xlpm.result)</f>
        <v>0.99753832926743446</v>
      </c>
      <c r="G7" s="2">
        <v>0.10089999999999999</v>
      </c>
      <c r="H7" s="9">
        <f>CONVERT(Table1[[#This Row],[m (g)]]/Table1[[#This Row],[ρ (g/m3)]],"mL","uL")</f>
        <v>101.14899552190467</v>
      </c>
      <c r="J7" s="2"/>
      <c r="K7" s="2"/>
      <c r="L7" s="2"/>
      <c r="M7" s="2"/>
      <c r="N7" s="2"/>
    </row>
    <row r="8" spans="1:14">
      <c r="A8" s="5">
        <v>45847.326388888891</v>
      </c>
      <c r="B8" s="5" t="s">
        <v>14</v>
      </c>
      <c r="C8" s="8">
        <v>233355</v>
      </c>
      <c r="D8" s="8">
        <v>2</v>
      </c>
      <c r="E8" s="2">
        <v>23</v>
      </c>
      <c r="F8" s="2" cm="1">
        <f t="array" ref="F8">_xlfn.LET(
_xlpm.order,6,
_xlpm.x,Table1[[#This Row],[T (°C)]],
_xlpm.result,SUM(TEMP_PRES_COEF(_xlpm.order)*_xlpm.x^_xlfn.SEQUENCE(_xlpm.order+1,,0)),
_xlpm.result)</f>
        <v>0.99753832926743446</v>
      </c>
      <c r="G8" s="2">
        <v>9.9700000000000011E-2</v>
      </c>
      <c r="H8" s="9">
        <f>CONVERT(Table1[[#This Row],[m (g)]]/Table1[[#This Row],[ρ (g/m3)]],"mL","uL")</f>
        <v>99.946034227293325</v>
      </c>
      <c r="J8" s="2"/>
      <c r="K8" s="2"/>
      <c r="L8" s="2" t="s">
        <v>12</v>
      </c>
      <c r="M8" s="2"/>
      <c r="N8" s="2"/>
    </row>
    <row r="9" spans="1:14">
      <c r="A9" s="5">
        <v>45847.326388888891</v>
      </c>
      <c r="B9" s="5" t="s">
        <v>14</v>
      </c>
      <c r="C9" s="8">
        <v>233355</v>
      </c>
      <c r="D9" s="8">
        <v>3</v>
      </c>
      <c r="E9" s="2">
        <v>23</v>
      </c>
      <c r="F9" s="2" cm="1">
        <f t="array" ref="F9">_xlfn.LET(
_xlpm.order,6,
_xlpm.x,Table1[[#This Row],[T (°C)]],
_xlpm.result,SUM(TEMP_PRES_COEF(_xlpm.order)*_xlpm.x^_xlfn.SEQUENCE(_xlpm.order+1,,0)),
_xlpm.result)</f>
        <v>0.99753832926743446</v>
      </c>
      <c r="G9" s="2">
        <v>0.10070000000000001</v>
      </c>
      <c r="H9" s="9">
        <f>CONVERT(Table1[[#This Row],[m (g)]]/Table1[[#This Row],[ρ (g/m3)]],"mL","uL")</f>
        <v>100.94850197280279</v>
      </c>
      <c r="J9" s="2"/>
      <c r="K9" s="2"/>
      <c r="L9" s="2" t="s">
        <v>10</v>
      </c>
      <c r="M9" s="2"/>
      <c r="N9" s="2"/>
    </row>
    <row r="10" spans="1:14">
      <c r="A10" s="5">
        <v>45847.326388888891</v>
      </c>
      <c r="B10" s="5" t="s">
        <v>14</v>
      </c>
      <c r="C10" s="8">
        <v>233355</v>
      </c>
      <c r="D10" s="8">
        <v>4</v>
      </c>
      <c r="E10" s="2">
        <v>23</v>
      </c>
      <c r="F10" s="2" cm="1">
        <f t="array" ref="F10">_xlfn.LET(
_xlpm.order,6,
_xlpm.x,Table1[[#This Row],[T (°C)]],
_xlpm.result,SUM(TEMP_PRES_COEF(_xlpm.order)*_xlpm.x^_xlfn.SEQUENCE(_xlpm.order+1,,0)),
_xlpm.result)</f>
        <v>0.99753832926743446</v>
      </c>
      <c r="G10" s="2">
        <v>9.920000000000001E-2</v>
      </c>
      <c r="H10" s="9">
        <f>CONVERT(Table1[[#This Row],[m (g)]]/Table1[[#This Row],[ρ (g/m3)]],"mL","uL")</f>
        <v>99.4448003545386</v>
      </c>
      <c r="J10" s="2"/>
      <c r="K10" s="2"/>
      <c r="L10" s="2"/>
      <c r="M10" s="2"/>
      <c r="N10" s="2"/>
    </row>
    <row r="11" spans="1:14">
      <c r="A11" s="5">
        <v>45847.326388888891</v>
      </c>
      <c r="B11" s="5" t="s">
        <v>14</v>
      </c>
      <c r="C11" s="8">
        <v>233355</v>
      </c>
      <c r="D11" s="8">
        <v>5</v>
      </c>
      <c r="E11" s="2">
        <v>23</v>
      </c>
      <c r="F11" s="2" cm="1">
        <f t="array" ref="F11">_xlfn.LET(
_xlpm.order,6,
_xlpm.x,Table1[[#This Row],[T (°C)]],
_xlpm.result,SUM(TEMP_PRES_COEF(_xlpm.order)*_xlpm.x^_xlfn.SEQUENCE(_xlpm.order+1,,0)),
_xlpm.result)</f>
        <v>0.99753832926743446</v>
      </c>
      <c r="G11" s="2">
        <v>0.10089999999999999</v>
      </c>
      <c r="H11" s="9">
        <f>CONVERT(Table1[[#This Row],[m (g)]]/Table1[[#This Row],[ρ (g/m3)]],"mL","uL")</f>
        <v>101.14899552190467</v>
      </c>
      <c r="J11" s="2"/>
      <c r="K11" s="2"/>
      <c r="L11" s="2"/>
      <c r="M11" s="2"/>
      <c r="N11" s="2"/>
    </row>
    <row r="12" spans="1:14">
      <c r="A12" s="5">
        <v>45847.457638888889</v>
      </c>
      <c r="B12" s="5" t="s">
        <v>14</v>
      </c>
      <c r="C12" s="8" t="s">
        <v>20</v>
      </c>
      <c r="D12" s="8">
        <v>1</v>
      </c>
      <c r="E12" s="2">
        <v>23</v>
      </c>
      <c r="F12" s="2" cm="1">
        <f t="array" ref="F12">_xlfn.LET(
_xlpm.order,6,
_xlpm.x,Table1[[#This Row],[T (°C)]],
_xlpm.result,SUM(TEMP_PRES_COEF(_xlpm.order)*_xlpm.x^_xlfn.SEQUENCE(_xlpm.order+1,,0)),
_xlpm.result)</f>
        <v>0.99753832926743446</v>
      </c>
      <c r="G12" s="2">
        <v>5.1199999999999968E-2</v>
      </c>
      <c r="H12" s="9">
        <f>CONVERT(Table1[[#This Row],[m (g)]]/Table1[[#This Row],[ρ (g/m3)]],"mL","uL")</f>
        <v>51.326348570084406</v>
      </c>
      <c r="J12" s="2"/>
      <c r="K12" s="2"/>
      <c r="L12" s="2"/>
      <c r="M12" s="2"/>
      <c r="N12" s="2"/>
    </row>
    <row r="13" spans="1:14">
      <c r="A13" s="5">
        <v>45847.457638888889</v>
      </c>
      <c r="B13" s="5" t="s">
        <v>14</v>
      </c>
      <c r="C13" s="8" t="s">
        <v>20</v>
      </c>
      <c r="D13" s="8">
        <v>2</v>
      </c>
      <c r="E13" s="2">
        <v>23</v>
      </c>
      <c r="F13" s="2" cm="1">
        <f t="array" ref="F13">_xlfn.LET(
_xlpm.order,6,
_xlpm.x,Table1[[#This Row],[T (°C)]],
_xlpm.result,SUM(TEMP_PRES_COEF(_xlpm.order)*_xlpm.x^_xlfn.SEQUENCE(_xlpm.order+1,,0)),
_xlpm.result)</f>
        <v>0.99753832926743446</v>
      </c>
      <c r="G13" s="2">
        <v>4.9800000000000011E-2</v>
      </c>
      <c r="H13" s="9">
        <f>CONVERT(Table1[[#This Row],[m (g)]]/Table1[[#This Row],[ρ (g/m3)]],"mL","uL")</f>
        <v>49.922893726371193</v>
      </c>
      <c r="J13" s="2"/>
      <c r="K13" s="2"/>
      <c r="L13" s="2"/>
      <c r="M13" s="2"/>
      <c r="N13" s="2"/>
    </row>
    <row r="14" spans="1:14">
      <c r="A14" s="5">
        <v>45847.457638888889</v>
      </c>
      <c r="B14" s="5" t="s">
        <v>14</v>
      </c>
      <c r="C14" s="8" t="s">
        <v>20</v>
      </c>
      <c r="D14" s="8">
        <v>3</v>
      </c>
      <c r="E14" s="2">
        <v>23</v>
      </c>
      <c r="F14" s="2" cm="1">
        <f t="array" ref="F14">_xlfn.LET(
_xlpm.order,6,
_xlpm.x,Table1[[#This Row],[T (°C)]],
_xlpm.result,SUM(TEMP_PRES_COEF(_xlpm.order)*_xlpm.x^_xlfn.SEQUENCE(_xlpm.order+1,,0)),
_xlpm.result)</f>
        <v>0.99753832926743446</v>
      </c>
      <c r="G14" s="2">
        <v>5.0799999999999956E-2</v>
      </c>
      <c r="H14" s="9">
        <f>CONVERT(Table1[[#This Row],[m (g)]]/Table1[[#This Row],[ρ (g/m3)]],"mL","uL")</f>
        <v>50.925361471880606</v>
      </c>
      <c r="J14" s="2"/>
      <c r="K14" s="2"/>
      <c r="L14" s="2"/>
      <c r="M14" s="2"/>
      <c r="N14" s="2"/>
    </row>
    <row r="15" spans="1:14">
      <c r="A15" s="5">
        <v>45847.457638888889</v>
      </c>
      <c r="B15" s="5" t="s">
        <v>14</v>
      </c>
      <c r="C15" s="8" t="s">
        <v>20</v>
      </c>
      <c r="D15" s="8">
        <v>4</v>
      </c>
      <c r="E15" s="2">
        <v>23</v>
      </c>
      <c r="F15" s="2" cm="1">
        <f t="array" ref="F15">_xlfn.LET(
_xlpm.order,6,
_xlpm.x,Table1[[#This Row],[T (°C)]],
_xlpm.result,SUM(TEMP_PRES_COEF(_xlpm.order)*_xlpm.x^_xlfn.SEQUENCE(_xlpm.order+1,,0)),
_xlpm.result)</f>
        <v>0.99753832926743446</v>
      </c>
      <c r="G15" s="2">
        <v>4.99E-2</v>
      </c>
      <c r="H15" s="9">
        <f>CONVERT(Table1[[#This Row],[m (g)]]/Table1[[#This Row],[ρ (g/m3)]],"mL","uL")</f>
        <v>50.023140500922132</v>
      </c>
      <c r="J15" s="2"/>
      <c r="K15" s="2"/>
      <c r="L15" s="2"/>
      <c r="M15" s="2"/>
      <c r="N15" s="2"/>
    </row>
    <row r="16" spans="1:14">
      <c r="A16" s="5">
        <v>45847.457638888889</v>
      </c>
      <c r="B16" s="5" t="s">
        <v>14</v>
      </c>
      <c r="C16" s="8" t="s">
        <v>20</v>
      </c>
      <c r="D16" s="8">
        <v>5</v>
      </c>
      <c r="E16" s="2">
        <v>23</v>
      </c>
      <c r="F16" s="2" cm="1">
        <f t="array" ref="F16">_xlfn.LET(
_xlpm.order,6,
_xlpm.x,Table1[[#This Row],[T (°C)]],
_xlpm.result,SUM(TEMP_PRES_COEF(_xlpm.order)*_xlpm.x^_xlfn.SEQUENCE(_xlpm.order+1,,0)),
_xlpm.result)</f>
        <v>0.99753832926743446</v>
      </c>
      <c r="G16" s="2">
        <v>4.9800000000000011E-2</v>
      </c>
      <c r="H16" s="9">
        <f>CONVERT(Table1[[#This Row],[m (g)]]/Table1[[#This Row],[ρ (g/m3)]],"mL","uL")</f>
        <v>49.922893726371193</v>
      </c>
      <c r="J16" s="2"/>
      <c r="K16" s="2"/>
      <c r="L16" s="2"/>
      <c r="M16" s="2"/>
      <c r="N16" s="2"/>
    </row>
    <row r="17" spans="10:14">
      <c r="J17" s="2"/>
      <c r="K17" s="2"/>
      <c r="L17" s="2"/>
      <c r="M17" s="2"/>
      <c r="N17" s="2"/>
    </row>
  </sheetData>
  <mergeCells count="1">
    <mergeCell ref="E5:H5"/>
  </mergeCells>
  <dataValidations count="3">
    <dataValidation type="decimal" allowBlank="1" showInputMessage="1" showErrorMessage="1" errorTitle="Data Entry Error" error="Must be a number 1&lt;x&lt;100 containing a maximum of one decimal place" sqref="E8:E16" xr:uid="{D06AF0F6-0AED-4AF0-89E5-52E8F236C6A1}">
      <formula1>0</formula1>
      <formula2>100</formula2>
    </dataValidation>
    <dataValidation allowBlank="1" showInputMessage="1" showErrorMessage="1" errorTitle="Data Entry Error" error="Must be a number 1&lt;x&lt;100 containing a maximum of one decimal place" sqref="F7:F16" xr:uid="{391B7E45-5FCD-4F05-B1CF-2F9A8853EC5D}"/>
    <dataValidation type="decimal" allowBlank="1" showInputMessage="1" showErrorMessage="1" errorTitle="Data Entry Error" error="Must be a number 1≤x≤100." sqref="E7" xr:uid="{8A436AEB-4653-4555-A9D4-78C376E0F316}">
      <formula1>1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5AA29707-8208-4E9A-8968-39938553B849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Bestvater</dc:creator>
  <cp:lastModifiedBy>Michael Bestvater (CGC/CCG)</cp:lastModifiedBy>
  <dcterms:created xsi:type="dcterms:W3CDTF">2025-07-08T14:40:16Z</dcterms:created>
  <dcterms:modified xsi:type="dcterms:W3CDTF">2025-07-09T16:06:42Z</dcterms:modified>
</cp:coreProperties>
</file>